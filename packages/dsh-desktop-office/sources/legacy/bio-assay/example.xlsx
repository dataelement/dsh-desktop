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验总览" sheetId="1" state="visible" r:id="rId1"/>
    <sheet name="剂量响应" sheetId="2" state="visible" r:id="rId2"/>
    <sheet name="板内质控" sheetId="3" state="visible" r:id="rId3"/>
    <sheet name="原始读数" sheetId="4" state="visible" r:id="rId4"/>
  </sheets>
  <definedNames>
    <definedName name="_xlnm.Print_Area" localSheetId="0">'实验总览'!$A$1:$P$54</definedName>
    <definedName name="_xlnm.Print_Area" localSheetId="1">'剂量响应'!$A$1:$H$52</definedName>
    <definedName name="_xlnm.Print_Area" localSheetId="2">'板内质控'!$A$1:$M$57</definedName>
    <definedName name="_xlnm._FilterDatabase" localSheetId="3" hidden="1">'原始读数'!$A$7:$G$295</definedName>
    <definedName name="_xlnm.Print_Area" localSheetId="3">'原始读数'!$A$1:$G$46</definedName>
  </definedNames>
  <calcPr calcId="124519" calcMode="auto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"/>
    <numFmt numFmtId="166" formatCode="0.0%"/>
  </numFmts>
  <fonts count="15">
    <font>
      <name val="Calibri"/>
      <family val="2"/>
      <color theme="1"/>
      <sz val="11"/>
      <scheme val="minor"/>
    </font>
    <font>
      <name val="Noto Sans CJK SC"/>
      <b val="1"/>
      <color rgb="00574065"/>
      <sz val="22"/>
    </font>
    <font>
      <name val="Noto Sans CJK SC"/>
      <color rgb="00687A8D"/>
      <sz val="10"/>
    </font>
    <font>
      <name val="Noto Sans CJK SC"/>
      <b val="1"/>
      <color rgb="00574065"/>
      <sz val="20"/>
    </font>
    <font>
      <name val="Noto Sans CJK SC"/>
      <b val="1"/>
      <color rgb="00FFFFFF"/>
      <sz val="9"/>
    </font>
    <font>
      <name val="Noto Sans CJK SC"/>
      <color rgb="00253446"/>
      <sz val="10"/>
    </font>
    <font>
      <name val="Noto Sans CJK SC"/>
      <color rgb="00687A8D"/>
      <sz val="9"/>
    </font>
    <font>
      <name val="Noto Sans CJK SC"/>
      <color rgb="00253446"/>
      <sz val="9"/>
    </font>
    <font>
      <name val="Noto Sans CJK SC"/>
      <color rgb="00766298"/>
      <sz val="10"/>
    </font>
    <font>
      <name val="Noto Sans CJK SC"/>
      <b val="1"/>
      <color rgb="00574065"/>
      <sz val="11"/>
    </font>
    <font>
      <name val="Noto Sans CJK SC"/>
      <b val="1"/>
      <color rgb="00687A8D"/>
      <sz val="10"/>
    </font>
    <font>
      <name val="Noto Sans CJK SC"/>
      <color rgb="00687A8D"/>
      <sz val="8"/>
    </font>
    <font>
      <name val="Noto Sans CJK SC"/>
      <b val="1"/>
      <color rgb="00574065"/>
      <sz val="23"/>
    </font>
    <font>
      <name val="Noto Sans CJK SC"/>
      <b val="1"/>
      <color rgb="00574065"/>
      <sz val="10"/>
    </font>
    <font>
      <name val="Noto Sans CJK SC"/>
      <b val="1"/>
      <color rgb="00574065"/>
      <sz val="12"/>
    </font>
  </fonts>
  <fills count="5">
    <fill>
      <patternFill/>
    </fill>
    <fill>
      <patternFill patternType="gray125"/>
    </fill>
    <fill>
      <patternFill patternType="solid">
        <fgColor rgb="00574065"/>
      </patternFill>
    </fill>
    <fill>
      <patternFill patternType="solid">
        <fgColor rgb="00FFFFFF"/>
      </patternFill>
    </fill>
    <fill>
      <patternFill patternType="solid">
        <fgColor rgb="00F7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1" fontId="12" fillId="0" borderId="0" applyAlignment="1" pivotButton="0" quotePrefix="0" xfId="0">
      <alignment horizontal="right" vertical="center" wrapText="1"/>
    </xf>
    <xf numFmtId="0" fontId="9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4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2" fontId="5" fillId="3" borderId="0" applyAlignment="1" pivotButton="0" quotePrefix="0" xfId="0">
      <alignment horizontal="right" vertical="center" wrapText="1"/>
    </xf>
    <xf numFmtId="0" fontId="0" fillId="3" borderId="0" pivotButton="0" quotePrefix="0" xfId="0"/>
    <xf numFmtId="166" fontId="5" fillId="3" borderId="0" applyAlignment="1" pivotButton="0" quotePrefix="0" xfId="0">
      <alignment horizontal="right" vertical="center" wrapText="1"/>
    </xf>
    <xf numFmtId="49" fontId="5" fillId="3" borderId="0" applyAlignment="1" pivotButton="0" quotePrefix="0" xfId="0">
      <alignment horizontal="right" vertical="center" wrapText="1"/>
    </xf>
    <xf numFmtId="2" fontId="5" fillId="4" borderId="0" applyAlignment="1" pivotButton="0" quotePrefix="0" xfId="0">
      <alignment horizontal="right" vertical="center" wrapText="1"/>
    </xf>
    <xf numFmtId="166" fontId="5" fillId="4" borderId="0" applyAlignment="1" pivotButton="0" quotePrefix="0" xfId="0">
      <alignment horizontal="right" vertical="center" wrapText="1"/>
    </xf>
    <xf numFmtId="49" fontId="5" fillId="4" borderId="0" applyAlignment="1" pivotButton="0" quotePrefix="0" xfId="0">
      <alignment horizontal="right" vertical="center" wrapText="1"/>
    </xf>
    <xf numFmtId="0" fontId="13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right" vertical="center" wrapText="1"/>
    </xf>
    <xf numFmtId="166" fontId="5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165" fontId="5" fillId="3" borderId="0" applyAlignment="1" pivotButton="0" quotePrefix="0" xfId="0">
      <alignment horizontal="right" vertical="center" wrapText="1"/>
    </xf>
    <xf numFmtId="3" fontId="5" fillId="3" borderId="0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left" vertical="center" wrapText="1"/>
    </xf>
    <xf numFmtId="9" fontId="8" fillId="0" borderId="0" applyAlignment="1" pivotButton="0" quotePrefix="0" xfId="0">
      <alignment horizontal="right" vertical="center" wrapText="1"/>
    </xf>
    <xf numFmtId="0" fontId="5" fillId="4" borderId="0" applyAlignment="1" pivotButton="0" quotePrefix="0" xfId="0">
      <alignment horizontal="left" vertical="center" wrapText="1"/>
    </xf>
    <xf numFmtId="165" fontId="5" fillId="4" borderId="0" applyAlignment="1" pivotButton="0" quotePrefix="0" xfId="0">
      <alignment horizontal="right" vertical="center" wrapText="1"/>
    </xf>
    <xf numFmtId="3" fontId="5" fillId="4" borderId="0" applyAlignment="1" pivotButton="0" quotePrefix="0" xfId="0">
      <alignment horizontal="right" vertical="center" wrapText="1"/>
    </xf>
    <xf numFmtId="1" fontId="10" fillId="0" borderId="0" applyAlignment="1" pivotButton="0" quotePrefix="0" xfId="0">
      <alignment horizontal="right" vertical="center" wrapText="1"/>
    </xf>
    <xf numFmtId="0" fontId="10" fillId="0" borderId="0" applyAlignment="1" pivotButton="0" quotePrefix="0" xfId="0">
      <alignment horizontal="left" vertical="center" wrapText="1"/>
    </xf>
    <xf numFmtId="9" fontId="5" fillId="0" borderId="0" applyAlignment="1" pivotButton="0" quotePrefix="0" xfId="0">
      <alignment horizontal="right" vertical="center" wrapText="1"/>
    </xf>
    <xf numFmtId="1" fontId="5" fillId="3" borderId="0" applyAlignment="1" pivotButton="0" quotePrefix="0" xfId="0">
      <alignment horizontal="right" vertical="center" wrapText="1"/>
    </xf>
    <xf numFmtId="164" fontId="5" fillId="3" borderId="0" applyAlignment="1" pivotButton="0" quotePrefix="0" xfId="0">
      <alignment horizontal="right" vertical="center" wrapText="1"/>
    </xf>
    <xf numFmtId="1" fontId="5" fillId="4" borderId="0" applyAlignment="1" pivotButton="0" quotePrefix="0" xfId="0">
      <alignment horizontal="right" vertical="center" wrapText="1"/>
    </xf>
    <xf numFmtId="164" fontId="5" fillId="4" borderId="0" applyAlignment="1" pivotButton="0" quotePrefix="0" xfId="0">
      <alignment horizontal="right" vertical="center" wrapText="1"/>
    </xf>
  </cellXfs>
  <cellStyles count="1">
    <cellStyle name="Normal" xfId="0" builtinId="0" hidden="0"/>
  </cellStyles>
  <dxfs count="1">
    <dxf>
      <font>
        <color rgb="00B65759"/>
      </font>
      <fill>
        <patternFill patternType="solid">
          <fgColor rgb="00F4DF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浓度响应 / µM 与相对活性</a:t>
            </a:r>
          </a:p>
        </rich>
      </tx>
      <txPr>
        <a:bodyPr/>
        <a:p>
          <a:pPr>
            <a:defRPr sz="1100">
              <a:solidFill>
                <a:srgbClr val="687A8D"/>
              </a:solidFill>
              <a:latin typeface="Noto Sans CJK SC"/>
              <a:ea typeface="Noto Sans CJK SC"/>
            </a:defRPr>
          </a:pPr>
          <a:r>
            <a:t/>
          </a:r>
          <a:endParaRPr lang="zh-CN"/>
        </a:p>
      </txPr>
    </title>
    <plotArea>
      <scatterChart>
        <scatterStyle val="lineMarker"/>
        <ser>
          <idx val="0"/>
          <order val="0"/>
          <tx>
            <v>批次 P1</v>
          </tx>
          <spPr>
            <a:solidFill>
              <a:srgbClr val="766298"/>
            </a:solidFill>
            <a:ln w="22000">
              <a:solidFill>
                <a:srgbClr val="766298"/>
              </a:solidFill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xVal>
            <numRef>
              <f>'剂量响应'!$A$8:$A$17</f>
              <c:numCache xmlns:c="http://schemas.openxmlformats.org/drawingml/2006/chart">
                <c:formatCode>General</c:formatCode>
                <c:ptCount val="10"/>
                <c:pt idx="0">
                  <c:v>0.01</c:v>
                </c:pt>
                <c:pt idx="1">
                  <c:v>0.03</c:v>
                </c:pt>
                <c:pt idx="2">
                  <c:v>0.1</c:v>
                </c:pt>
                <c:pt idx="3">
                  <c:v>0.3</c:v>
                </c:pt>
                <c:pt idx="4">
                  <c:v>1</c:v>
                </c:pt>
                <c:pt idx="5">
                  <c:v>3</c:v>
                </c:pt>
                <c:pt idx="6">
                  <c:v>10</c:v>
                </c:pt>
                <c:pt idx="7">
                  <c:v>30</c:v>
                </c:pt>
                <c:pt idx="8">
                  <c:v>60</c:v>
                </c:pt>
                <c:pt idx="9">
                  <c:v>100</c:v>
                </c:pt>
              </c:numCache>
            </numRef>
          </xVal>
          <yVal>
            <numRef>
              <f>'剂量响应'!$B$8:$B$17</f>
              <c:numCache xmlns:c="http://schemas.openxmlformats.org/drawingml/2006/chart">
                <c:formatCode>0.0%</c:formatCode>
                <c:ptCount val="10"/>
                <c:pt idx="0">
                  <c:v>0.989559486340051</c:v>
                </c:pt>
                <c:pt idx="1">
                  <c:v>0.981897101479089</c:v>
                </c:pt>
                <c:pt idx="2">
                  <c:v>0.989357689960434</c:v>
                </c:pt>
                <c:pt idx="3">
                  <c:v>0.952756136911987</c:v>
                </c:pt>
                <c:pt idx="4">
                  <c:v>0.830648755768585</c:v>
                </c:pt>
                <c:pt idx="5">
                  <c:v>0.582618474556513</c:v>
                </c:pt>
                <c:pt idx="6">
                  <c:v>0.290123438649492</c:v>
                </c:pt>
                <c:pt idx="7">
                  <c:v>0.110077965892493</c:v>
                </c:pt>
                <c:pt idx="8">
                  <c:v>0.0539913070821713</c:v>
                </c:pt>
                <c:pt idx="9">
                  <c:v>0.0325881561198671</c:v>
                </c:pt>
              </c:numCache>
            </numRef>
          </yVal>
        </ser>
        <ser>
          <idx val="1"/>
          <order val="1"/>
          <tx>
            <v>批次 P2</v>
          </tx>
          <spPr>
            <a:solidFill>
              <a:srgbClr val="3F9296"/>
            </a:solidFill>
            <a:ln w="22000">
              <a:solidFill>
                <a:srgbClr val="3F9296"/>
              </a:solidFill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xVal>
            <numRef>
              <f>'剂量响应'!$A$8:$A$17</f>
              <c:numCache xmlns:c="http://schemas.openxmlformats.org/drawingml/2006/chart">
                <c:formatCode>General</c:formatCode>
                <c:ptCount val="10"/>
                <c:pt idx="0">
                  <c:v>0.01</c:v>
                </c:pt>
                <c:pt idx="1">
                  <c:v>0.03</c:v>
                </c:pt>
                <c:pt idx="2">
                  <c:v>0.1</c:v>
                </c:pt>
                <c:pt idx="3">
                  <c:v>0.3</c:v>
                </c:pt>
                <c:pt idx="4">
                  <c:v>1</c:v>
                </c:pt>
                <c:pt idx="5">
                  <c:v>3</c:v>
                </c:pt>
                <c:pt idx="6">
                  <c:v>10</c:v>
                </c:pt>
                <c:pt idx="7">
                  <c:v>30</c:v>
                </c:pt>
                <c:pt idx="8">
                  <c:v>60</c:v>
                </c:pt>
                <c:pt idx="9">
                  <c:v>100</c:v>
                </c:pt>
              </c:numCache>
            </numRef>
          </xVal>
          <yVal>
            <numRef>
              <f>'剂量响应'!$C$8:$C$17</f>
              <c:numCache xmlns:c="http://schemas.openxmlformats.org/drawingml/2006/chart">
                <c:formatCode>0.0%</c:formatCode>
                <c:ptCount val="10"/>
                <c:pt idx="0">
                  <c:v>0.983682090049281</c:v>
                </c:pt>
                <c:pt idx="1">
                  <c:v>1.00860901588154</c:v>
                </c:pt>
                <c:pt idx="2">
                  <c:v>0.986074170390674</c:v>
                </c:pt>
                <c:pt idx="3">
                  <c:v>0.94355026062899</c:v>
                </c:pt>
                <c:pt idx="4">
                  <c:v>0.852947126014404</c:v>
                </c:pt>
                <c:pt idx="5">
                  <c:v>0.690431413632915</c:v>
                </c:pt>
                <c:pt idx="6">
                  <c:v>0.31863693820783</c:v>
                </c:pt>
                <c:pt idx="7">
                  <c:v>0.126554123467739</c:v>
                </c:pt>
                <c:pt idx="8">
                  <c:v>0.0631463276531731</c:v>
                </c:pt>
                <c:pt idx="9">
                  <c:v>0.0368290272059389</c:v>
                </c:pt>
              </c:numCache>
            </numRef>
          </yVal>
        </ser>
        <ser>
          <idx val="2"/>
          <order val="2"/>
          <tx>
            <v>批次 P3</v>
          </tx>
          <spPr>
            <a:solidFill>
              <a:srgbClr val="D59A60"/>
            </a:solidFill>
            <a:ln w="22000">
              <a:solidFill>
                <a:srgbClr val="D59A60"/>
              </a:solidFill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xVal>
            <numRef>
              <f>'剂量响应'!$A$8:$A$17</f>
              <c:numCache xmlns:c="http://schemas.openxmlformats.org/drawingml/2006/chart">
                <c:formatCode>General</c:formatCode>
                <c:ptCount val="10"/>
                <c:pt idx="0">
                  <c:v>0.01</c:v>
                </c:pt>
                <c:pt idx="1">
                  <c:v>0.03</c:v>
                </c:pt>
                <c:pt idx="2">
                  <c:v>0.1</c:v>
                </c:pt>
                <c:pt idx="3">
                  <c:v>0.3</c:v>
                </c:pt>
                <c:pt idx="4">
                  <c:v>1</c:v>
                </c:pt>
                <c:pt idx="5">
                  <c:v>3</c:v>
                </c:pt>
                <c:pt idx="6">
                  <c:v>10</c:v>
                </c:pt>
                <c:pt idx="7">
                  <c:v>30</c:v>
                </c:pt>
                <c:pt idx="8">
                  <c:v>60</c:v>
                </c:pt>
                <c:pt idx="9">
                  <c:v>100</c:v>
                </c:pt>
              </c:numCache>
            </numRef>
          </xVal>
          <yVal>
            <numRef>
              <f>'剂量响应'!$D$8:$D$17</f>
              <c:numCache xmlns:c="http://schemas.openxmlformats.org/drawingml/2006/chart">
                <c:formatCode>0.0%</c:formatCode>
                <c:ptCount val="10"/>
                <c:pt idx="0">
                  <c:v>0.970682905611135</c:v>
                </c:pt>
                <c:pt idx="1">
                  <c:v>0.963231425671617</c:v>
                </c:pt>
                <c:pt idx="2">
                  <c:v>0.969004121874935</c:v>
                </c:pt>
                <c:pt idx="3">
                  <c:v>0.944379543901075</c:v>
                </c:pt>
                <c:pt idx="4">
                  <c:v>0.82937509061911</c:v>
                </c:pt>
                <c:pt idx="5">
                  <c:v>0.591874313883883</c:v>
                </c:pt>
                <c:pt idx="6">
                  <c:v>0.298378176847076</c:v>
                </c:pt>
                <c:pt idx="7">
                  <c:v>0.113118540152033</c:v>
                </c:pt>
                <c:pt idx="8">
                  <c:v>0.0573168458335922</c:v>
                </c:pt>
                <c:pt idx="9">
                  <c:v>0.0336657760102736</c:v>
                </c:pt>
              </c:numCache>
            </numRef>
          </yVal>
        </ser>
        <ser>
          <idx val="3"/>
          <order val="3"/>
          <tx>
            <v>跨批次均值</v>
          </tx>
          <spPr>
            <a:solidFill>
              <a:srgbClr val="AB7FA3"/>
            </a:solidFill>
            <a:ln w="22000">
              <a:solidFill>
                <a:srgbClr val="AB7FA3"/>
              </a:solidFill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xVal>
            <numRef>
              <f>'剂量响应'!$A$8:$A$17</f>
              <c:numCache xmlns:c="http://schemas.openxmlformats.org/drawingml/2006/chart">
                <c:formatCode>General</c:formatCode>
                <c:ptCount val="10"/>
                <c:pt idx="0">
                  <c:v>0.01</c:v>
                </c:pt>
                <c:pt idx="1">
                  <c:v>0.03</c:v>
                </c:pt>
                <c:pt idx="2">
                  <c:v>0.1</c:v>
                </c:pt>
                <c:pt idx="3">
                  <c:v>0.3</c:v>
                </c:pt>
                <c:pt idx="4">
                  <c:v>1</c:v>
                </c:pt>
                <c:pt idx="5">
                  <c:v>3</c:v>
                </c:pt>
                <c:pt idx="6">
                  <c:v>10</c:v>
                </c:pt>
                <c:pt idx="7">
                  <c:v>30</c:v>
                </c:pt>
                <c:pt idx="8">
                  <c:v>60</c:v>
                </c:pt>
                <c:pt idx="9">
                  <c:v>100</c:v>
                </c:pt>
              </c:numCache>
            </numRef>
          </xVal>
          <yVal>
            <numRef>
              <f>'剂量响应'!$E$8:$E$17</f>
              <c:numCache xmlns:c="http://schemas.openxmlformats.org/drawingml/2006/chart">
                <c:formatCode>0.0%</c:formatCode>
                <c:ptCount val="10"/>
                <c:pt idx="0">
                  <c:v>0.981308160666822</c:v>
                </c:pt>
                <c:pt idx="1">
                  <c:v>0.984579181010749</c:v>
                </c:pt>
                <c:pt idx="2">
                  <c:v>0.981478660742015</c:v>
                </c:pt>
                <c:pt idx="3">
                  <c:v>0.946895313814017</c:v>
                </c:pt>
                <c:pt idx="4">
                  <c:v>0.837656990800699</c:v>
                </c:pt>
                <c:pt idx="5">
                  <c:v>0.621641400691104</c:v>
                </c:pt>
                <c:pt idx="6">
                  <c:v>0.302379517901466</c:v>
                </c:pt>
                <c:pt idx="7">
                  <c:v>0.116583543170755</c:v>
                </c:pt>
                <c:pt idx="8">
                  <c:v>0.0581514935229789</c:v>
                </c:pt>
                <c:pt idx="9">
                  <c:v>0.0343609864453598</c:v>
                </c:pt>
              </c:numCache>
            </numRef>
          </yVal>
        </ser>
        <axId val="10"/>
        <axId val="20"/>
      </scatterChart>
      <valAx>
        <axId val="10"/>
        <scaling>
          <logBase val="10"/>
          <orientation val="minMax"/>
          <max val="100"/>
          <min val="0.01"/>
        </scaling>
        <axPos val="l"/>
        <majorTickMark val="none"/>
        <minorTickMark val="none"/>
        <txPr>
          <a:bodyPr/>
          <a:p>
            <a:pPr>
              <a:defRPr sz="900">
                <a:solidFill>
                  <a:srgbClr val="687A8D"/>
                </a:solidFill>
                <a:latin typeface="Noto Sans CJK SC"/>
                <a:ea typeface="Noto Sans CJK SC"/>
              </a:defRPr>
            </a:pPr>
            <a:r>
              <a:t/>
            </a:r>
            <a:endParaRPr lang="zh-CN"/>
          </a:p>
        </txPr>
        <crossAx val="20"/>
      </valAx>
      <valAx>
        <axId val="20"/>
        <scaling>
          <orientation val="minMax"/>
          <max val="1.15"/>
          <min val="0"/>
        </scaling>
        <axPos val="l"/>
        <majorGridlines>
          <spPr>
            <a:ln w="6000">
              <a:solidFill>
                <a:srgbClr val="E3EAF0"/>
              </a:solidFill>
              <a:prstDash val="solid"/>
            </a:ln>
          </spPr>
        </majorGridlines>
        <numFmt formatCode="0%" sourceLinked="0"/>
        <majorTickMark val="none"/>
        <minorTickMark val="none"/>
        <txPr>
          <a:bodyPr/>
          <a:p>
            <a:pPr>
              <a:defRPr sz="900">
                <a:solidFill>
                  <a:srgbClr val="687A8D"/>
                </a:solidFill>
                <a:latin typeface="Noto Sans CJK SC"/>
                <a:ea typeface="Noto Sans CJK SC"/>
              </a:defRPr>
            </a:pPr>
            <a:r>
              <a:t/>
            </a:r>
            <a:endParaRPr lang="zh-CN"/>
          </a:p>
        </txPr>
        <crossAx val="10"/>
      </valAx>
    </plotArea>
    <legend>
      <legendPos val="b"/>
      <txPr>
        <a:bodyPr/>
        <a:p>
          <a:pPr>
            <a:defRPr sz="850">
              <a:solidFill>
                <a:srgbClr val="687A8D"/>
              </a:solidFill>
              <a:latin typeface="Noto Sans CJK SC"/>
              <a:ea typeface="Noto Sans CJK SC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rgbClr val="FFFFFF"/>
    </a:solidFill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溶剂对照 CV / %</a:t>
            </a:r>
          </a:p>
        </rich>
      </tx>
      <txPr>
        <a:bodyPr/>
        <a:p>
          <a:pPr>
            <a:defRPr sz="1100">
              <a:solidFill>
                <a:srgbClr val="687A8D"/>
              </a:solidFill>
              <a:latin typeface="Noto Sans CJK SC"/>
              <a:ea typeface="Noto Sans CJK SC"/>
            </a:defRPr>
          </a:pPr>
          <a:r>
            <a:t/>
          </a:r>
          <a:endParaRPr lang="zh-CN"/>
        </a:p>
      </txPr>
    </title>
    <plotArea>
      <barChart>
        <barDir val="col"/>
        <grouping val="clustered"/>
        <ser>
          <idx val="0"/>
          <order val="0"/>
          <tx>
            <strRef>
              <f>'板内质控'!E7</f>
              <c:strCache xmlns:c="http://schemas.openxmlformats.org/drawingml/2006/chart">
                <c:ptCount val="1"/>
                <c:pt idx="0">
                  <c:v>对照 CV</c:v>
                </c:pt>
              </c:strCache>
            </strRef>
          </tx>
          <spPr>
            <a:solidFill>
              <a:srgbClr val="766298"/>
            </a:solidFill>
            <a:ln w="22000">
              <a:solidFill>
                <a:srgbClr val="766298"/>
              </a:solidFill>
              <a:prstDash val="solid"/>
            </a:ln>
          </spPr>
          <cat>
            <strRef>
              <f>'板内质控'!$A$8:$A$10</f>
              <c:strCache xmlns:c="http://schemas.openxmlformats.org/drawingml/2006/chart">
                <c:ptCount val="3"/>
                <c:pt idx="0">
                  <c:v>P1</c:v>
                </c:pt>
                <c:pt idx="1">
                  <c:v>P2</c:v>
                </c:pt>
                <c:pt idx="2">
                  <c:v>P3</c:v>
                </c:pt>
              </c:strCache>
            </strRef>
          </cat>
          <val>
            <numRef>
              <f>'板内质控'!$E$8:$E$10</f>
              <c:numCache xmlns:c="http://schemas.openxmlformats.org/drawingml/2006/chart">
                <c:formatCode>0.0%</c:formatCode>
                <c:ptCount val="3"/>
                <c:pt idx="0">
                  <c:v>0.0372599458325448</c:v>
                </c:pt>
                <c:pt idx="1">
                  <c:v>0.0148449187348156</c:v>
                </c:pt>
                <c:pt idx="2">
                  <c:v>0.0274120393783411</c:v>
                </c:pt>
              </c:numCache>
            </numRef>
          </val>
        </ser>
        <gapWidth val="7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xPr>
          <a:bodyPr/>
          <a:p>
            <a:pPr>
              <a:defRPr sz="900">
                <a:solidFill>
                  <a:srgbClr val="687A8D"/>
                </a:solidFill>
                <a:latin typeface="Noto Sans CJK SC"/>
                <a:ea typeface="Noto Sans CJK SC"/>
              </a:defRPr>
            </a:pPr>
            <a:r>
              <a:t/>
            </a:r>
            <a:endParaRPr lang="zh-CN"/>
          </a:p>
        </txPr>
        <crossAx val="100"/>
        <lblOffset val="100"/>
      </catAx>
      <valAx>
        <axId val="100"/>
        <scaling>
          <orientation val="minMax"/>
          <min val="0"/>
        </scaling>
        <axPos val="l"/>
        <majorGridlines>
          <spPr>
            <a:ln w="6000">
              <a:solidFill>
                <a:srgbClr val="E3EAF0"/>
              </a:solidFill>
              <a:prstDash val="solid"/>
            </a:ln>
          </spPr>
        </majorGridlines>
        <numFmt formatCode="0%" sourceLinked="0"/>
        <majorTickMark val="none"/>
        <minorTickMark val="none"/>
        <txPr>
          <a:bodyPr/>
          <a:p>
            <a:pPr>
              <a:defRPr sz="900">
                <a:solidFill>
                  <a:srgbClr val="687A8D"/>
                </a:solidFill>
                <a:latin typeface="Noto Sans CJK SC"/>
                <a:ea typeface="Noto Sans CJK SC"/>
              </a:defRPr>
            </a:pPr>
            <a:r>
              <a:t/>
            </a:r>
            <a:endParaRPr lang="zh-CN"/>
          </a:p>
        </txPr>
        <crossAx val="10"/>
      </valAx>
    </plotArea>
    <plotVisOnly val="1"/>
    <dispBlanksAs val="gap"/>
  </chart>
  <spPr>
    <a:solidFill>
      <a:srgbClr val="FFFFFF"/>
    </a:solidFill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各剂量最大组内 CV / %</a:t>
            </a:r>
          </a:p>
        </rich>
      </tx>
      <txPr>
        <a:bodyPr/>
        <a:p>
          <a:pPr>
            <a:defRPr sz="1100">
              <a:solidFill>
                <a:srgbClr val="687A8D"/>
              </a:solidFill>
              <a:latin typeface="Noto Sans CJK SC"/>
              <a:ea typeface="Noto Sans CJK SC"/>
            </a:defRPr>
          </a:pPr>
          <a:r>
            <a:t/>
          </a:r>
          <a:endParaRPr lang="zh-CN"/>
        </a:p>
      </txPr>
    </title>
    <plotArea>
      <barChart>
        <barDir val="col"/>
        <grouping val="clustered"/>
        <ser>
          <idx val="0"/>
          <order val="0"/>
          <tx>
            <strRef>
              <f>'剂量响应'!H7</f>
              <c:strCache xmlns:c="http://schemas.openxmlformats.org/drawingml/2006/chart">
                <c:ptCount val="1"/>
                <c:pt idx="0">
                  <c:v>最大组内 CV</c:v>
                </c:pt>
              </c:strCache>
            </strRef>
          </tx>
          <spPr>
            <a:solidFill>
              <a:srgbClr val="766298"/>
            </a:solidFill>
            <a:ln w="22000">
              <a:solidFill>
                <a:srgbClr val="766298"/>
              </a:solidFill>
              <a:prstDash val="solid"/>
            </a:ln>
          </spPr>
          <cat>
            <numRef>
              <f>'剂量响应'!$A$8:$A$17</f>
              <c:numCache xmlns:c="http://schemas.openxmlformats.org/drawingml/2006/chart">
                <c:formatCode>General</c:formatCode>
                <c:ptCount val="10"/>
                <c:pt idx="0">
                  <c:v>0.01</c:v>
                </c:pt>
                <c:pt idx="1">
                  <c:v>0.03</c:v>
                </c:pt>
                <c:pt idx="2">
                  <c:v>0.1</c:v>
                </c:pt>
                <c:pt idx="3">
                  <c:v>0.3</c:v>
                </c:pt>
                <c:pt idx="4">
                  <c:v>1</c:v>
                </c:pt>
                <c:pt idx="5">
                  <c:v>3</c:v>
                </c:pt>
                <c:pt idx="6">
                  <c:v>10</c:v>
                </c:pt>
                <c:pt idx="7">
                  <c:v>30</c:v>
                </c:pt>
                <c:pt idx="8">
                  <c:v>60</c:v>
                </c:pt>
                <c:pt idx="9">
                  <c:v>100</c:v>
                </c:pt>
              </c:numCache>
            </numRef>
          </cat>
          <val>
            <numRef>
              <f>'剂量响应'!$H$8:$H$17</f>
              <c:numCache xmlns:c="http://schemas.openxmlformats.org/drawingml/2006/chart">
                <c:formatCode>0.0%</c:formatCode>
                <c:ptCount val="10"/>
                <c:pt idx="0">
                  <c:v>0.0487447889912833</c:v>
                </c:pt>
                <c:pt idx="1">
                  <c:v>0.0315585454816793</c:v>
                </c:pt>
                <c:pt idx="2">
                  <c:v>0.0444035012946968</c:v>
                </c:pt>
                <c:pt idx="3">
                  <c:v>0.0426904994659599</c:v>
                </c:pt>
                <c:pt idx="4">
                  <c:v>0.0370205100645897</c:v>
                </c:pt>
                <c:pt idx="5">
                  <c:v>0.190788319583796</c:v>
                </c:pt>
                <c:pt idx="6">
                  <c:v>0.0355593496555961</c:v>
                </c:pt>
                <c:pt idx="7">
                  <c:v>0.0482731846306514</c:v>
                </c:pt>
                <c:pt idx="8">
                  <c:v>0.0294951945324922</c:v>
                </c:pt>
                <c:pt idx="9">
                  <c:v>0.0324766850944167</c:v>
                </c:pt>
              </c:numCache>
            </numRef>
          </val>
        </ser>
        <gapWidth val="7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xPr>
          <a:bodyPr/>
          <a:p>
            <a:pPr>
              <a:defRPr sz="900">
                <a:solidFill>
                  <a:srgbClr val="687A8D"/>
                </a:solidFill>
                <a:latin typeface="Noto Sans CJK SC"/>
                <a:ea typeface="Noto Sans CJK SC"/>
              </a:defRPr>
            </a:pPr>
            <a:r>
              <a:t/>
            </a:r>
            <a:endParaRPr lang="zh-CN"/>
          </a:p>
        </txPr>
        <crossAx val="100"/>
        <lblOffset val="100"/>
      </catAx>
      <valAx>
        <axId val="100"/>
        <scaling>
          <orientation val="minMax"/>
          <min val="0"/>
        </scaling>
        <axPos val="l"/>
        <majorGridlines>
          <spPr>
            <a:ln w="6000">
              <a:solidFill>
                <a:srgbClr val="E3EAF0"/>
              </a:solidFill>
              <a:prstDash val="solid"/>
            </a:ln>
          </spPr>
        </majorGridlines>
        <numFmt formatCode="0%" sourceLinked="0"/>
        <majorTickMark val="none"/>
        <minorTickMark val="none"/>
        <txPr>
          <a:bodyPr/>
          <a:p>
            <a:pPr>
              <a:defRPr sz="900">
                <a:solidFill>
                  <a:srgbClr val="687A8D"/>
                </a:solidFill>
                <a:latin typeface="Noto Sans CJK SC"/>
                <a:ea typeface="Noto Sans CJK SC"/>
              </a:defRPr>
            </a:pPr>
            <a:r>
              <a:t/>
            </a:r>
            <a:endParaRPr lang="zh-CN"/>
          </a:p>
        </txPr>
        <crossAx val="10"/>
      </valAx>
    </plotArea>
    <plotVisOnly val="1"/>
    <dispBlanksAs val="gap"/>
  </chart>
  <spPr>
    <a:solidFill>
      <a:srgbClr val="FFFFFF"/>
    </a:solidFill>
    <a:ln>
      <a:noFill/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跨批次样本 SD / 相对活性</a:t>
            </a:r>
          </a:p>
        </rich>
      </tx>
      <txPr>
        <a:bodyPr/>
        <a:p>
          <a:pPr>
            <a:defRPr sz="1100">
              <a:solidFill>
                <a:srgbClr val="687A8D"/>
              </a:solidFill>
              <a:latin typeface="Noto Sans CJK SC"/>
              <a:ea typeface="Noto Sans CJK SC"/>
            </a:defRPr>
          </a:pPr>
          <a:r>
            <a:t/>
          </a:r>
          <a:endParaRPr lang="zh-CN"/>
        </a:p>
      </txPr>
    </title>
    <plotArea>
      <barChart>
        <barDir val="col"/>
        <grouping val="clustered"/>
        <ser>
          <idx val="0"/>
          <order val="0"/>
          <tx>
            <strRef>
              <f>'剂量响应'!F7</f>
              <c:strCache xmlns:c="http://schemas.openxmlformats.org/drawingml/2006/chart">
                <c:ptCount val="1"/>
                <c:pt idx="0">
                  <c:v>批次 SD</c:v>
                </c:pt>
              </c:strCache>
            </strRef>
          </tx>
          <spPr>
            <a:solidFill>
              <a:srgbClr val="766298"/>
            </a:solidFill>
            <a:ln w="22000">
              <a:solidFill>
                <a:srgbClr val="766298"/>
              </a:solidFill>
              <a:prstDash val="solid"/>
            </a:ln>
          </spPr>
          <cat>
            <numRef>
              <f>'剂量响应'!$A$8:$A$17</f>
              <c:numCache xmlns:c="http://schemas.openxmlformats.org/drawingml/2006/chart">
                <c:formatCode>General</c:formatCode>
                <c:ptCount val="10"/>
                <c:pt idx="0">
                  <c:v>0.01</c:v>
                </c:pt>
                <c:pt idx="1">
                  <c:v>0.03</c:v>
                </c:pt>
                <c:pt idx="2">
                  <c:v>0.1</c:v>
                </c:pt>
                <c:pt idx="3">
                  <c:v>0.3</c:v>
                </c:pt>
                <c:pt idx="4">
                  <c:v>1</c:v>
                </c:pt>
                <c:pt idx="5">
                  <c:v>3</c:v>
                </c:pt>
                <c:pt idx="6">
                  <c:v>10</c:v>
                </c:pt>
                <c:pt idx="7">
                  <c:v>30</c:v>
                </c:pt>
                <c:pt idx="8">
                  <c:v>60</c:v>
                </c:pt>
                <c:pt idx="9">
                  <c:v>100</c:v>
                </c:pt>
              </c:numCache>
            </numRef>
          </cat>
          <val>
            <numRef>
              <f>'剂量响应'!$F$8:$F$17</f>
              <c:numCache xmlns:c="http://schemas.openxmlformats.org/drawingml/2006/chart">
                <c:formatCode>0.0%</c:formatCode>
                <c:ptCount val="10"/>
                <c:pt idx="0">
                  <c:v>0.00965960560988334</c:v>
                </c:pt>
                <c:pt idx="1">
                  <c:v>0.0228073800835508</c:v>
                </c:pt>
                <c:pt idx="2">
                  <c:v>0.0109273036541936</c:v>
                </c:pt>
                <c:pt idx="3">
                  <c:v>0.00509253013988218</c:v>
                </c:pt>
                <c:pt idx="4">
                  <c:v>0.0132569503230671</c:v>
                </c:pt>
                <c:pt idx="5">
                  <c:v>0.0597533852665638</c:v>
                </c:pt>
                <c:pt idx="6">
                  <c:v>0.0146718424862384</c:v>
                </c:pt>
                <c:pt idx="7">
                  <c:v>0.00876758955191773</c:v>
                </c:pt>
                <c:pt idx="8">
                  <c:v>0.00463422895290201</c:v>
                </c:pt>
                <c:pt idx="9">
                  <c:v>0.00220425385424627</c:v>
                </c:pt>
              </c:numCache>
            </numRef>
          </val>
        </ser>
        <gapWidth val="7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xPr>
          <a:bodyPr/>
          <a:p>
            <a:pPr>
              <a:defRPr sz="900">
                <a:solidFill>
                  <a:srgbClr val="687A8D"/>
                </a:solidFill>
                <a:latin typeface="Noto Sans CJK SC"/>
                <a:ea typeface="Noto Sans CJK SC"/>
              </a:defRPr>
            </a:pPr>
            <a:r>
              <a:t/>
            </a:r>
            <a:endParaRPr lang="zh-CN"/>
          </a:p>
        </txPr>
        <crossAx val="100"/>
        <lblOffset val="100"/>
      </catAx>
      <valAx>
        <axId val="100"/>
        <scaling>
          <orientation val="minMax"/>
          <min val="0"/>
        </scaling>
        <axPos val="l"/>
        <majorGridlines>
          <spPr>
            <a:ln w="6000">
              <a:solidFill>
                <a:srgbClr val="E3EAF0"/>
              </a:solidFill>
              <a:prstDash val="solid"/>
            </a:ln>
          </spPr>
        </majorGridlines>
        <numFmt formatCode="0%" sourceLinked="0"/>
        <majorTickMark val="none"/>
        <minorTickMark val="none"/>
        <txPr>
          <a:bodyPr/>
          <a:p>
            <a:pPr>
              <a:defRPr sz="900">
                <a:solidFill>
                  <a:srgbClr val="687A8D"/>
                </a:solidFill>
                <a:latin typeface="Noto Sans CJK SC"/>
                <a:ea typeface="Noto Sans CJK SC"/>
              </a:defRPr>
            </a:pPr>
            <a:r>
              <a:t/>
            </a:r>
            <a:endParaRPr lang="zh-CN"/>
          </a:p>
        </txPr>
        <crossAx val="10"/>
      </valAx>
    </plotArea>
    <plotVisOnly val="1"/>
    <dispBlanksAs val="gap"/>
  </chart>
  <spPr>
    <a:solidFill>
      <a:srgbClr val="FFFFFF"/>
    </a:solidFill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9</row>
      <rowOff>0</rowOff>
    </from>
    <ext cx="8784000" cy="2988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28</row>
      <rowOff>0</rowOff>
    </from>
    <ext cx="4248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28</row>
      <rowOff>0</rowOff>
    </from>
    <ext cx="4248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86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574065"/>
    <outlinePr summaryBelow="1" summaryRight="1"/>
    <pageSetUpPr fitToPage="1"/>
  </sheetPr>
  <dimension ref="B2:P54"/>
  <sheetViews>
    <sheetView showGridLines="0" zoomScale="85" workbookViewId="0">
      <selection activeCell="A1" sqref="A1"/>
    </sheetView>
  </sheetViews>
  <sheetFormatPr baseColWidth="8" defaultRowHeight="15"/>
  <cols>
    <col width="2.5" customWidth="1" min="1" max="1"/>
    <col width="8.4" customWidth="1" min="2" max="2"/>
    <col width="8.4" customWidth="1" min="3" max="3"/>
    <col width="8.4" customWidth="1" min="4" max="4"/>
    <col width="8.4" customWidth="1" min="5" max="5"/>
    <col width="8.4" customWidth="1" min="6" max="6"/>
    <col width="8.4" customWidth="1" min="7" max="7"/>
    <col width="8.4" customWidth="1" min="8" max="8"/>
    <col width="8.4" customWidth="1" min="9" max="9"/>
    <col width="8.4" customWidth="1" min="10" max="10"/>
    <col width="8.4" customWidth="1" min="11" max="11"/>
    <col width="8.4" customWidth="1" min="12" max="12"/>
    <col width="8.4" customWidth="1" min="13" max="13"/>
    <col width="8.4" customWidth="1" min="14" max="14"/>
    <col width="8.4" customWidth="1" min="15" max="15"/>
    <col width="8.4" customWidth="1" min="16" max="16"/>
    <col width="8.4" customWidth="1" min="17" max="17"/>
    <col width="8.4" customWidth="1" min="18" max="18"/>
  </cols>
  <sheetData>
    <row r="1" ht="19" customHeight="1"/>
    <row r="2" ht="37" customHeight="1">
      <c r="B2" s="1" t="inlineStr">
        <is>
          <t>荧光酶活性筛选与批次质控</t>
        </is>
      </c>
    </row>
    <row r="3" ht="25" customHeight="1">
      <c r="B3" s="2" t="inlineStr">
        <is>
          <t>荧光酶活分析    3 个独立批次 · 每剂量每批次 8 个技术重复    模拟数据</t>
        </is>
      </c>
    </row>
    <row r="4" ht="19" customHeight="1"/>
    <row r="5" ht="19" customHeight="1">
      <c r="B5" s="3" t="inlineStr">
        <is>
          <t>孔位读数 / 个</t>
        </is>
      </c>
      <c r="F5" s="3" t="inlineStr">
        <is>
          <t>独立批次 / 个</t>
        </is>
      </c>
      <c r="J5" s="3" t="inlineStr">
        <is>
          <t>每剂量技术重复 / 批次</t>
        </is>
      </c>
      <c r="N5" s="3" t="inlineStr">
        <is>
          <t>剂量水平 / 档</t>
        </is>
      </c>
    </row>
    <row r="6" ht="36" customHeight="1">
      <c r="B6" s="4">
        <f>COUNTA('原始读数'!B8:B295)</f>
        <v>288</v>
      </c>
      <c r="F6" s="4">
        <f>COUNTA('板内质控'!A8:A10)</f>
        <v>3</v>
      </c>
      <c r="J6" s="4">
        <f>COUNT('原始读数'!F24:F31)</f>
        <v>8</v>
      </c>
      <c r="N6" s="4">
        <f>COUNT('剂量响应'!A8:A17)</f>
        <v>10</v>
      </c>
    </row>
    <row r="7" ht="19" customHeight="1"/>
    <row r="8" ht="19" customHeight="1"/>
    <row r="9" ht="23" customHeight="1">
      <c r="B9" s="5" t="inlineStr">
        <is>
          <t>01  剂量升高时，相对酶活性如何变化</t>
        </is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 ht="19" customHeight="1"/>
    <row r="11" ht="19" customHeight="1"/>
    <row r="12" ht="19" customHeight="1"/>
    <row r="13" ht="19" customHeight="1"/>
    <row r="14" ht="19" customHeight="1"/>
    <row r="15" ht="19" customHeight="1"/>
    <row r="16" ht="19" customHeight="1"/>
    <row r="17" ht="19" customHeight="1"/>
    <row r="18" ht="19" customHeight="1"/>
    <row r="19" ht="19" customHeight="1"/>
    <row r="20" ht="19" customHeight="1"/>
    <row r="21" ht="19" customHeight="1"/>
    <row r="22" ht="19" customHeight="1"/>
    <row r="23" ht="19" customHeight="1"/>
    <row r="24" ht="19" customHeight="1"/>
    <row r="25" ht="19" customHeight="1"/>
    <row r="26" ht="19" customHeight="1"/>
    <row r="27" ht="19" customHeight="1"/>
    <row r="28" ht="23" customHeight="1">
      <c r="B28" s="5" t="inlineStr">
        <is>
          <t>02  对照稳定性与组内重复差异</t>
        </is>
      </c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</row>
    <row r="29" ht="19" customHeight="1"/>
    <row r="30" ht="19" customHeight="1"/>
    <row r="31" ht="19" customHeight="1"/>
    <row r="32" ht="19" customHeight="1"/>
    <row r="33" ht="19" customHeight="1"/>
    <row r="34" ht="19" customHeight="1"/>
    <row r="35" ht="19" customHeight="1"/>
    <row r="36" ht="19" customHeight="1"/>
    <row r="37" ht="19" customHeight="1"/>
    <row r="38" ht="19" customHeight="1"/>
    <row r="39" ht="19" customHeight="1"/>
    <row r="40" ht="19" customHeight="1"/>
    <row r="41" ht="19" customHeight="1"/>
    <row r="42" ht="19" customHeight="1"/>
    <row r="43" ht="19" customHeight="1"/>
    <row r="44" ht="23" customHeight="1">
      <c r="B44" s="5" t="inlineStr">
        <is>
          <t>关键读数与复核事项</t>
        </is>
      </c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</row>
    <row r="45" ht="19" customHeight="1">
      <c r="B45" s="7" t="inlineStr">
        <is>
          <t>浓度 / µM</t>
        </is>
      </c>
      <c r="C45" s="8" t="n"/>
      <c r="D45" s="8" t="n"/>
      <c r="F45" s="7" t="inlineStr">
        <is>
          <t>平均活性</t>
        </is>
      </c>
      <c r="G45" s="8" t="n"/>
      <c r="H45" s="8" t="n"/>
      <c r="J45" s="7" t="inlineStr">
        <is>
          <t>批次 SD</t>
        </is>
      </c>
      <c r="K45" s="8" t="n"/>
      <c r="L45" s="8" t="n"/>
      <c r="N45" s="7" t="inlineStr">
        <is>
          <t>复核标记</t>
        </is>
      </c>
      <c r="O45" s="8" t="n"/>
      <c r="P45" s="8" t="n"/>
    </row>
    <row r="46" ht="19" customHeight="1">
      <c r="B46" s="9">
        <f>'剂量响应'!A8</f>
        <v>0.01</v>
      </c>
      <c r="C46" s="10" t="n"/>
      <c r="D46" s="10" t="n"/>
      <c r="F46" s="11">
        <f>'剂量响应'!E8</f>
        <v>0.981308160666822</v>
      </c>
      <c r="G46" s="10" t="n"/>
      <c r="H46" s="10" t="n"/>
      <c r="J46" s="11">
        <f>'剂量响应'!F8</f>
        <v>0.00965960560988334</v>
      </c>
      <c r="K46" s="10" t="n"/>
      <c r="L46" s="10" t="n"/>
      <c r="N46" s="12" t="str">
        <f>IF('剂量响应'!H8&gt;'板内质控'!$L$8,"复核 CV","正常")</f>
        <v>正常</v>
      </c>
      <c r="O46" s="10" t="n"/>
      <c r="P46" s="10" t="n"/>
    </row>
    <row r="47" ht="19" customHeight="1">
      <c r="B47" s="13">
        <f>'剂量响应'!A13</f>
        <v>3</v>
      </c>
      <c r="C47" s="6" t="n"/>
      <c r="D47" s="6" t="n"/>
      <c r="F47" s="14">
        <f>'剂量响应'!E13</f>
        <v>0.621641400691104</v>
      </c>
      <c r="G47" s="6" t="n"/>
      <c r="H47" s="6" t="n"/>
      <c r="J47" s="14">
        <f>'剂量响应'!F13</f>
        <v>0.0597533852665638</v>
      </c>
      <c r="K47" s="6" t="n"/>
      <c r="L47" s="6" t="n"/>
      <c r="N47" s="15" t="str">
        <f>IF('剂量响应'!H13&gt;'板内质控'!$L$8,"复核 CV","正常")</f>
        <v>复核 CV</v>
      </c>
      <c r="O47" s="6" t="n"/>
      <c r="P47" s="6" t="n"/>
    </row>
    <row r="48" ht="19" customHeight="1">
      <c r="B48" s="9">
        <f>'剂量响应'!A14</f>
        <v>10</v>
      </c>
      <c r="C48" s="10" t="n"/>
      <c r="D48" s="10" t="n"/>
      <c r="F48" s="11">
        <f>'剂量响应'!E14</f>
        <v>0.302379517901466</v>
      </c>
      <c r="G48" s="10" t="n"/>
      <c r="H48" s="10" t="n"/>
      <c r="J48" s="11">
        <f>'剂量响应'!F14</f>
        <v>0.0146718424862384</v>
      </c>
      <c r="K48" s="10" t="n"/>
      <c r="L48" s="10" t="n"/>
      <c r="N48" s="12" t="str">
        <f>IF('剂量响应'!H14&gt;'板内质控'!$L$8,"复核 CV","正常")</f>
        <v>正常</v>
      </c>
      <c r="O48" s="10" t="n"/>
      <c r="P48" s="10" t="n"/>
    </row>
    <row r="49" ht="19" customHeight="1">
      <c r="B49" s="13">
        <f>'剂量响应'!A17</f>
        <v>100</v>
      </c>
      <c r="C49" s="6" t="n"/>
      <c r="D49" s="6" t="n"/>
      <c r="F49" s="14">
        <f>'剂量响应'!E17</f>
        <v>0.0343609864453598</v>
      </c>
      <c r="G49" s="6" t="n"/>
      <c r="H49" s="6" t="n"/>
      <c r="J49" s="14">
        <f>'剂量响应'!F17</f>
        <v>0.00220425385424627</v>
      </c>
      <c r="K49" s="6" t="n"/>
      <c r="L49" s="6" t="n"/>
      <c r="N49" s="15" t="str">
        <f>IF('剂量响应'!H17&gt;'板内质控'!$L$8,"复核 CV","正常")</f>
        <v>正常</v>
      </c>
      <c r="O49" s="6" t="n"/>
      <c r="P49" s="6" t="n"/>
    </row>
    <row r="50" ht="19" customHeight="1"/>
    <row r="51" ht="19" customHeight="1">
      <c r="B51" s="16" t="inlineStr">
        <is>
          <t>50% 抑制区间 / µM</t>
        </is>
      </c>
    </row>
    <row r="52" ht="19" customHeight="1">
      <c r="B52" s="17" t="str">
        <f>IF(SUMPRODUCT(--('剂量响应'!G9:G17&lt;'剂量响应'!G8:G16))&gt;0,"响应有回升，逐段复核",IF(COUNTIFS('剂量响应'!G8:G17,"&lt;0.5")=0,"低于最低测试浓度",IF(COUNTIFS('剂量响应'!G8:G17,"&lt;0.5")=10,"高于最高测试浓度",INDEX('剂量响应'!A8:A17,COUNTIFS('剂量响应'!G8:G17,"&lt;0.5"))&amp;" 至 "&amp;INDEX('剂量响应'!A8:A17,COUNTIFS('剂量响应'!G8:G17,"&lt;0.5")+1))))</f>
        <v>响应有回升，逐段复核</v>
      </c>
    </row>
    <row r="53" ht="19" customHeight="1"/>
    <row r="54" ht="19" customHeight="1">
      <c r="B54" s="3" t="inlineStr">
        <is>
          <t>模拟读数用于展示分析结构；偏差记录与原始孔位保留，可在后续工作表核对。</t>
        </is>
      </c>
    </row>
  </sheetData>
  <mergeCells count="36">
    <mergeCell ref="J6:L6"/>
    <mergeCell ref="N46:P46"/>
    <mergeCell ref="J49:L49"/>
    <mergeCell ref="B2:P2"/>
    <mergeCell ref="F5:H5"/>
    <mergeCell ref="F45:H45"/>
    <mergeCell ref="B52:P52"/>
    <mergeCell ref="J45:L45"/>
    <mergeCell ref="N5:P5"/>
    <mergeCell ref="N48:P48"/>
    <mergeCell ref="B44:P44"/>
    <mergeCell ref="F47:H47"/>
    <mergeCell ref="F46:H46"/>
    <mergeCell ref="B28:P28"/>
    <mergeCell ref="B49:D49"/>
    <mergeCell ref="J47:L47"/>
    <mergeCell ref="F48:H48"/>
    <mergeCell ref="B9:P9"/>
    <mergeCell ref="B6:D6"/>
    <mergeCell ref="N6:P6"/>
    <mergeCell ref="J46:L46"/>
    <mergeCell ref="B5:D5"/>
    <mergeCell ref="B51:P51"/>
    <mergeCell ref="N49:P49"/>
    <mergeCell ref="B45:D45"/>
    <mergeCell ref="F49:H49"/>
    <mergeCell ref="N45:P45"/>
    <mergeCell ref="J48:L48"/>
    <mergeCell ref="B47:D47"/>
    <mergeCell ref="J5:L5"/>
    <mergeCell ref="F6:H6"/>
    <mergeCell ref="N47:P47"/>
    <mergeCell ref="B54:P54"/>
    <mergeCell ref="B46:D46"/>
    <mergeCell ref="B3:P3"/>
    <mergeCell ref="B48:D48"/>
  </mergeCells>
  <printOptions horizontalCentered="1"/>
  <pageMargins left="0.28" right="0.28" top="0.25" bottom="0.25" header="0" footer="0.1"/>
  <pageSetup orientation="portrait" paperSize="8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H29"/>
  <sheetViews>
    <sheetView showGridLines="0" zoomScale="85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 ht="19" customHeight="1"/>
    <row r="2" ht="34" customHeight="1">
      <c r="A2" s="18" t="inlineStr">
        <is>
          <t>剂量响应与批次统计</t>
        </is>
      </c>
    </row>
    <row r="3" ht="30" customHeight="1">
      <c r="A3" s="2" t="inlineStr">
        <is>
          <t>批次均值先分别归一化，再计算跨批次均值和样本 SD；n = 3</t>
        </is>
      </c>
    </row>
    <row r="4" ht="19" customHeight="1"/>
    <row r="5" ht="19" customHeight="1"/>
    <row r="6" ht="19" customHeight="1"/>
    <row r="7" ht="32" customHeight="1">
      <c r="A7" s="19" t="inlineStr">
        <is>
          <t>浓度 / µM</t>
        </is>
      </c>
      <c r="B7" s="19" t="inlineStr">
        <is>
          <t>P1 活性</t>
        </is>
      </c>
      <c r="C7" s="19" t="inlineStr">
        <is>
          <t>P2 活性</t>
        </is>
      </c>
      <c r="D7" s="19" t="inlineStr">
        <is>
          <t>P3 活性</t>
        </is>
      </c>
      <c r="E7" s="19" t="inlineStr">
        <is>
          <t>批次均值</t>
        </is>
      </c>
      <c r="F7" s="19" t="inlineStr">
        <is>
          <t>批次 SD</t>
        </is>
      </c>
      <c r="G7" s="19" t="inlineStr">
        <is>
          <t>平均抑制率</t>
        </is>
      </c>
      <c r="H7" s="19" t="inlineStr">
        <is>
          <t>最大组内 CV</t>
        </is>
      </c>
    </row>
    <row r="8" ht="19" customHeight="1">
      <c r="A8" s="20" t="n">
        <v>0.01</v>
      </c>
      <c r="B8" s="21">
        <f>(AVERAGE('原始读数'!F24:F31)-'板内质控'!B8)/'板内质控'!G8</f>
        <v>0.989559486340051</v>
      </c>
      <c r="C8" s="21">
        <f>(AVERAGE('原始读数'!F120:F127)-'板内质控'!B9)/'板内质控'!G9</f>
        <v>0.983682090049281</v>
      </c>
      <c r="D8" s="21">
        <f>(AVERAGE('原始读数'!F216:F223)-'板内质控'!B10)/'板内质控'!G10</f>
        <v>0.970682905611135</v>
      </c>
      <c r="E8" s="11">
        <f>AVERAGE(B8:D8)</f>
        <v>0.981308160666822</v>
      </c>
      <c r="F8" s="11">
        <f>STDEV(B8:D8)</f>
        <v>0.00965960560988334</v>
      </c>
      <c r="G8" s="11">
        <f>1-E8</f>
        <v>0.0186918393331776</v>
      </c>
      <c r="H8" s="11">
        <f>MAX(STDEV('原始读数'!F24:F31)/(AVERAGE('原始读数'!F24:F31)-'板内质控'!B8),STDEV('原始读数'!F120:F127)/(AVERAGE('原始读数'!F120:F127)-'板内质控'!B9),STDEV('原始读数'!F216:F223)/(AVERAGE('原始读数'!F216:F223)-'板内质控'!B10))</f>
        <v>0.0487447889912833</v>
      </c>
    </row>
    <row r="9" ht="19" customHeight="1">
      <c r="A9" s="20" t="n">
        <v>0.03</v>
      </c>
      <c r="B9" s="21">
        <f>(AVERAGE('原始读数'!F32:F39)-'板内质控'!B8)/'板内质控'!G8</f>
        <v>0.981897101479089</v>
      </c>
      <c r="C9" s="21">
        <f>(AVERAGE('原始读数'!F128:F135)-'板内质控'!B9)/'板内质控'!G9</f>
        <v>1.00860901588154</v>
      </c>
      <c r="D9" s="21">
        <f>(AVERAGE('原始读数'!F224:F231)-'板内质控'!B10)/'板内质控'!G10</f>
        <v>0.963231425671617</v>
      </c>
      <c r="E9" s="14">
        <f>AVERAGE(B9:D9)</f>
        <v>0.984579181010749</v>
      </c>
      <c r="F9" s="14">
        <f>STDEV(B9:D9)</f>
        <v>0.0228073800835508</v>
      </c>
      <c r="G9" s="14">
        <f>1-E9</f>
        <v>0.015420818989251</v>
      </c>
      <c r="H9" s="14">
        <f>MAX(STDEV('原始读数'!F32:F39)/(AVERAGE('原始读数'!F32:F39)-'板内质控'!B8),STDEV('原始读数'!F128:F135)/(AVERAGE('原始读数'!F128:F135)-'板内质控'!B9),STDEV('原始读数'!F224:F231)/(AVERAGE('原始读数'!F224:F231)-'板内质控'!B10))</f>
        <v>0.0315585454816793</v>
      </c>
    </row>
    <row r="10" ht="19" customHeight="1">
      <c r="A10" s="20" t="n">
        <v>0.1</v>
      </c>
      <c r="B10" s="21">
        <f>(AVERAGE('原始读数'!F40:F47)-'板内质控'!B8)/'板内质控'!G8</f>
        <v>0.989357689960434</v>
      </c>
      <c r="C10" s="21">
        <f>(AVERAGE('原始读数'!F136:F143)-'板内质控'!B9)/'板内质控'!G9</f>
        <v>0.986074170390674</v>
      </c>
      <c r="D10" s="21">
        <f>(AVERAGE('原始读数'!F232:F239)-'板内质控'!B10)/'板内质控'!G10</f>
        <v>0.969004121874935</v>
      </c>
      <c r="E10" s="11">
        <f>AVERAGE(B10:D10)</f>
        <v>0.981478660742015</v>
      </c>
      <c r="F10" s="11">
        <f>STDEV(B10:D10)</f>
        <v>0.0109273036541936</v>
      </c>
      <c r="G10" s="11">
        <f>1-E10</f>
        <v>0.0185213392579855</v>
      </c>
      <c r="H10" s="11">
        <f>MAX(STDEV('原始读数'!F40:F47)/(AVERAGE('原始读数'!F40:F47)-'板内质控'!B8),STDEV('原始读数'!F136:F143)/(AVERAGE('原始读数'!F136:F143)-'板内质控'!B9),STDEV('原始读数'!F232:F239)/(AVERAGE('原始读数'!F232:F239)-'板内质控'!B10))</f>
        <v>0.0444035012946968</v>
      </c>
    </row>
    <row r="11" ht="19" customHeight="1">
      <c r="A11" s="20" t="n">
        <v>0.3</v>
      </c>
      <c r="B11" s="21">
        <f>(AVERAGE('原始读数'!F48:F55)-'板内质控'!B8)/'板内质控'!G8</f>
        <v>0.952756136911987</v>
      </c>
      <c r="C11" s="21">
        <f>(AVERAGE('原始读数'!F144:F151)-'板内质控'!B9)/'板内质控'!G9</f>
        <v>0.94355026062899</v>
      </c>
      <c r="D11" s="21">
        <f>(AVERAGE('原始读数'!F240:F247)-'板内质控'!B10)/'板内质控'!G10</f>
        <v>0.944379543901075</v>
      </c>
      <c r="E11" s="14">
        <f>AVERAGE(B11:D11)</f>
        <v>0.946895313814017</v>
      </c>
      <c r="F11" s="14">
        <f>STDEV(B11:D11)</f>
        <v>0.00509253013988218</v>
      </c>
      <c r="G11" s="14">
        <f>1-E11</f>
        <v>0.0531046861859829</v>
      </c>
      <c r="H11" s="14">
        <f>MAX(STDEV('原始读数'!F48:F55)/(AVERAGE('原始读数'!F48:F55)-'板内质控'!B8),STDEV('原始读数'!F144:F151)/(AVERAGE('原始读数'!F144:F151)-'板内质控'!B9),STDEV('原始读数'!F240:F247)/(AVERAGE('原始读数'!F240:F247)-'板内质控'!B10))</f>
        <v>0.0426904994659599</v>
      </c>
    </row>
    <row r="12" ht="19" customHeight="1">
      <c r="A12" s="20" t="n">
        <v>1</v>
      </c>
      <c r="B12" s="21">
        <f>(AVERAGE('原始读数'!F56:F63)-'板内质控'!B8)/'板内质控'!G8</f>
        <v>0.830648755768585</v>
      </c>
      <c r="C12" s="21">
        <f>(AVERAGE('原始读数'!F152:F159)-'板内质控'!B9)/'板内质控'!G9</f>
        <v>0.852947126014404</v>
      </c>
      <c r="D12" s="21">
        <f>(AVERAGE('原始读数'!F248:F255)-'板内质控'!B10)/'板内质控'!G10</f>
        <v>0.82937509061911</v>
      </c>
      <c r="E12" s="11">
        <f>AVERAGE(B12:D12)</f>
        <v>0.837656990800699</v>
      </c>
      <c r="F12" s="11">
        <f>STDEV(B12:D12)</f>
        <v>0.0132569503230671</v>
      </c>
      <c r="G12" s="11">
        <f>1-E12</f>
        <v>0.162343009199301</v>
      </c>
      <c r="H12" s="11">
        <f>MAX(STDEV('原始读数'!F56:F63)/(AVERAGE('原始读数'!F56:F63)-'板内质控'!B8),STDEV('原始读数'!F152:F159)/(AVERAGE('原始读数'!F152:F159)-'板内质控'!B9),STDEV('原始读数'!F248:F255)/(AVERAGE('原始读数'!F248:F255)-'板内质控'!B10))</f>
        <v>0.0370205100645897</v>
      </c>
    </row>
    <row r="13" ht="19" customHeight="1">
      <c r="A13" s="20" t="n">
        <v>3</v>
      </c>
      <c r="B13" s="21">
        <f>(AVERAGE('原始读数'!F64:F71)-'板内质控'!B8)/'板内质控'!G8</f>
        <v>0.582618474556513</v>
      </c>
      <c r="C13" s="21">
        <f>(AVERAGE('原始读数'!F160:F167)-'板内质控'!B9)/'板内质控'!G9</f>
        <v>0.690431413632915</v>
      </c>
      <c r="D13" s="21">
        <f>(AVERAGE('原始读数'!F256:F263)-'板内质控'!B10)/'板内质控'!G10</f>
        <v>0.591874313883883</v>
      </c>
      <c r="E13" s="14">
        <f>AVERAGE(B13:D13)</f>
        <v>0.621641400691104</v>
      </c>
      <c r="F13" s="14">
        <f>STDEV(B13:D13)</f>
        <v>0.0597533852665638</v>
      </c>
      <c r="G13" s="14">
        <f>1-E13</f>
        <v>0.378358599308896</v>
      </c>
      <c r="H13" s="14">
        <f>MAX(STDEV('原始读数'!F64:F71)/(AVERAGE('原始读数'!F64:F71)-'板内质控'!B8),STDEV('原始读数'!F160:F167)/(AVERAGE('原始读数'!F160:F167)-'板内质控'!B9),STDEV('原始读数'!F256:F263)/(AVERAGE('原始读数'!F256:F263)-'板内质控'!B10))</f>
        <v>0.190788319583796</v>
      </c>
    </row>
    <row r="14" ht="19" customHeight="1">
      <c r="A14" s="20" t="n">
        <v>10</v>
      </c>
      <c r="B14" s="21">
        <f>(AVERAGE('原始读数'!F72:F79)-'板内质控'!B8)/'板内质控'!G8</f>
        <v>0.290123438649492</v>
      </c>
      <c r="C14" s="21">
        <f>(AVERAGE('原始读数'!F168:F175)-'板内质控'!B9)/'板内质控'!G9</f>
        <v>0.31863693820783</v>
      </c>
      <c r="D14" s="21">
        <f>(AVERAGE('原始读数'!F264:F271)-'板内质控'!B10)/'板内质控'!G10</f>
        <v>0.298378176847076</v>
      </c>
      <c r="E14" s="11">
        <f>AVERAGE(B14:D14)</f>
        <v>0.302379517901466</v>
      </c>
      <c r="F14" s="11">
        <f>STDEV(B14:D14)</f>
        <v>0.0146718424862384</v>
      </c>
      <c r="G14" s="11">
        <f>1-E14</f>
        <v>0.697620482098534</v>
      </c>
      <c r="H14" s="11">
        <f>MAX(STDEV('原始读数'!F72:F79)/(AVERAGE('原始读数'!F72:F79)-'板内质控'!B8),STDEV('原始读数'!F168:F175)/(AVERAGE('原始读数'!F168:F175)-'板内质控'!B9),STDEV('原始读数'!F264:F271)/(AVERAGE('原始读数'!F264:F271)-'板内质控'!B10))</f>
        <v>0.0355593496555961</v>
      </c>
    </row>
    <row r="15" ht="19" customHeight="1">
      <c r="A15" s="20" t="n">
        <v>30</v>
      </c>
      <c r="B15" s="21">
        <f>(AVERAGE('原始读数'!F80:F87)-'板内质控'!B8)/'板内质控'!G8</f>
        <v>0.110077965892493</v>
      </c>
      <c r="C15" s="21">
        <f>(AVERAGE('原始读数'!F176:F183)-'板内质控'!B9)/'板内质控'!G9</f>
        <v>0.126554123467739</v>
      </c>
      <c r="D15" s="21">
        <f>(AVERAGE('原始读数'!F272:F279)-'板内质控'!B10)/'板内质控'!G10</f>
        <v>0.113118540152033</v>
      </c>
      <c r="E15" s="14">
        <f>AVERAGE(B15:D15)</f>
        <v>0.116583543170755</v>
      </c>
      <c r="F15" s="14">
        <f>STDEV(B15:D15)</f>
        <v>0.00876758955191773</v>
      </c>
      <c r="G15" s="14">
        <f>1-E15</f>
        <v>0.883416456829245</v>
      </c>
      <c r="H15" s="14">
        <f>MAX(STDEV('原始读数'!F80:F87)/(AVERAGE('原始读数'!F80:F87)-'板内质控'!B8),STDEV('原始读数'!F176:F183)/(AVERAGE('原始读数'!F176:F183)-'板内质控'!B9),STDEV('原始读数'!F272:F279)/(AVERAGE('原始读数'!F272:F279)-'板内质控'!B10))</f>
        <v>0.0482731846306514</v>
      </c>
    </row>
    <row r="16" ht="19" customHeight="1">
      <c r="A16" s="20" t="n">
        <v>60</v>
      </c>
      <c r="B16" s="21">
        <f>(AVERAGE('原始读数'!F88:F95)-'板内质控'!B8)/'板内质控'!G8</f>
        <v>0.0539913070821713</v>
      </c>
      <c r="C16" s="21">
        <f>(AVERAGE('原始读数'!F184:F191)-'板内质控'!B9)/'板内质控'!G9</f>
        <v>0.0631463276531731</v>
      </c>
      <c r="D16" s="21">
        <f>(AVERAGE('原始读数'!F280:F287)-'板内质控'!B10)/'板内质控'!G10</f>
        <v>0.0573168458335922</v>
      </c>
      <c r="E16" s="11">
        <f>AVERAGE(B16:D16)</f>
        <v>0.0581514935229789</v>
      </c>
      <c r="F16" s="11">
        <f>STDEV(B16:D16)</f>
        <v>0.00463422895290201</v>
      </c>
      <c r="G16" s="11">
        <f>1-E16</f>
        <v>0.941848506477021</v>
      </c>
      <c r="H16" s="11">
        <f>MAX(STDEV('原始读数'!F88:F95)/(AVERAGE('原始读数'!F88:F95)-'板内质控'!B8),STDEV('原始读数'!F184:F191)/(AVERAGE('原始读数'!F184:F191)-'板内质控'!B9),STDEV('原始读数'!F280:F287)/(AVERAGE('原始读数'!F280:F287)-'板内质控'!B10))</f>
        <v>0.0294951945324922</v>
      </c>
    </row>
    <row r="17" ht="19" customHeight="1">
      <c r="A17" s="20" t="n">
        <v>100</v>
      </c>
      <c r="B17" s="21">
        <f>(AVERAGE('原始读数'!F96:F103)-'板内质控'!B8)/'板内质控'!G8</f>
        <v>0.0325881561198671</v>
      </c>
      <c r="C17" s="21">
        <f>(AVERAGE('原始读数'!F192:F199)-'板内质控'!B9)/'板内质控'!G9</f>
        <v>0.0368290272059389</v>
      </c>
      <c r="D17" s="21">
        <f>(AVERAGE('原始读数'!F288:F295)-'板内质控'!B10)/'板内质控'!G10</f>
        <v>0.0336657760102736</v>
      </c>
      <c r="E17" s="14">
        <f>AVERAGE(B17:D17)</f>
        <v>0.0343609864453598</v>
      </c>
      <c r="F17" s="14">
        <f>STDEV(B17:D17)</f>
        <v>0.00220425385424627</v>
      </c>
      <c r="G17" s="14">
        <f>1-E17</f>
        <v>0.96563901355464</v>
      </c>
      <c r="H17" s="14">
        <f>MAX(STDEV('原始读数'!F96:F103)/(AVERAGE('原始读数'!F96:F103)-'板内质控'!B8),STDEV('原始读数'!F192:F199)/(AVERAGE('原始读数'!F192:F199)-'板内质控'!B9),STDEV('原始读数'!F288:F295)/(AVERAGE('原始读数'!F288:F295)-'板内质控'!B10))</f>
        <v>0.0324766850944167</v>
      </c>
    </row>
    <row r="18" ht="19" customHeight="1"/>
    <row r="19" ht="19" customHeight="1"/>
    <row r="20" ht="19" customHeight="1">
      <c r="A20" s="22" t="inlineStr">
        <is>
          <t>统计口径</t>
        </is>
      </c>
    </row>
    <row r="21" ht="19" customHeight="1"/>
    <row r="22" ht="33" customHeight="1">
      <c r="A22" s="23" t="inlineStr">
        <is>
          <t>相对活性 =（样品均值 − 本板空白均值）÷（本板溶剂对照均值 − 本板空白均值）。</t>
        </is>
      </c>
    </row>
    <row r="23" ht="19" customHeight="1"/>
    <row r="24" ht="33" customHeight="1">
      <c r="A24" s="23" t="inlineStr">
        <is>
          <t>跨批次离散程度使用 3 个独立批次均值的样本标准差。技术重复仅用于评价板内测量稳定性。</t>
        </is>
      </c>
    </row>
    <row r="25" ht="19" customHeight="1"/>
    <row r="26" ht="33" customHeight="1">
      <c r="A26" s="23" t="inlineStr">
        <is>
          <t>曲线连接实测浓度点，横轴使用对数刻度。50% 抑制浓度仅报告相邻剂量区间。</t>
        </is>
      </c>
    </row>
    <row r="27" ht="19" customHeight="1"/>
    <row r="28" ht="19" customHeight="1">
      <c r="A28" s="3" t="inlineStr">
        <is>
          <t>方法参考：NIH Assay Guidance Manual / Basic Guidelines for Reporting Non-Clinical Data</t>
        </is>
      </c>
    </row>
    <row r="29" ht="19" customHeight="1">
      <c r="A29" s="24" t="inlineStr">
        <is>
          <t>https://www.ncbi.nlm.nih.gov/books/NBK550206/</t>
        </is>
      </c>
    </row>
    <row r="30" ht="19" customHeight="1"/>
    <row r="31" ht="19" customHeight="1"/>
    <row r="32" ht="19" customHeight="1"/>
    <row r="33" ht="19" customHeight="1"/>
    <row r="34" ht="19" customHeight="1"/>
    <row r="35" ht="19" customHeight="1"/>
    <row r="36" ht="19" customHeight="1"/>
    <row r="37" ht="19" customHeight="1"/>
    <row r="38" ht="19" customHeight="1"/>
    <row r="39" ht="19" customHeight="1"/>
    <row r="40" ht="19" customHeight="1"/>
    <row r="41" ht="19" customHeight="1"/>
    <row r="42" ht="19" customHeight="1"/>
    <row r="43" ht="19" customHeight="1"/>
    <row r="44" ht="19" customHeight="1"/>
    <row r="45" ht="19" customHeight="1"/>
    <row r="46" ht="19" customHeight="1"/>
    <row r="47" ht="19" customHeight="1"/>
    <row r="48" ht="19" customHeight="1"/>
    <row r="49" ht="19" customHeight="1"/>
    <row r="50" ht="19" customHeight="1"/>
    <row r="51" ht="19" customHeight="1"/>
    <row r="52" ht="19" customHeight="1"/>
  </sheetData>
  <mergeCells count="8">
    <mergeCell ref="A3:H3"/>
    <mergeCell ref="A26:H26"/>
    <mergeCell ref="A29:H29"/>
    <mergeCell ref="A20:H20"/>
    <mergeCell ref="A24:H24"/>
    <mergeCell ref="A2:H2"/>
    <mergeCell ref="A28:H28"/>
    <mergeCell ref="A22:H22"/>
  </mergeCells>
  <conditionalFormatting sqref="H8:H17">
    <cfRule type="cellIs" priority="1" operator="greaterThan" dxfId="0">
      <formula>'板内质控'!$L$8</formula>
    </cfRule>
  </conditionalFormatting>
  <printOptions horizontalCentered="1"/>
  <pageMargins left="0.28" right="0.28" top="0.25" bottom="0.25" header="0" footer="0.1"/>
  <pageSetup orientation="portrait" paperSize="8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M52"/>
  <sheetViews>
    <sheetView showGridLines="0" zoomScale="85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16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</cols>
  <sheetData>
    <row r="1" ht="19" customHeight="1"/>
    <row r="2" ht="34" customHeight="1">
      <c r="A2" s="18" t="inlineStr">
        <is>
          <t>板内质控与孔位分布</t>
        </is>
      </c>
    </row>
    <row r="3" ht="30" customHeight="1">
      <c r="A3" s="2" t="inlineStr">
        <is>
          <t>每板 96 孔；第 1 列空白，第 2 列溶剂对照，第 3–12 列为十档浓度</t>
        </is>
      </c>
    </row>
    <row r="4" ht="19" customHeight="1"/>
    <row r="5" ht="19" customHeight="1"/>
    <row r="6" ht="19" customHeight="1"/>
    <row r="7" ht="32" customHeight="1">
      <c r="A7" s="19" t="inlineStr">
        <is>
          <t>批次</t>
        </is>
      </c>
      <c r="B7" s="19" t="inlineStr">
        <is>
          <t>空白均值</t>
        </is>
      </c>
      <c r="C7" s="19" t="inlineStr">
        <is>
          <t>对照均值</t>
        </is>
      </c>
      <c r="D7" s="19" t="inlineStr">
        <is>
          <t>对照 SD</t>
        </is>
      </c>
      <c r="E7" s="19" t="inlineStr">
        <is>
          <t>对照 CV</t>
        </is>
      </c>
      <c r="F7" s="19" t="inlineStr">
        <is>
          <t>空白 SD</t>
        </is>
      </c>
      <c r="G7" s="19" t="inlineStr">
        <is>
          <t>信号窗口</t>
        </is>
      </c>
    </row>
    <row r="8" ht="19" customHeight="1">
      <c r="A8" s="25" t="inlineStr">
        <is>
          <t>P1</t>
        </is>
      </c>
      <c r="B8" s="26">
        <f>AVERAGE('原始读数'!F8:F15)</f>
        <v>147.35</v>
      </c>
      <c r="C8" s="27">
        <f>AVERAGE('原始读数'!F16:F23)</f>
        <v>12907.7375</v>
      </c>
      <c r="D8" s="26">
        <f>STDEV('原始读数'!F16:F23)</f>
        <v>480.941600070707</v>
      </c>
      <c r="E8" s="11">
        <f>D8/C8</f>
        <v>0.0372599458325448</v>
      </c>
      <c r="F8" s="26">
        <f>STDEV('原始读数'!F8:F15)</f>
        <v>5.72013985843004</v>
      </c>
      <c r="G8" s="27">
        <f>C8-B8</f>
        <v>12760.3875</v>
      </c>
      <c r="I8" s="28" t="inlineStr">
        <is>
          <t>技术重复 CV 阈值</t>
        </is>
      </c>
      <c r="L8" s="29" t="n">
        <v>0.15</v>
      </c>
    </row>
    <row r="9" ht="19" customHeight="1">
      <c r="A9" s="30" t="inlineStr">
        <is>
          <t>P2</t>
        </is>
      </c>
      <c r="B9" s="31">
        <f>AVERAGE('原始读数'!F104:F111)</f>
        <v>170.275</v>
      </c>
      <c r="C9" s="32">
        <f>AVERAGE('原始读数'!F112:F119)</f>
        <v>14321.1375</v>
      </c>
      <c r="D9" s="31">
        <f>STDEV('原始读数'!F112:F119)</f>
        <v>212.59612237762</v>
      </c>
      <c r="E9" s="14">
        <f>D9/C9</f>
        <v>0.0148449187348156</v>
      </c>
      <c r="F9" s="31">
        <f>STDEV('原始读数'!F104:F111)</f>
        <v>5.4357940673702</v>
      </c>
      <c r="G9" s="32">
        <f>C9-B9</f>
        <v>14150.8625</v>
      </c>
    </row>
    <row r="10" ht="19" customHeight="1">
      <c r="A10" s="25" t="inlineStr">
        <is>
          <t>P3</t>
        </is>
      </c>
      <c r="B10" s="26">
        <f>AVERAGE('原始读数'!F200:F207)</f>
        <v>157.6125</v>
      </c>
      <c r="C10" s="27">
        <f>AVERAGE('原始读数'!F208:F215)</f>
        <v>12227.3625</v>
      </c>
      <c r="D10" s="26">
        <f>STDEV('原始读数'!F208:F215)</f>
        <v>335.176942343252</v>
      </c>
      <c r="E10" s="11">
        <f>D10/C10</f>
        <v>0.0274120393783411</v>
      </c>
      <c r="F10" s="26">
        <f>STDEV('原始读数'!F200:F207)</f>
        <v>3.44401655048288</v>
      </c>
      <c r="G10" s="27">
        <f>C10-B10</f>
        <v>12069.75</v>
      </c>
    </row>
    <row r="11" ht="19" customHeight="1">
      <c r="A11" s="3" t="inlineStr">
        <is>
          <t>阈值用于演示复核标记；高 CV 孔组保留参与计算，并回查原始记录。</t>
        </is>
      </c>
    </row>
    <row r="12" ht="19" customHeight="1"/>
    <row r="13" ht="19" customHeight="1">
      <c r="A13" s="5" t="inlineStr">
        <is>
          <t>P1  背景扣除后的相对活性 / %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</row>
    <row r="14" ht="19" customHeight="1">
      <c r="B14" s="33" t="n">
        <v>1</v>
      </c>
      <c r="C14" s="33" t="n">
        <v>2</v>
      </c>
      <c r="D14" s="33" t="n">
        <v>3</v>
      </c>
      <c r="E14" s="33" t="n">
        <v>4</v>
      </c>
      <c r="F14" s="33" t="n">
        <v>5</v>
      </c>
      <c r="G14" s="33" t="n">
        <v>6</v>
      </c>
      <c r="H14" s="33" t="n">
        <v>7</v>
      </c>
      <c r="I14" s="33" t="n">
        <v>8</v>
      </c>
      <c r="J14" s="33" t="n">
        <v>9</v>
      </c>
      <c r="K14" s="33" t="n">
        <v>10</v>
      </c>
      <c r="L14" s="33" t="n">
        <v>11</v>
      </c>
      <c r="M14" s="33" t="n">
        <v>12</v>
      </c>
    </row>
    <row r="15" ht="19" customHeight="1">
      <c r="A15" s="34" t="inlineStr">
        <is>
          <t>A</t>
        </is>
      </c>
      <c r="B15" s="35">
        <f>('原始读数'!F8-$B$8)/$G$8</f>
        <v>-0.000411429511838884</v>
      </c>
      <c r="C15" s="35">
        <f>('原始读数'!F16-$B$8)/$G$8</f>
        <v>0.950398253971519</v>
      </c>
      <c r="D15" s="35">
        <f>('原始读数'!F24-$B$8)/$G$8</f>
        <v>0.924975828516179</v>
      </c>
      <c r="E15" s="35">
        <f>('原始读数'!F32-$B$8)/$G$8</f>
        <v>1.041312420959</v>
      </c>
      <c r="F15" s="35">
        <f>('原始读数'!F40-$B$8)/$G$8</f>
        <v>1.0264931217802</v>
      </c>
      <c r="G15" s="35">
        <f>('原始读数'!F48-$B$8)/$G$8</f>
        <v>0.91027408062647</v>
      </c>
      <c r="H15" s="35">
        <f>('原始读数'!F56-$B$8)/$G$8</f>
        <v>0.863951035969715</v>
      </c>
      <c r="I15" s="35">
        <f>('原始读数'!F64-$B$8)/$G$8</f>
        <v>0.558756542463934</v>
      </c>
      <c r="J15" s="35">
        <f>('原始读数'!F72-$B$8)/$G$8</f>
        <v>0.286923104803831</v>
      </c>
      <c r="K15" s="35">
        <f>('原始读数'!F80-$B$8)/$G$8</f>
        <v>0.110384578838221</v>
      </c>
      <c r="L15" s="35">
        <f>('原始读数'!F88-$B$8)/$G$8</f>
        <v>0.0548925336319136</v>
      </c>
      <c r="M15" s="35">
        <f>('原始读数'!F96-$B$8)/$G$8</f>
        <v>0.0316722356589876</v>
      </c>
    </row>
    <row r="16" ht="19" customHeight="1">
      <c r="A16" s="34" t="inlineStr">
        <is>
          <t>B</t>
        </is>
      </c>
      <c r="B16" s="35">
        <f>('原始读数'!F9-$B$8)/$G$8</f>
        <v>0.00029387822274206</v>
      </c>
      <c r="C16" s="35">
        <f>('原始读数'!F17-$B$8)/$G$8</f>
        <v>1.03600693944443</v>
      </c>
      <c r="D16" s="35">
        <f>('原始读数'!F25-$B$8)/$G$8</f>
        <v>1.03514489665772</v>
      </c>
      <c r="E16" s="35">
        <f>('原始读数'!F33-$B$8)/$G$8</f>
        <v>0.944552036527104</v>
      </c>
      <c r="F16" s="35">
        <f>('原始读数'!F41-$B$8)/$G$8</f>
        <v>1.06287132737936</v>
      </c>
      <c r="G16" s="35">
        <f>('原始读数'!F49-$B$8)/$G$8</f>
        <v>0.998218118376107</v>
      </c>
      <c r="H16" s="35">
        <f>('原始读数'!F57-$B$8)/$G$8</f>
        <v>0.802236609193882</v>
      </c>
      <c r="I16" s="35">
        <f>('原始读数'!F65-$B$8)/$G$8</f>
        <v>0.595973280591988</v>
      </c>
      <c r="J16" s="35">
        <f>('原始读数'!F73-$B$8)/$G$8</f>
        <v>0.287612739033199</v>
      </c>
      <c r="K16" s="35">
        <f>('原始读数'!F81-$B$8)/$G$8</f>
        <v>0.113103931992661</v>
      </c>
      <c r="L16" s="35">
        <f>('原始读数'!F89-$B$8)/$G$8</f>
        <v>0.053779714761797</v>
      </c>
      <c r="M16" s="35">
        <f>('原始读数'!F97-$B$8)/$G$8</f>
        <v>0.032643992982188</v>
      </c>
    </row>
    <row r="17" ht="19" customHeight="1">
      <c r="A17" s="34" t="inlineStr">
        <is>
          <t>C</t>
        </is>
      </c>
      <c r="B17" s="35">
        <f>('原始读数'!F10-$B$8)/$G$8</f>
        <v>-0.0000509388919419575</v>
      </c>
      <c r="C17" s="35">
        <f>('原始读数'!F18-$B$8)/$G$8</f>
        <v>1.00023216379597</v>
      </c>
      <c r="D17" s="35">
        <f>('原始读数'!F26-$B$8)/$G$8</f>
        <v>1.01317064234922</v>
      </c>
      <c r="E17" s="35">
        <f>('原始读数'!F34-$B$8)/$G$8</f>
        <v>0.990428386285291</v>
      </c>
      <c r="F17" s="35">
        <f>('原始读数'!F42-$B$8)/$G$8</f>
        <v>0.997740076467114</v>
      </c>
      <c r="G17" s="35">
        <f>('原始读数'!F50-$B$8)/$G$8</f>
        <v>0.943353013378316</v>
      </c>
      <c r="H17" s="35">
        <f>('原始读数'!F58-$B$8)/$G$8</f>
        <v>0.818701626420044</v>
      </c>
      <c r="I17" s="35">
        <f>('原始读数'!F66-$B$8)/$G$8</f>
        <v>0.576389235828458</v>
      </c>
      <c r="J17" s="35">
        <f>('原始读数'!F74-$B$8)/$G$8</f>
        <v>0.29833341659883</v>
      </c>
      <c r="K17" s="35">
        <f>('原始读数'!F82-$B$8)/$G$8</f>
        <v>0.102265703137934</v>
      </c>
      <c r="L17" s="35">
        <f>('原始读数'!F90-$B$8)/$G$8</f>
        <v>0.0561542508015529</v>
      </c>
      <c r="M17" s="35">
        <f>('原始读数'!F98-$B$8)/$G$8</f>
        <v>0.0335060357688981</v>
      </c>
    </row>
    <row r="18" ht="19" customHeight="1">
      <c r="A18" s="34" t="inlineStr">
        <is>
          <t>D</t>
        </is>
      </c>
      <c r="B18" s="35">
        <f>('原始读数'!F11-$B$8)/$G$8</f>
        <v>-0.000489797037903434</v>
      </c>
      <c r="C18" s="35">
        <f>('原始读数'!F19-$B$8)/$G$8</f>
        <v>1.02712789874132</v>
      </c>
      <c r="D18" s="35">
        <f>('原始读数'!F27-$B$8)/$G$8</f>
        <v>1.05618657740605</v>
      </c>
      <c r="E18" s="35">
        <f>('原始读数'!F35-$B$8)/$G$8</f>
        <v>0.999573876577024</v>
      </c>
      <c r="F18" s="35">
        <f>('原始读数'!F43-$B$8)/$G$8</f>
        <v>0.979880117277003</v>
      </c>
      <c r="G18" s="35">
        <f>('原始读数'!F51-$B$8)/$G$8</f>
        <v>0.984394086778321</v>
      </c>
      <c r="H18" s="35">
        <f>('原始读数'!F59-$B$8)/$G$8</f>
        <v>0.867430554126981</v>
      </c>
      <c r="I18" s="35">
        <f>('原始读数'!F67-$B$8)/$G$8</f>
        <v>0.567314276310183</v>
      </c>
      <c r="J18" s="35">
        <f>('原始读数'!F75-$B$8)/$G$8</f>
        <v>0.282871503706294</v>
      </c>
      <c r="K18" s="35">
        <f>('原始读数'!F83-$B$8)/$G$8</f>
        <v>0.110799926726363</v>
      </c>
      <c r="L18" s="35">
        <f>('原始读数'!F91-$B$8)/$G$8</f>
        <v>0.0542499199181843</v>
      </c>
      <c r="M18" s="35">
        <f>('原始读数'!F99-$B$8)/$G$8</f>
        <v>0.0320170527736716</v>
      </c>
    </row>
    <row r="19" ht="19" customHeight="1">
      <c r="A19" s="34" t="inlineStr">
        <is>
          <t>E</t>
        </is>
      </c>
      <c r="B19" s="35">
        <f>('原始读数'!F12-$B$8)/$G$8</f>
        <v>-0.000184163686251691</v>
      </c>
      <c r="C19" s="35">
        <f>('原始读数'!F20-$B$8)/$G$8</f>
        <v>0.981666896871275</v>
      </c>
      <c r="D19" s="35">
        <f>('原始读数'!F28-$B$8)/$G$8</f>
        <v>0.963391589793022</v>
      </c>
      <c r="E19" s="35">
        <f>('原始读数'!F36-$B$8)/$G$8</f>
        <v>0.988837525506181</v>
      </c>
      <c r="F19" s="35">
        <f>('原始读数'!F44-$B$8)/$G$8</f>
        <v>0.97281136642598</v>
      </c>
      <c r="G19" s="35">
        <f>('原始读数'!F52-$B$8)/$G$8</f>
        <v>0.944740118589659</v>
      </c>
      <c r="H19" s="35">
        <f>('原始读数'!F60-$B$8)/$G$8</f>
        <v>0.853473297734885</v>
      </c>
      <c r="I19" s="35">
        <f>('原始读数'!F68-$B$8)/$G$8</f>
        <v>0.563709370111213</v>
      </c>
      <c r="J19" s="35">
        <f>('原始读数'!F76-$B$8)/$G$8</f>
        <v>0.304265838321916</v>
      </c>
      <c r="K19" s="35">
        <f>('原始读数'!F84-$B$8)/$G$8</f>
        <v>0.11191274559648</v>
      </c>
      <c r="L19" s="35">
        <f>('原始读数'!F92-$B$8)/$G$8</f>
        <v>0.0533016728528033</v>
      </c>
      <c r="M19" s="35">
        <f>('原始读数'!F100-$B$8)/$G$8</f>
        <v>0.0318603177215426</v>
      </c>
    </row>
    <row r="20" ht="19" customHeight="1">
      <c r="A20" s="34" t="inlineStr">
        <is>
          <t>F</t>
        </is>
      </c>
      <c r="B20" s="35">
        <f>('原始读数'!F13-$B$8)/$G$8</f>
        <v>0.000521144048329254</v>
      </c>
      <c r="C20" s="35">
        <f>('原始读数'!F21-$B$8)/$G$8</f>
        <v>0.966377392536081</v>
      </c>
      <c r="D20" s="35">
        <f>('原始读数'!F29-$B$8)/$G$8</f>
        <v>0.991658756444505</v>
      </c>
      <c r="E20" s="35">
        <f>('原始读数'!F37-$B$8)/$G$8</f>
        <v>0.978461665055235</v>
      </c>
      <c r="F20" s="35">
        <f>('原始读数'!F45-$B$8)/$G$8</f>
        <v>0.951895073719352</v>
      </c>
      <c r="G20" s="35">
        <f>('原始读数'!F53-$B$8)/$G$8</f>
        <v>0.958187986062336</v>
      </c>
      <c r="H20" s="35">
        <f>('原始读数'!F61-$B$8)/$G$8</f>
        <v>0.80294975368107</v>
      </c>
      <c r="I20" s="35">
        <f>('原始读数'!F69-$B$8)/$G$8</f>
        <v>0.611396009721492</v>
      </c>
      <c r="J20" s="35">
        <f>('原始读数'!F77-$B$8)/$G$8</f>
        <v>0.273490910836368</v>
      </c>
      <c r="K20" s="35">
        <f>('原始读数'!F85-$B$8)/$G$8</f>
        <v>0.107641715425962</v>
      </c>
      <c r="L20" s="35">
        <f>('原始读数'!F93-$B$8)/$G$8</f>
        <v>0.0556135148717075</v>
      </c>
      <c r="M20" s="35">
        <f>('原始读数'!F101-$B$8)/$G$8</f>
        <v>0.0323226861253234</v>
      </c>
    </row>
    <row r="21" ht="19" customHeight="1">
      <c r="A21" s="34" t="inlineStr">
        <is>
          <t>G</t>
        </is>
      </c>
      <c r="B21" s="35">
        <f>('原始读数'!F14-$B$8)/$G$8</f>
        <v>-0.000364408996200155</v>
      </c>
      <c r="C21" s="35">
        <f>('原始读数'!F22-$B$8)/$G$8</f>
        <v>0.978751624901673</v>
      </c>
      <c r="D21" s="35">
        <f>('原始读数'!F30-$B$8)/$G$8</f>
        <v>0.925728156766399</v>
      </c>
      <c r="E21" s="35">
        <f>('原始读数'!F38-$B$8)/$G$8</f>
        <v>0.958313374104039</v>
      </c>
      <c r="F21" s="35">
        <f>('原始读数'!F46-$B$8)/$G$8</f>
        <v>0.920681288087842</v>
      </c>
      <c r="G21" s="35">
        <f>('原始读数'!F54-$B$8)/$G$8</f>
        <v>0.940594476460844</v>
      </c>
      <c r="H21" s="35">
        <f>('原始读数'!F62-$B$8)/$G$8</f>
        <v>0.789846703323077</v>
      </c>
      <c r="I21" s="35">
        <f>('原始读数'!F70-$B$8)/$G$8</f>
        <v>0.596427812243163</v>
      </c>
      <c r="J21" s="35">
        <f>('原始读数'!F78-$B$8)/$G$8</f>
        <v>0.298560682424417</v>
      </c>
      <c r="K21" s="35">
        <f>('原始读数'!F86-$B$8)/$G$8</f>
        <v>0.10906016764773</v>
      </c>
      <c r="L21" s="35">
        <f>('原始读数'!F94-$B$8)/$G$8</f>
        <v>0.0513111376907637</v>
      </c>
      <c r="M21" s="35">
        <f>('原始读数'!F102-$B$8)/$G$8</f>
        <v>0.0328947690655946</v>
      </c>
    </row>
    <row r="22" ht="19" customHeight="1">
      <c r="A22" s="34" t="inlineStr">
        <is>
          <t>H</t>
        </is>
      </c>
      <c r="B22" s="35">
        <f>('原始读数'!F15-$B$8)/$G$8</f>
        <v>0.000685715853064807</v>
      </c>
      <c r="C22" s="35">
        <f>('原始读数'!F23-$B$8)/$G$8</f>
        <v>1.05943882973773</v>
      </c>
      <c r="D22" s="35">
        <f>('原始读数'!F31-$B$8)/$G$8</f>
        <v>1.0062194427873</v>
      </c>
      <c r="E22" s="35">
        <f>('原始读数'!F39-$B$8)/$G$8</f>
        <v>0.953697526818837</v>
      </c>
      <c r="F22" s="35">
        <f>('原始读数'!F47-$B$8)/$G$8</f>
        <v>1.00248914854663</v>
      </c>
      <c r="G22" s="35">
        <f>('原始读数'!F55-$B$8)/$G$8</f>
        <v>0.942287215023838</v>
      </c>
      <c r="H22" s="35">
        <f>('原始读数'!F63-$B$8)/$G$8</f>
        <v>0.846600465699024</v>
      </c>
      <c r="I22" s="35">
        <f>('原始读数'!F71-$B$8)/$G$8</f>
        <v>0.590981269181677</v>
      </c>
      <c r="J22" s="35">
        <f>('原始读数'!F79-$B$8)/$G$8</f>
        <v>0.288929313471084</v>
      </c>
      <c r="K22" s="35">
        <f>('原始读数'!F87-$B$8)/$G$8</f>
        <v>0.115454957774597</v>
      </c>
      <c r="L22" s="35">
        <f>('原始读数'!F95-$B$8)/$G$8</f>
        <v>0.0526277121286481</v>
      </c>
      <c r="M22" s="35">
        <f>('原始读数'!F103-$B$8)/$G$8</f>
        <v>0.0337881588627305</v>
      </c>
    </row>
    <row r="23" ht="19" customHeight="1"/>
    <row r="24" ht="19" customHeight="1">
      <c r="B24" s="3" t="inlineStr">
        <is>
          <t>孔位颜色按原始读数和本板对照实时计算；所有测量值均保留。</t>
        </is>
      </c>
    </row>
    <row r="25" ht="19" customHeight="1"/>
    <row r="26" ht="19" customHeight="1"/>
    <row r="27" ht="19" customHeight="1">
      <c r="A27" s="5" t="inlineStr">
        <is>
          <t>P2  背景扣除后的相对活性 / %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</row>
    <row r="28" ht="19" customHeight="1">
      <c r="B28" s="33" t="n">
        <v>1</v>
      </c>
      <c r="C28" s="33" t="n">
        <v>2</v>
      </c>
      <c r="D28" s="33" t="n">
        <v>3</v>
      </c>
      <c r="E28" s="33" t="n">
        <v>4</v>
      </c>
      <c r="F28" s="33" t="n">
        <v>5</v>
      </c>
      <c r="G28" s="33" t="n">
        <v>6</v>
      </c>
      <c r="H28" s="33" t="n">
        <v>7</v>
      </c>
      <c r="I28" s="33" t="n">
        <v>8</v>
      </c>
      <c r="J28" s="33" t="n">
        <v>9</v>
      </c>
      <c r="K28" s="33" t="n">
        <v>10</v>
      </c>
      <c r="L28" s="33" t="n">
        <v>11</v>
      </c>
      <c r="M28" s="33" t="n">
        <v>12</v>
      </c>
    </row>
    <row r="29" ht="19" customHeight="1">
      <c r="A29" s="34" t="inlineStr">
        <is>
          <t>A</t>
        </is>
      </c>
      <c r="B29" s="35">
        <f>('原始读数'!F104-$B$9)/$G$9</f>
        <v>-0.000217301242238769</v>
      </c>
      <c r="C29" s="35">
        <f>('原始读数'!F112-$B$9)/$G$9</f>
        <v>0.994096649585847</v>
      </c>
      <c r="D29" s="35">
        <f>('原始读数'!F120-$B$9)/$G$9</f>
        <v>0.957505240404958</v>
      </c>
      <c r="E29" s="35">
        <f>('原始读数'!F128-$B$9)/$G$9</f>
        <v>0.966098356195603</v>
      </c>
      <c r="F29" s="35">
        <f>('原始读数'!F136-$B$9)/$G$9</f>
        <v>0.973695066290129</v>
      </c>
      <c r="G29" s="35">
        <f>('原始读数'!F144-$B$9)/$G$9</f>
        <v>0.901635854351634</v>
      </c>
      <c r="H29" s="35">
        <f>('原始读数'!F152-$B$9)/$G$9</f>
        <v>0.860465218992835</v>
      </c>
      <c r="I29" s="35">
        <f>('原始读数'!F160-$B$9)/$G$9</f>
        <v>0.646449995539141</v>
      </c>
      <c r="J29" s="35">
        <f>('原始读数'!F168-$B$9)/$G$9</f>
        <v>0.306103249890245</v>
      </c>
      <c r="K29" s="35">
        <f>('原始读数'!F176-$B$9)/$G$9</f>
        <v>0.131887720624803</v>
      </c>
      <c r="L29" s="35">
        <f>('原始读数'!F184-$B$9)/$G$9</f>
        <v>0.0638847985414317</v>
      </c>
      <c r="M29" s="35">
        <f>('原始读数'!F192-$B$9)/$G$9</f>
        <v>0.0355261030908893</v>
      </c>
    </row>
    <row r="30" ht="19" customHeight="1">
      <c r="A30" s="34" t="inlineStr">
        <is>
          <t>B</t>
        </is>
      </c>
      <c r="B30" s="35">
        <f>('原始读数'!F105-$B$9)/$G$9</f>
        <v>0.000772037746815785</v>
      </c>
      <c r="C30" s="35">
        <f>('原始读数'!F113-$B$9)/$G$9</f>
        <v>1.02256841234942</v>
      </c>
      <c r="D30" s="35">
        <f>('原始读数'!F121-$B$9)/$G$9</f>
        <v>0.969122906819284</v>
      </c>
      <c r="E30" s="35">
        <f>('原始读数'!F129-$B$9)/$G$9</f>
        <v>1.0004284191158</v>
      </c>
      <c r="F30" s="35">
        <f>('原始读数'!F137-$B$9)/$G$9</f>
        <v>1.0497399010131</v>
      </c>
      <c r="G30" s="35">
        <f>('原始读数'!F145-$B$9)/$G$9</f>
        <v>0.931881360588445</v>
      </c>
      <c r="H30" s="35">
        <f>('原始读数'!F153-$B$9)/$G$9</f>
        <v>0.870019406944276</v>
      </c>
      <c r="I30" s="35">
        <f>('原始读数'!F161-$B$9)/$G$9</f>
        <v>0.605088559089596</v>
      </c>
      <c r="J30" s="35">
        <f>('原始读数'!F169-$B$9)/$G$9</f>
        <v>0.313141690126662</v>
      </c>
      <c r="K30" s="35">
        <f>('原始读数'!F177-$B$9)/$G$9</f>
        <v>0.124651412590575</v>
      </c>
      <c r="L30" s="35">
        <f>('原始读数'!F185-$B$9)/$G$9</f>
        <v>0.0616375856948649</v>
      </c>
      <c r="M30" s="35">
        <f>('原始读数'!F193-$B$9)/$G$9</f>
        <v>0.0366497095141727</v>
      </c>
    </row>
    <row r="31" ht="19" customHeight="1">
      <c r="A31" s="34" t="inlineStr">
        <is>
          <t>C</t>
        </is>
      </c>
      <c r="B31" s="35">
        <f>('原始读数'!F106-$B$9)/$G$9</f>
        <v>-0.000379835504726302</v>
      </c>
      <c r="C31" s="35">
        <f>('原始读数'!F114-$B$9)/$G$9</f>
        <v>1.00355897034545</v>
      </c>
      <c r="D31" s="35">
        <f>('原始读数'!F122-$B$9)/$G$9</f>
        <v>1.04610054687479</v>
      </c>
      <c r="E31" s="35">
        <f>('原始读数'!F130-$B$9)/$G$9</f>
        <v>1.04413600231081</v>
      </c>
      <c r="F31" s="35">
        <f>('原始读数'!F138-$B$9)/$G$9</f>
        <v>0.98031657080973</v>
      </c>
      <c r="G31" s="35">
        <f>('原始读数'!F146-$B$9)/$G$9</f>
        <v>0.998824276612115</v>
      </c>
      <c r="H31" s="35">
        <f>('原始读数'!F154-$B$9)/$G$9</f>
        <v>0.888194977514621</v>
      </c>
      <c r="I31" s="35">
        <f>('原始读数'!F162-$B$9)/$G$9</f>
        <v>1.01075287813729</v>
      </c>
      <c r="J31" s="35">
        <f>('原始读数'!F170-$B$9)/$G$9</f>
        <v>0.310498741684473</v>
      </c>
      <c r="K31" s="35">
        <f>('原始读数'!F178-$B$9)/$G$9</f>
        <v>0.126969292507789</v>
      </c>
      <c r="L31" s="35">
        <f>('原始读数'!F186-$B$9)/$G$9</f>
        <v>0.0661178779738691</v>
      </c>
      <c r="M31" s="35">
        <f>('原始读数'!F194-$B$9)/$G$9</f>
        <v>0.0368122437766603</v>
      </c>
    </row>
    <row r="32" ht="19" customHeight="1">
      <c r="A32" s="34" t="inlineStr">
        <is>
          <t>D</t>
        </is>
      </c>
      <c r="B32" s="35">
        <f>('原始读数'!F107-$B$9)/$G$9</f>
        <v>0.000171367646318377</v>
      </c>
      <c r="C32" s="35">
        <f>('原始读数'!F115-$B$9)/$G$9</f>
        <v>0.978323759417491</v>
      </c>
      <c r="D32" s="35">
        <f>('原始读数'!F123-$B$9)/$G$9</f>
        <v>0.915705668117403</v>
      </c>
      <c r="E32" s="35">
        <f>('原始读数'!F131-$B$9)/$G$9</f>
        <v>1.06569652556514</v>
      </c>
      <c r="F32" s="35">
        <f>('原始读数'!F139-$B$9)/$G$9</f>
        <v>1.00881660040157</v>
      </c>
      <c r="G32" s="35">
        <f>('原始读数'!F147-$B$9)/$G$9</f>
        <v>0.944438899042373</v>
      </c>
      <c r="H32" s="35">
        <f>('原始读数'!F155-$B$9)/$G$9</f>
        <v>0.863800704727362</v>
      </c>
      <c r="I32" s="35">
        <f>('原始读数'!F163-$B$9)/$G$9</f>
        <v>0.623539731235464</v>
      </c>
      <c r="J32" s="35">
        <f>('原始读数'!F171-$B$9)/$G$9</f>
        <v>0.307544858131439</v>
      </c>
      <c r="K32" s="35">
        <f>('原始读数'!F179-$B$9)/$G$9</f>
        <v>0.132092655129678</v>
      </c>
      <c r="L32" s="35">
        <f>('原始读数'!F187-$B$9)/$G$9</f>
        <v>0.0630155935724766</v>
      </c>
      <c r="M32" s="35">
        <f>('原始读数'!F195-$B$9)/$G$9</f>
        <v>0.0368758441402423</v>
      </c>
    </row>
    <row r="33" ht="19" customHeight="1">
      <c r="A33" s="34" t="inlineStr">
        <is>
          <t>E</t>
        </is>
      </c>
      <c r="B33" s="35">
        <f>('原始读数'!F108-$B$9)/$G$9</f>
        <v>0.0000512336262188961</v>
      </c>
      <c r="C33" s="35">
        <f>('原始读数'!F116-$B$9)/$G$9</f>
        <v>1.00165095943798</v>
      </c>
      <c r="D33" s="35">
        <f>('原始读数'!F124-$B$9)/$G$9</f>
        <v>1.01410956399301</v>
      </c>
      <c r="E33" s="35">
        <f>('原始读数'!F132-$B$9)/$G$9</f>
        <v>0.9954463906352</v>
      </c>
      <c r="F33" s="35">
        <f>('原始读数'!F140-$B$9)/$G$9</f>
        <v>0.954706824407346</v>
      </c>
      <c r="G33" s="35">
        <f>('原始读数'!F148-$B$9)/$G$9</f>
        <v>0.929980416388047</v>
      </c>
      <c r="H33" s="35">
        <f>('原始读数'!F156-$B$9)/$G$9</f>
        <v>0.864761776888158</v>
      </c>
      <c r="I33" s="35">
        <f>('原始读数'!F164-$B$9)/$G$9</f>
        <v>0.690256512633064</v>
      </c>
      <c r="J33" s="35">
        <f>('原始读数'!F172-$B$9)/$G$9</f>
        <v>0.332504467483872</v>
      </c>
      <c r="K33" s="35">
        <f>('原始读数'!F180-$B$9)/$G$9</f>
        <v>0.123739807379232</v>
      </c>
      <c r="L33" s="35">
        <f>('原始读数'!F188-$B$9)/$G$9</f>
        <v>0.0651780059342672</v>
      </c>
      <c r="M33" s="35">
        <f>('原始读数'!F196-$B$9)/$G$9</f>
        <v>0.039561192824819</v>
      </c>
    </row>
    <row r="34" ht="19" customHeight="1">
      <c r="A34" s="34" t="inlineStr">
        <is>
          <t>F</t>
        </is>
      </c>
      <c r="B34" s="35">
        <f>('原始读数'!F109-$B$9)/$G$9</f>
        <v>-0.000450502575373056</v>
      </c>
      <c r="C34" s="35">
        <f>('原始读数'!F117-$B$9)/$G$9</f>
        <v>1.01888665796873</v>
      </c>
      <c r="D34" s="35">
        <f>('原始读数'!F125-$B$9)/$G$9</f>
        <v>0.97847216026585</v>
      </c>
      <c r="E34" s="35">
        <f>('原始读数'!F133-$B$9)/$G$9</f>
        <v>0.995269722958583</v>
      </c>
      <c r="F34" s="35">
        <f>('原始读数'!F141-$B$9)/$G$9</f>
        <v>0.962649803148041</v>
      </c>
      <c r="G34" s="35">
        <f>('原始读数'!F149-$B$9)/$G$9</f>
        <v>0.986881541672813</v>
      </c>
      <c r="H34" s="35">
        <f>('原始读数'!F157-$B$9)/$G$9</f>
        <v>0.801882217426676</v>
      </c>
      <c r="I34" s="35">
        <f>('原始读数'!F165-$B$9)/$G$9</f>
        <v>0.64799053767924</v>
      </c>
      <c r="J34" s="35">
        <f>('原始读数'!F173-$B$9)/$G$9</f>
        <v>0.330836724616609</v>
      </c>
      <c r="K34" s="35">
        <f>('原始读数'!F181-$B$9)/$G$9</f>
        <v>0.127195427133858</v>
      </c>
      <c r="L34" s="35">
        <f>('原始读数'!F189-$B$9)/$G$9</f>
        <v>0.0615598519171535</v>
      </c>
      <c r="M34" s="35">
        <f>('原始读数'!F197-$B$9)/$G$9</f>
        <v>0.0367557101201429</v>
      </c>
    </row>
    <row r="35" ht="19" customHeight="1">
      <c r="A35" s="34" t="inlineStr">
        <is>
          <t>G</t>
        </is>
      </c>
      <c r="B35" s="35">
        <f>('原始读数'!F110-$B$9)/$G$9</f>
        <v>0.0000936338686069481</v>
      </c>
      <c r="C35" s="35">
        <f>('原始读数'!F118-$B$9)/$G$9</f>
        <v>0.98804048163142</v>
      </c>
      <c r="D35" s="35">
        <f>('原始读数'!F126-$B$9)/$G$9</f>
        <v>0.999424946712612</v>
      </c>
      <c r="E35" s="35">
        <f>('原始读数'!F134-$B$9)/$G$9</f>
        <v>0.991948370638186</v>
      </c>
      <c r="F35" s="35">
        <f>('原始读数'!F142-$B$9)/$G$9</f>
        <v>0.988683551974305</v>
      </c>
      <c r="G35" s="35">
        <f>('原始读数'!F150-$B$9)/$G$9</f>
        <v>0.920539295749641</v>
      </c>
      <c r="H35" s="35">
        <f>('原始读数'!F158-$B$9)/$G$9</f>
        <v>0.816510301050554</v>
      </c>
      <c r="I35" s="35">
        <f>('原始读数'!F166-$B$9)/$G$9</f>
        <v>0.645050787540335</v>
      </c>
      <c r="J35" s="35">
        <f>('原始读数'!F174-$B$9)/$G$9</f>
        <v>0.331924997504569</v>
      </c>
      <c r="K35" s="35">
        <f>('原始读数'!F182-$B$9)/$G$9</f>
        <v>0.123768074207491</v>
      </c>
      <c r="L35" s="35">
        <f>('原始读数'!F190-$B$9)/$G$9</f>
        <v>0.0610227821802381</v>
      </c>
      <c r="M35" s="35">
        <f>('原始读数'!F198-$B$9)/$G$9</f>
        <v>0.0360207725854166</v>
      </c>
    </row>
    <row r="36" ht="19" customHeight="1">
      <c r="A36" s="34" t="inlineStr">
        <is>
          <t>H</t>
        </is>
      </c>
      <c r="B36" s="35">
        <f>('原始读数'!F111-$B$9)/$G$9</f>
        <v>-0.0000406335656218847</v>
      </c>
      <c r="C36" s="35">
        <f>('原始读数'!F119-$B$9)/$G$9</f>
        <v>0.992874109263658</v>
      </c>
      <c r="D36" s="35">
        <f>('原始读数'!F127-$B$9)/$G$9</f>
        <v>0.989015687206345</v>
      </c>
      <c r="E36" s="35">
        <f>('原始读数'!F135-$B$9)/$G$9</f>
        <v>1.00984833963301</v>
      </c>
      <c r="F36" s="35">
        <f>('原始读数'!F143-$B$9)/$G$9</f>
        <v>0.969985045081174</v>
      </c>
      <c r="G36" s="35">
        <f>('原始读数'!F151-$B$9)/$G$9</f>
        <v>0.934220440626852</v>
      </c>
      <c r="H36" s="35">
        <f>('原始读数'!F159-$B$9)/$G$9</f>
        <v>0.857942404570746</v>
      </c>
      <c r="I36" s="35">
        <f>('原始读数'!F167-$B$9)/$G$9</f>
        <v>0.65432230720919</v>
      </c>
      <c r="J36" s="35">
        <f>('原始读数'!F175-$B$9)/$G$9</f>
        <v>0.316540776224771</v>
      </c>
      <c r="K36" s="35">
        <f>('原始读数'!F183-$B$9)/$G$9</f>
        <v>0.122128598168486</v>
      </c>
      <c r="L36" s="35">
        <f>('原始读数'!F191-$B$9)/$G$9</f>
        <v>0.0627541254110836</v>
      </c>
      <c r="M36" s="35">
        <f>('原始读数'!F199-$B$9)/$G$9</f>
        <v>0.0364306415951678</v>
      </c>
    </row>
    <row r="37" ht="19" customHeight="1"/>
    <row r="38" ht="19" customHeight="1">
      <c r="B38" s="3" t="inlineStr">
        <is>
          <t>孔位颜色按原始读数和本板对照实时计算；所有测量值均保留。</t>
        </is>
      </c>
    </row>
    <row r="39" ht="19" customHeight="1"/>
    <row r="40" ht="19" customHeight="1"/>
    <row r="41" ht="19" customHeight="1">
      <c r="A41" s="5" t="inlineStr">
        <is>
          <t>P3  背景扣除后的相对活性 / %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</row>
    <row r="42" ht="19" customHeight="1">
      <c r="B42" s="33" t="n">
        <v>1</v>
      </c>
      <c r="C42" s="33" t="n">
        <v>2</v>
      </c>
      <c r="D42" s="33" t="n">
        <v>3</v>
      </c>
      <c r="E42" s="33" t="n">
        <v>4</v>
      </c>
      <c r="F42" s="33" t="n">
        <v>5</v>
      </c>
      <c r="G42" s="33" t="n">
        <v>6</v>
      </c>
      <c r="H42" s="33" t="n">
        <v>7</v>
      </c>
      <c r="I42" s="33" t="n">
        <v>8</v>
      </c>
      <c r="J42" s="33" t="n">
        <v>9</v>
      </c>
      <c r="K42" s="33" t="n">
        <v>10</v>
      </c>
      <c r="L42" s="33" t="n">
        <v>11</v>
      </c>
      <c r="M42" s="33" t="n">
        <v>12</v>
      </c>
    </row>
    <row r="43" ht="19" customHeight="1">
      <c r="A43" s="34" t="inlineStr">
        <is>
          <t>A</t>
        </is>
      </c>
      <c r="B43" s="35">
        <f>('原始读数'!F200-$B$10)/$G$10</f>
        <v>0.000247519625510055</v>
      </c>
      <c r="C43" s="35">
        <f>('原始读数'!F208-$B$10)/$G$10</f>
        <v>1.02433666811657</v>
      </c>
      <c r="D43" s="35">
        <f>('原始读数'!F216-$B$10)/$G$10</f>
        <v>0.959985708071833</v>
      </c>
      <c r="E43" s="35">
        <f>('原始读数'!F224-$B$10)/$G$10</f>
        <v>0.96760806976118</v>
      </c>
      <c r="F43" s="35">
        <f>('原始读数'!F232-$B$10)/$G$10</f>
        <v>0.998826611984507</v>
      </c>
      <c r="G43" s="35">
        <f>('原始读数'!F240-$B$10)/$G$10</f>
        <v>0.987732761656207</v>
      </c>
      <c r="H43" s="35">
        <f>('原始读数'!F248-$B$10)/$G$10</f>
        <v>0.841184573002755</v>
      </c>
      <c r="I43" s="35">
        <f>('原始读数'!F256-$B$10)/$G$10</f>
        <v>0.586125437560844</v>
      </c>
      <c r="J43" s="35">
        <f>('原始读数'!F264-$B$10)/$G$10</f>
        <v>0.304122910582241</v>
      </c>
      <c r="K43" s="35">
        <f>('原始读数'!F272-$B$10)/$G$10</f>
        <v>0.125312247561051</v>
      </c>
      <c r="L43" s="35">
        <f>('原始读数'!F280-$B$10)/$G$10</f>
        <v>0.057498084053108</v>
      </c>
      <c r="M43" s="35">
        <f>('原始读数'!F288-$B$10)/$G$10</f>
        <v>0.0339516145736241</v>
      </c>
    </row>
    <row r="44" ht="19" customHeight="1">
      <c r="A44" s="34" t="inlineStr">
        <is>
          <t>B</t>
        </is>
      </c>
      <c r="B44" s="35">
        <f>('原始读数'!F201-$B$10)/$G$10</f>
        <v>-0.000514716543424678</v>
      </c>
      <c r="C44" s="35">
        <f>('原始读数'!F209-$B$10)/$G$10</f>
        <v>0.965304790902877</v>
      </c>
      <c r="D44" s="35">
        <f>('原始读数'!F217-$B$10)/$G$10</f>
        <v>0.931153296464301</v>
      </c>
      <c r="E44" s="35">
        <f>('原始读数'!F225-$B$10)/$G$10</f>
        <v>0.928386047764038</v>
      </c>
      <c r="F44" s="35">
        <f>('原始读数'!F233-$B$10)/$G$10</f>
        <v>1.01012759170654</v>
      </c>
      <c r="G44" s="35">
        <f>('原始读数'!F241-$B$10)/$G$10</f>
        <v>0.932396072826695</v>
      </c>
      <c r="H44" s="35">
        <f>('原始读数'!F249-$B$10)/$G$10</f>
        <v>0.789145384121461</v>
      </c>
      <c r="I44" s="35">
        <f>('原始读数'!F257-$B$10)/$G$10</f>
        <v>0.602008119472234</v>
      </c>
      <c r="J44" s="35">
        <f>('原始读数'!F265-$B$10)/$G$10</f>
        <v>0.307064147973239</v>
      </c>
      <c r="K44" s="35">
        <f>('原始读数'!F273-$B$10)/$G$10</f>
        <v>0.107755960148305</v>
      </c>
      <c r="L44" s="35">
        <f>('原始读数'!F281-$B$10)/$G$10</f>
        <v>0.0553853642370389</v>
      </c>
      <c r="M44" s="35">
        <f>('原始读数'!F289-$B$10)/$G$10</f>
        <v>0.0341421736158578</v>
      </c>
    </row>
    <row r="45" ht="19" customHeight="1">
      <c r="A45" s="34" t="inlineStr">
        <is>
          <t>C</t>
        </is>
      </c>
      <c r="B45" s="35">
        <f>('原始读数'!F202-$B$10)/$G$10</f>
        <v>0.0000155347045299198</v>
      </c>
      <c r="C45" s="35">
        <f>('原始读数'!F210-$B$10)/$G$10</f>
        <v>1.00364858427059</v>
      </c>
      <c r="D45" s="35">
        <f>('原始读数'!F218-$B$10)/$G$10</f>
        <v>0.956464508378384</v>
      </c>
      <c r="E45" s="35">
        <f>('原始读数'!F226-$B$10)/$G$10</f>
        <v>0.943183371652271</v>
      </c>
      <c r="F45" s="35">
        <f>('原始读数'!F234-$B$10)/$G$10</f>
        <v>0.968859131299323</v>
      </c>
      <c r="G45" s="35">
        <f>('原始读数'!F242-$B$10)/$G$10</f>
        <v>0.941658899314402</v>
      </c>
      <c r="H45" s="35">
        <f>('原始读数'!F250-$B$10)/$G$10</f>
        <v>0.821209014271215</v>
      </c>
      <c r="I45" s="35">
        <f>('原始读数'!F258-$B$10)/$G$10</f>
        <v>0.554790902877027</v>
      </c>
      <c r="J45" s="35">
        <f>('原始读数'!F266-$B$10)/$G$10</f>
        <v>0.28626835684252</v>
      </c>
      <c r="K45" s="35">
        <f>('原始读数'!F274-$B$10)/$G$10</f>
        <v>0.111832266616956</v>
      </c>
      <c r="L45" s="35">
        <f>('原始读数'!F282-$B$10)/$G$10</f>
        <v>0.0593373930694505</v>
      </c>
      <c r="M45" s="35">
        <f>('原始读数'!F290-$B$10)/$G$10</f>
        <v>0.0335290706104103</v>
      </c>
    </row>
    <row r="46" ht="19" customHeight="1">
      <c r="A46" s="34" t="inlineStr">
        <is>
          <t>D</t>
        </is>
      </c>
      <c r="B46" s="35">
        <f>('原始读数'!F203-$B$10)/$G$10</f>
        <v>0.000421508316245157</v>
      </c>
      <c r="C46" s="35">
        <f>('原始读数'!F211-$B$10)/$G$10</f>
        <v>1.01484185670789</v>
      </c>
      <c r="D46" s="35">
        <f>('原始读数'!F219-$B$10)/$G$10</f>
        <v>0.952935023509186</v>
      </c>
      <c r="E46" s="35">
        <f>('原始读数'!F227-$B$10)/$G$10</f>
        <v>0.969248534559539</v>
      </c>
      <c r="F46" s="35">
        <f>('原始读数'!F235-$B$10)/$G$10</f>
        <v>0.935635576544668</v>
      </c>
      <c r="G46" s="35">
        <f>('原始读数'!F243-$B$10)/$G$10</f>
        <v>0.990599432465461</v>
      </c>
      <c r="H46" s="35">
        <f>('原始读数'!F251-$B$10)/$G$10</f>
        <v>0.798333644027424</v>
      </c>
      <c r="I46" s="35">
        <f>('原始读数'!F259-$B$10)/$G$10</f>
        <v>0.584021002920525</v>
      </c>
      <c r="J46" s="35">
        <f>('原始读数'!F267-$B$10)/$G$10</f>
        <v>0.305630812568612</v>
      </c>
      <c r="K46" s="35">
        <f>('原始读数'!F275-$B$10)/$G$10</f>
        <v>0.110978893514779</v>
      </c>
      <c r="L46" s="35">
        <f>('原始读数'!F283-$B$10)/$G$10</f>
        <v>0.0573240953623729</v>
      </c>
      <c r="M46" s="35">
        <f>('原始读数'!F291-$B$10)/$G$10</f>
        <v>0.0352358168147642</v>
      </c>
    </row>
    <row r="47" ht="19" customHeight="1">
      <c r="A47" s="34" t="inlineStr">
        <is>
          <t>E</t>
        </is>
      </c>
      <c r="B47" s="35">
        <f>('原始读数'!F204-$B$10)/$G$10</f>
        <v>-0.000141883634706602</v>
      </c>
      <c r="C47" s="35">
        <f>('原始读数'!F212-$B$10)/$G$10</f>
        <v>1.03953996561652</v>
      </c>
      <c r="D47" s="35">
        <f>('原始读数'!F220-$B$10)/$G$10</f>
        <v>0.995761096957269</v>
      </c>
      <c r="E47" s="35">
        <f>('原始读数'!F228-$B$10)/$G$10</f>
        <v>1.00950620352534</v>
      </c>
      <c r="F47" s="35">
        <f>('原始读数'!F236-$B$10)/$G$10</f>
        <v>0.964625406491435</v>
      </c>
      <c r="G47" s="35">
        <f>('原始读数'!F244-$B$10)/$G$10</f>
        <v>0.874888667950869</v>
      </c>
      <c r="H47" s="35">
        <f>('原始读数'!F252-$B$10)/$G$10</f>
        <v>0.856503862963193</v>
      </c>
      <c r="I47" s="35">
        <f>('原始读数'!F260-$B$10)/$G$10</f>
        <v>0.615239545143851</v>
      </c>
      <c r="J47" s="35">
        <f>('原始读数'!F268-$B$10)/$G$10</f>
        <v>0.307130429379233</v>
      </c>
      <c r="K47" s="35">
        <f>('原始读数'!F276-$B$10)/$G$10</f>
        <v>0.110705482715052</v>
      </c>
      <c r="L47" s="35">
        <f>('原始读数'!F284-$B$10)/$G$10</f>
        <v>0.0569098365749084</v>
      </c>
      <c r="M47" s="35">
        <f>('原始读数'!F292-$B$10)/$G$10</f>
        <v>0.0342415957248493</v>
      </c>
    </row>
    <row r="48" ht="19" customHeight="1">
      <c r="A48" s="34" t="inlineStr">
        <is>
          <t>F</t>
        </is>
      </c>
      <c r="B48" s="35">
        <f>('原始读数'!F205-$B$10)/$G$10</f>
        <v>0.000164667868017149</v>
      </c>
      <c r="C48" s="35">
        <f>('原始读数'!F213-$B$10)/$G$10</f>
        <v>0.992223326912322</v>
      </c>
      <c r="D48" s="35">
        <f>('原始读数'!F221-$B$10)/$G$10</f>
        <v>0.981204043165766</v>
      </c>
      <c r="E48" s="35">
        <f>('原始读数'!F229-$B$10)/$G$10</f>
        <v>0.961684169100437</v>
      </c>
      <c r="F48" s="35">
        <f>('原始读数'!F237-$B$10)/$G$10</f>
        <v>0.964782824830672</v>
      </c>
      <c r="G48" s="35">
        <f>('原始读数'!F245-$B$10)/$G$10</f>
        <v>0.916604527848547</v>
      </c>
      <c r="H48" s="35">
        <f>('原始读数'!F253-$B$10)/$G$10</f>
        <v>0.810852544584602</v>
      </c>
      <c r="I48" s="35">
        <f>('原始读数'!F261-$B$10)/$G$10</f>
        <v>0.550184345160422</v>
      </c>
      <c r="J48" s="35">
        <f>('原始读数'!F269-$B$10)/$G$10</f>
        <v>0.304230617866981</v>
      </c>
      <c r="K48" s="35">
        <f>('原始读数'!F277-$B$10)/$G$10</f>
        <v>0.113398164833572</v>
      </c>
      <c r="L48" s="35">
        <f>('原始读数'!F285-$B$10)/$G$10</f>
        <v>0.056727562708424</v>
      </c>
      <c r="M48" s="35">
        <f>('原始读数'!F293-$B$10)/$G$10</f>
        <v>0.0328993972534642</v>
      </c>
    </row>
    <row r="49" ht="19" customHeight="1">
      <c r="A49" s="34" t="inlineStr">
        <is>
          <t>G</t>
        </is>
      </c>
      <c r="B49" s="35">
        <f>('原始读数'!F206-$B$10)/$G$10</f>
        <v>-0.000100457755960149</v>
      </c>
      <c r="C49" s="35">
        <f>('原始读数'!F214-$B$10)/$G$10</f>
        <v>1.0018341307815</v>
      </c>
      <c r="D49" s="35">
        <f>('原始读数'!F222-$B$10)/$G$10</f>
        <v>1.01601835166429</v>
      </c>
      <c r="E49" s="35">
        <f>('原始读数'!F230-$B$10)/$G$10</f>
        <v>0.941236355351188</v>
      </c>
      <c r="F49" s="35">
        <f>('原始读数'!F238-$B$10)/$G$10</f>
        <v>0.945428654280329</v>
      </c>
      <c r="G49" s="35">
        <f>('原始读数'!F246-$B$10)/$G$10</f>
        <v>0.981651442656227</v>
      </c>
      <c r="H49" s="35">
        <f>('原始读数'!F254-$B$10)/$G$10</f>
        <v>0.860770728474078</v>
      </c>
      <c r="I49" s="35">
        <f>('原始读数'!F262-$B$10)/$G$10</f>
        <v>0.610202158288283</v>
      </c>
      <c r="J49" s="35">
        <f>('原始读数'!F270-$B$10)/$G$10</f>
        <v>0.285116717413368</v>
      </c>
      <c r="K49" s="35">
        <f>('原始读数'!F278-$B$10)/$G$10</f>
        <v>0.115510884649641</v>
      </c>
      <c r="L49" s="35">
        <f>('原始读数'!F286-$B$10)/$G$10</f>
        <v>0.0573075250108743</v>
      </c>
      <c r="M49" s="35">
        <f>('原始读数'!F294-$B$10)/$G$10</f>
        <v>0.0318223244060565</v>
      </c>
    </row>
    <row r="50" ht="19" customHeight="1">
      <c r="A50" s="34" t="inlineStr">
        <is>
          <t>H</t>
        </is>
      </c>
      <c r="B50" s="35">
        <f>('原始读数'!F207-$B$10)/$G$10</f>
        <v>-0.0000921725802108587</v>
      </c>
      <c r="C50" s="35">
        <f>('原始读数'!F215-$B$10)/$G$10</f>
        <v>0.95827067669173</v>
      </c>
      <c r="D50" s="35">
        <f>('原始读数'!F223-$B$10)/$G$10</f>
        <v>0.971941216678059</v>
      </c>
      <c r="E50" s="35">
        <f>('原始读数'!F231-$B$10)/$G$10</f>
        <v>0.984998653658941</v>
      </c>
      <c r="F50" s="35">
        <f>('原始读数'!F239-$B$10)/$G$10</f>
        <v>0.96374717786201</v>
      </c>
      <c r="G50" s="35">
        <f>('原始读数'!F247-$B$10)/$G$10</f>
        <v>0.929504546490192</v>
      </c>
      <c r="H50" s="35">
        <f>('原始读数'!F255-$B$10)/$G$10</f>
        <v>0.857000973508151</v>
      </c>
      <c r="I50" s="35">
        <f>('原始读数'!F263-$B$10)/$G$10</f>
        <v>0.63242299964788</v>
      </c>
      <c r="J50" s="35">
        <f>('原始读数'!F271-$B$10)/$G$10</f>
        <v>0.287461422150417</v>
      </c>
      <c r="K50" s="35">
        <f>('原始读数'!F279-$B$10)/$G$10</f>
        <v>0.109454421176909</v>
      </c>
      <c r="L50" s="35">
        <f>('原始读数'!F287-$B$10)/$G$10</f>
        <v>0.0580449056525612</v>
      </c>
      <c r="M50" s="35">
        <f>('原始读数'!F295-$B$10)/$G$10</f>
        <v>0.0335042150831625</v>
      </c>
    </row>
    <row r="51" ht="19" customHeight="1"/>
    <row r="52" ht="19" customHeight="1">
      <c r="B52" s="3" t="inlineStr">
        <is>
          <t>孔位颜色按原始读数和本板对照实时计算；所有测量值均保留。</t>
        </is>
      </c>
    </row>
    <row r="53" ht="19" customHeight="1"/>
    <row r="54" ht="19" customHeight="1"/>
    <row r="55" ht="19" customHeight="1"/>
    <row r="56" ht="19" customHeight="1"/>
    <row r="57" ht="10" customHeight="1"/>
  </sheetData>
  <mergeCells count="9">
    <mergeCell ref="B24:M24"/>
    <mergeCell ref="A13:M13"/>
    <mergeCell ref="B38:M38"/>
    <mergeCell ref="A27:M27"/>
    <mergeCell ref="A3:M3"/>
    <mergeCell ref="B52:M52"/>
    <mergeCell ref="A41:M41"/>
    <mergeCell ref="A2:M2"/>
    <mergeCell ref="A11:M11"/>
  </mergeCells>
  <conditionalFormatting sqref="B15:M22">
    <cfRule type="colorScale" priority="1">
      <colorScale>
        <cfvo type="num" val="0"/>
        <cfvo type="num" val="0.5"/>
        <cfvo type="num" val="1"/>
        <color rgb="00F3EEF7"/>
        <color rgb="00B1A0C5"/>
        <color rgb="00527F97"/>
      </colorScale>
    </cfRule>
  </conditionalFormatting>
  <conditionalFormatting sqref="B29:M36">
    <cfRule type="colorScale" priority="2">
      <colorScale>
        <cfvo type="num" val="0"/>
        <cfvo type="num" val="0.5"/>
        <cfvo type="num" val="1"/>
        <color rgb="00F3EEF7"/>
        <color rgb="00B1A0C5"/>
        <color rgb="00527F97"/>
      </colorScale>
    </cfRule>
  </conditionalFormatting>
  <conditionalFormatting sqref="B43:M50">
    <cfRule type="colorScale" priority="3">
      <colorScale>
        <cfvo type="num" val="0"/>
        <cfvo type="num" val="0.5"/>
        <cfvo type="num" val="1"/>
        <color rgb="00F3EEF7"/>
        <color rgb="00B1A0C5"/>
        <color rgb="00527F97"/>
      </colorScale>
    </cfRule>
  </conditionalFormatting>
  <printOptions horizontalCentered="1"/>
  <pageMargins left="0.28" right="0.28" top="0.25" bottom="0.25" header="0" footer="0.1"/>
  <pageSetup orientation="portrait" paperSize="8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2:G295"/>
  <sheetViews>
    <sheetView showGridLines="0" zoomScale="85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7" customWidth="1" min="3" max="3"/>
    <col width="17" customWidth="1" min="4" max="4"/>
    <col width="17" customWidth="1" min="5" max="5"/>
    <col width="17" customWidth="1" min="6" max="6"/>
    <col width="38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</cols>
  <sheetData>
    <row r="1" ht="19" customHeight="1"/>
    <row r="2" ht="34" customHeight="1">
      <c r="A2" s="18" t="inlineStr">
        <is>
          <t>原始荧光读数</t>
        </is>
      </c>
    </row>
    <row r="3" ht="30" customHeight="1">
      <c r="A3" s="2" t="inlineStr">
        <is>
          <t>288 个模拟孔位全部保留；此预览展示前 39 条原始读数</t>
        </is>
      </c>
    </row>
    <row r="4" ht="30" customHeight="1">
      <c r="A4" s="3" t="inlineStr">
        <is>
          <t>模拟方法：固定种子 41865；浓度响应叠加批次差异和测量噪声，记录中保留一处偏差。</t>
        </is>
      </c>
    </row>
    <row r="5" ht="19" customHeight="1"/>
    <row r="6" ht="19" customHeight="1"/>
    <row r="7" ht="32" customHeight="1">
      <c r="A7" s="19" t="inlineStr">
        <is>
          <t>批次</t>
        </is>
      </c>
      <c r="B7" s="19" t="inlineStr">
        <is>
          <t>孔位</t>
        </is>
      </c>
      <c r="C7" s="19" t="inlineStr">
        <is>
          <t>类型</t>
        </is>
      </c>
      <c r="D7" s="19" t="inlineStr">
        <is>
          <t>浓度µM</t>
        </is>
      </c>
      <c r="E7" s="19" t="inlineStr">
        <is>
          <t>技术重复</t>
        </is>
      </c>
      <c r="F7" s="19" t="inlineStr">
        <is>
          <t>荧光RFU</t>
        </is>
      </c>
      <c r="G7" s="19" t="inlineStr">
        <is>
          <t>记录</t>
        </is>
      </c>
    </row>
    <row r="8" ht="19" customHeight="1">
      <c r="A8" s="25" t="inlineStr">
        <is>
          <t>P1</t>
        </is>
      </c>
      <c r="B8" s="25" t="inlineStr">
        <is>
          <t>A01</t>
        </is>
      </c>
      <c r="C8" s="25" t="inlineStr">
        <is>
          <t>空白</t>
        </is>
      </c>
      <c r="D8" s="9" t="n"/>
      <c r="E8" s="36" t="n">
        <v>1</v>
      </c>
      <c r="F8" s="37" t="n">
        <v>142.1</v>
      </c>
      <c r="G8" s="25" t="inlineStr"/>
    </row>
    <row r="9" ht="19" customHeight="1">
      <c r="A9" s="30" t="inlineStr">
        <is>
          <t>P1</t>
        </is>
      </c>
      <c r="B9" s="30" t="inlineStr">
        <is>
          <t>B01</t>
        </is>
      </c>
      <c r="C9" s="30" t="inlineStr">
        <is>
          <t>空白</t>
        </is>
      </c>
      <c r="D9" s="13" t="n"/>
      <c r="E9" s="38" t="n">
        <v>2</v>
      </c>
      <c r="F9" s="39" t="n">
        <v>151.1</v>
      </c>
      <c r="G9" s="30" t="inlineStr"/>
    </row>
    <row r="10" ht="19" customHeight="1">
      <c r="A10" s="25" t="inlineStr">
        <is>
          <t>P1</t>
        </is>
      </c>
      <c r="B10" s="25" t="inlineStr">
        <is>
          <t>C01</t>
        </is>
      </c>
      <c r="C10" s="25" t="inlineStr">
        <is>
          <t>空白</t>
        </is>
      </c>
      <c r="D10" s="9" t="n"/>
      <c r="E10" s="36" t="n">
        <v>3</v>
      </c>
      <c r="F10" s="37" t="n">
        <v>146.7</v>
      </c>
      <c r="G10" s="25" t="inlineStr"/>
    </row>
    <row r="11" ht="19" customHeight="1">
      <c r="A11" s="30" t="inlineStr">
        <is>
          <t>P1</t>
        </is>
      </c>
      <c r="B11" s="30" t="inlineStr">
        <is>
          <t>D01</t>
        </is>
      </c>
      <c r="C11" s="30" t="inlineStr">
        <is>
          <t>空白</t>
        </is>
      </c>
      <c r="D11" s="13" t="n"/>
      <c r="E11" s="38" t="n">
        <v>4</v>
      </c>
      <c r="F11" s="39" t="n">
        <v>141.1</v>
      </c>
      <c r="G11" s="30" t="inlineStr"/>
    </row>
    <row r="12" ht="19" customHeight="1">
      <c r="A12" s="25" t="inlineStr">
        <is>
          <t>P1</t>
        </is>
      </c>
      <c r="B12" s="25" t="inlineStr">
        <is>
          <t>E01</t>
        </is>
      </c>
      <c r="C12" s="25" t="inlineStr">
        <is>
          <t>空白</t>
        </is>
      </c>
      <c r="D12" s="9" t="n"/>
      <c r="E12" s="36" t="n">
        <v>5</v>
      </c>
      <c r="F12" s="37" t="n">
        <v>145</v>
      </c>
      <c r="G12" s="25" t="inlineStr"/>
    </row>
    <row r="13" ht="19" customHeight="1">
      <c r="A13" s="30" t="inlineStr">
        <is>
          <t>P1</t>
        </is>
      </c>
      <c r="B13" s="30" t="inlineStr">
        <is>
          <t>F01</t>
        </is>
      </c>
      <c r="C13" s="30" t="inlineStr">
        <is>
          <t>空白</t>
        </is>
      </c>
      <c r="D13" s="13" t="n"/>
      <c r="E13" s="38" t="n">
        <v>6</v>
      </c>
      <c r="F13" s="39" t="n">
        <v>154</v>
      </c>
      <c r="G13" s="30" t="inlineStr"/>
    </row>
    <row r="14" ht="19" customHeight="1">
      <c r="A14" s="25" t="inlineStr">
        <is>
          <t>P1</t>
        </is>
      </c>
      <c r="B14" s="25" t="inlineStr">
        <is>
          <t>G01</t>
        </is>
      </c>
      <c r="C14" s="25" t="inlineStr">
        <is>
          <t>空白</t>
        </is>
      </c>
      <c r="D14" s="9" t="n"/>
      <c r="E14" s="36" t="n">
        <v>7</v>
      </c>
      <c r="F14" s="37" t="n">
        <v>142.7</v>
      </c>
      <c r="G14" s="25" t="inlineStr"/>
    </row>
    <row r="15" ht="19" customHeight="1">
      <c r="A15" s="30" t="inlineStr">
        <is>
          <t>P1</t>
        </is>
      </c>
      <c r="B15" s="30" t="inlineStr">
        <is>
          <t>H01</t>
        </is>
      </c>
      <c r="C15" s="30" t="inlineStr">
        <is>
          <t>空白</t>
        </is>
      </c>
      <c r="D15" s="13" t="n"/>
      <c r="E15" s="38" t="n">
        <v>8</v>
      </c>
      <c r="F15" s="39" t="n">
        <v>156.1</v>
      </c>
      <c r="G15" s="30" t="inlineStr"/>
    </row>
    <row r="16" ht="19" customHeight="1">
      <c r="A16" s="25" t="inlineStr">
        <is>
          <t>P1</t>
        </is>
      </c>
      <c r="B16" s="25" t="inlineStr">
        <is>
          <t>A02</t>
        </is>
      </c>
      <c r="C16" s="25" t="inlineStr">
        <is>
          <t>溶剂对照</t>
        </is>
      </c>
      <c r="D16" s="9" t="n"/>
      <c r="E16" s="36" t="n">
        <v>1</v>
      </c>
      <c r="F16" s="37" t="n">
        <v>12274.8</v>
      </c>
      <c r="G16" s="25" t="inlineStr"/>
    </row>
    <row r="17" ht="19" customHeight="1">
      <c r="A17" s="30" t="inlineStr">
        <is>
          <t>P1</t>
        </is>
      </c>
      <c r="B17" s="30" t="inlineStr">
        <is>
          <t>B02</t>
        </is>
      </c>
      <c r="C17" s="30" t="inlineStr">
        <is>
          <t>溶剂对照</t>
        </is>
      </c>
      <c r="D17" s="13" t="n"/>
      <c r="E17" s="38" t="n">
        <v>2</v>
      </c>
      <c r="F17" s="39" t="n">
        <v>13367.2</v>
      </c>
      <c r="G17" s="30" t="inlineStr"/>
    </row>
    <row r="18" ht="19" customHeight="1">
      <c r="A18" s="25" t="inlineStr">
        <is>
          <t>P1</t>
        </is>
      </c>
      <c r="B18" s="25" t="inlineStr">
        <is>
          <t>C02</t>
        </is>
      </c>
      <c r="C18" s="25" t="inlineStr">
        <is>
          <t>溶剂对照</t>
        </is>
      </c>
      <c r="D18" s="9" t="n"/>
      <c r="E18" s="36" t="n">
        <v>3</v>
      </c>
      <c r="F18" s="37" t="n">
        <v>12910.7</v>
      </c>
      <c r="G18" s="25" t="inlineStr"/>
    </row>
    <row r="19" ht="19" customHeight="1">
      <c r="A19" s="30" t="inlineStr">
        <is>
          <t>P1</t>
        </is>
      </c>
      <c r="B19" s="30" t="inlineStr">
        <is>
          <t>D02</t>
        </is>
      </c>
      <c r="C19" s="30" t="inlineStr">
        <is>
          <t>溶剂对照</t>
        </is>
      </c>
      <c r="D19" s="13" t="n"/>
      <c r="E19" s="38" t="n">
        <v>4</v>
      </c>
      <c r="F19" s="39" t="n">
        <v>13253.9</v>
      </c>
      <c r="G19" s="30" t="inlineStr"/>
    </row>
    <row r="20" ht="19" customHeight="1">
      <c r="A20" s="25" t="inlineStr">
        <is>
          <t>P1</t>
        </is>
      </c>
      <c r="B20" s="25" t="inlineStr">
        <is>
          <t>E02</t>
        </is>
      </c>
      <c r="C20" s="25" t="inlineStr">
        <is>
          <t>溶剂对照</t>
        </is>
      </c>
      <c r="D20" s="9" t="n"/>
      <c r="E20" s="36" t="n">
        <v>5</v>
      </c>
      <c r="F20" s="37" t="n">
        <v>12673.8</v>
      </c>
      <c r="G20" s="25" t="inlineStr"/>
    </row>
    <row r="21" ht="19" customHeight="1">
      <c r="A21" s="30" t="inlineStr">
        <is>
          <t>P1</t>
        </is>
      </c>
      <c r="B21" s="30" t="inlineStr">
        <is>
          <t>F02</t>
        </is>
      </c>
      <c r="C21" s="30" t="inlineStr">
        <is>
          <t>溶剂对照</t>
        </is>
      </c>
      <c r="D21" s="13" t="n"/>
      <c r="E21" s="38" t="n">
        <v>6</v>
      </c>
      <c r="F21" s="39" t="n">
        <v>12478.7</v>
      </c>
      <c r="G21" s="30" t="inlineStr"/>
    </row>
    <row r="22" ht="19" customHeight="1">
      <c r="A22" s="25" t="inlineStr">
        <is>
          <t>P1</t>
        </is>
      </c>
      <c r="B22" s="25" t="inlineStr">
        <is>
          <t>G02</t>
        </is>
      </c>
      <c r="C22" s="25" t="inlineStr">
        <is>
          <t>溶剂对照</t>
        </is>
      </c>
      <c r="D22" s="9" t="n"/>
      <c r="E22" s="36" t="n">
        <v>7</v>
      </c>
      <c r="F22" s="37" t="n">
        <v>12636.6</v>
      </c>
      <c r="G22" s="25" t="inlineStr"/>
    </row>
    <row r="23" ht="19" customHeight="1">
      <c r="A23" s="30" t="inlineStr">
        <is>
          <t>P1</t>
        </is>
      </c>
      <c r="B23" s="30" t="inlineStr">
        <is>
          <t>H02</t>
        </is>
      </c>
      <c r="C23" s="30" t="inlineStr">
        <is>
          <t>溶剂对照</t>
        </is>
      </c>
      <c r="D23" s="13" t="n"/>
      <c r="E23" s="38" t="n">
        <v>8</v>
      </c>
      <c r="F23" s="39" t="n">
        <v>13666.2</v>
      </c>
      <c r="G23" s="30" t="inlineStr"/>
    </row>
    <row r="24" ht="19" customHeight="1">
      <c r="A24" s="25" t="inlineStr">
        <is>
          <t>P1</t>
        </is>
      </c>
      <c r="B24" s="25" t="inlineStr">
        <is>
          <t>A03</t>
        </is>
      </c>
      <c r="C24" s="25" t="inlineStr">
        <is>
          <t>样品</t>
        </is>
      </c>
      <c r="D24" s="9" t="n">
        <v>0.01</v>
      </c>
      <c r="E24" s="36" t="n">
        <v>1</v>
      </c>
      <c r="F24" s="37" t="n">
        <v>11950.4</v>
      </c>
      <c r="G24" s="25" t="inlineStr"/>
    </row>
    <row r="25" ht="19" customHeight="1">
      <c r="A25" s="30" t="inlineStr">
        <is>
          <t>P1</t>
        </is>
      </c>
      <c r="B25" s="30" t="inlineStr">
        <is>
          <t>B03</t>
        </is>
      </c>
      <c r="C25" s="30" t="inlineStr">
        <is>
          <t>样品</t>
        </is>
      </c>
      <c r="D25" s="13" t="n">
        <v>0.01</v>
      </c>
      <c r="E25" s="38" t="n">
        <v>2</v>
      </c>
      <c r="F25" s="39" t="n">
        <v>13356.2</v>
      </c>
      <c r="G25" s="30" t="inlineStr"/>
    </row>
    <row r="26" ht="19" customHeight="1">
      <c r="A26" s="25" t="inlineStr">
        <is>
          <t>P1</t>
        </is>
      </c>
      <c r="B26" s="25" t="inlineStr">
        <is>
          <t>C03</t>
        </is>
      </c>
      <c r="C26" s="25" t="inlineStr">
        <is>
          <t>样品</t>
        </is>
      </c>
      <c r="D26" s="9" t="n">
        <v>0.01</v>
      </c>
      <c r="E26" s="36" t="n">
        <v>3</v>
      </c>
      <c r="F26" s="37" t="n">
        <v>13075.8</v>
      </c>
      <c r="G26" s="25" t="inlineStr"/>
    </row>
    <row r="27" ht="19" customHeight="1">
      <c r="A27" s="30" t="inlineStr">
        <is>
          <t>P1</t>
        </is>
      </c>
      <c r="B27" s="30" t="inlineStr">
        <is>
          <t>D03</t>
        </is>
      </c>
      <c r="C27" s="30" t="inlineStr">
        <is>
          <t>样品</t>
        </is>
      </c>
      <c r="D27" s="13" t="n">
        <v>0.01</v>
      </c>
      <c r="E27" s="38" t="n">
        <v>4</v>
      </c>
      <c r="F27" s="39" t="n">
        <v>13624.7</v>
      </c>
      <c r="G27" s="30" t="inlineStr"/>
    </row>
    <row r="28" ht="19" customHeight="1">
      <c r="A28" s="25" t="inlineStr">
        <is>
          <t>P1</t>
        </is>
      </c>
      <c r="B28" s="25" t="inlineStr">
        <is>
          <t>E03</t>
        </is>
      </c>
      <c r="C28" s="25" t="inlineStr">
        <is>
          <t>样品</t>
        </is>
      </c>
      <c r="D28" s="9" t="n">
        <v>0.01</v>
      </c>
      <c r="E28" s="36" t="n">
        <v>5</v>
      </c>
      <c r="F28" s="37" t="n">
        <v>12440.6</v>
      </c>
      <c r="G28" s="25" t="inlineStr"/>
    </row>
    <row r="29" ht="19" customHeight="1">
      <c r="A29" s="30" t="inlineStr">
        <is>
          <t>P1</t>
        </is>
      </c>
      <c r="B29" s="30" t="inlineStr">
        <is>
          <t>F03</t>
        </is>
      </c>
      <c r="C29" s="30" t="inlineStr">
        <is>
          <t>样品</t>
        </is>
      </c>
      <c r="D29" s="13" t="n">
        <v>0.01</v>
      </c>
      <c r="E29" s="38" t="n">
        <v>6</v>
      </c>
      <c r="F29" s="39" t="n">
        <v>12801.3</v>
      </c>
      <c r="G29" s="30" t="inlineStr"/>
    </row>
    <row r="30" ht="19" customHeight="1">
      <c r="A30" s="25" t="inlineStr">
        <is>
          <t>P1</t>
        </is>
      </c>
      <c r="B30" s="25" t="inlineStr">
        <is>
          <t>G03</t>
        </is>
      </c>
      <c r="C30" s="25" t="inlineStr">
        <is>
          <t>样品</t>
        </is>
      </c>
      <c r="D30" s="9" t="n">
        <v>0.01</v>
      </c>
      <c r="E30" s="36" t="n">
        <v>7</v>
      </c>
      <c r="F30" s="37" t="n">
        <v>11960</v>
      </c>
      <c r="G30" s="25" t="inlineStr"/>
    </row>
    <row r="31" ht="19" customHeight="1">
      <c r="A31" s="30" t="inlineStr">
        <is>
          <t>P1</t>
        </is>
      </c>
      <c r="B31" s="30" t="inlineStr">
        <is>
          <t>H03</t>
        </is>
      </c>
      <c r="C31" s="30" t="inlineStr">
        <is>
          <t>样品</t>
        </is>
      </c>
      <c r="D31" s="13" t="n">
        <v>0.01</v>
      </c>
      <c r="E31" s="38" t="n">
        <v>8</v>
      </c>
      <c r="F31" s="39" t="n">
        <v>12987.1</v>
      </c>
      <c r="G31" s="30" t="inlineStr"/>
    </row>
    <row r="32" ht="19" customHeight="1">
      <c r="A32" s="25" t="inlineStr">
        <is>
          <t>P1</t>
        </is>
      </c>
      <c r="B32" s="25" t="inlineStr">
        <is>
          <t>A04</t>
        </is>
      </c>
      <c r="C32" s="25" t="inlineStr">
        <is>
          <t>样品</t>
        </is>
      </c>
      <c r="D32" s="9" t="n">
        <v>0.03</v>
      </c>
      <c r="E32" s="36" t="n">
        <v>1</v>
      </c>
      <c r="F32" s="37" t="n">
        <v>13434.9</v>
      </c>
      <c r="G32" s="25" t="inlineStr"/>
    </row>
    <row r="33" ht="19" customHeight="1">
      <c r="A33" s="30" t="inlineStr">
        <is>
          <t>P1</t>
        </is>
      </c>
      <c r="B33" s="30" t="inlineStr">
        <is>
          <t>B04</t>
        </is>
      </c>
      <c r="C33" s="30" t="inlineStr">
        <is>
          <t>样品</t>
        </is>
      </c>
      <c r="D33" s="13" t="n">
        <v>0.03</v>
      </c>
      <c r="E33" s="38" t="n">
        <v>2</v>
      </c>
      <c r="F33" s="39" t="n">
        <v>12200.2</v>
      </c>
      <c r="G33" s="30" t="inlineStr"/>
    </row>
    <row r="34" ht="19" customHeight="1">
      <c r="A34" s="25" t="inlineStr">
        <is>
          <t>P1</t>
        </is>
      </c>
      <c r="B34" s="25" t="inlineStr">
        <is>
          <t>C04</t>
        </is>
      </c>
      <c r="C34" s="25" t="inlineStr">
        <is>
          <t>样品</t>
        </is>
      </c>
      <c r="D34" s="9" t="n">
        <v>0.03</v>
      </c>
      <c r="E34" s="36" t="n">
        <v>3</v>
      </c>
      <c r="F34" s="37" t="n">
        <v>12785.6</v>
      </c>
      <c r="G34" s="25" t="inlineStr"/>
    </row>
    <row r="35" ht="19" customHeight="1">
      <c r="A35" s="30" t="inlineStr">
        <is>
          <t>P1</t>
        </is>
      </c>
      <c r="B35" s="30" t="inlineStr">
        <is>
          <t>D04</t>
        </is>
      </c>
      <c r="C35" s="30" t="inlineStr">
        <is>
          <t>样品</t>
        </is>
      </c>
      <c r="D35" s="13" t="n">
        <v>0.03</v>
      </c>
      <c r="E35" s="38" t="n">
        <v>4</v>
      </c>
      <c r="F35" s="39" t="n">
        <v>12902.3</v>
      </c>
      <c r="G35" s="30" t="inlineStr"/>
    </row>
    <row r="36" ht="19" customHeight="1">
      <c r="A36" s="25" t="inlineStr">
        <is>
          <t>P1</t>
        </is>
      </c>
      <c r="B36" s="25" t="inlineStr">
        <is>
          <t>E04</t>
        </is>
      </c>
      <c r="C36" s="25" t="inlineStr">
        <is>
          <t>样品</t>
        </is>
      </c>
      <c r="D36" s="9" t="n">
        <v>0.03</v>
      </c>
      <c r="E36" s="36" t="n">
        <v>5</v>
      </c>
      <c r="F36" s="37" t="n">
        <v>12765.3</v>
      </c>
      <c r="G36" s="25" t="inlineStr"/>
    </row>
    <row r="37" ht="19" customHeight="1">
      <c r="A37" s="30" t="inlineStr">
        <is>
          <t>P1</t>
        </is>
      </c>
      <c r="B37" s="30" t="inlineStr">
        <is>
          <t>F04</t>
        </is>
      </c>
      <c r="C37" s="30" t="inlineStr">
        <is>
          <t>样品</t>
        </is>
      </c>
      <c r="D37" s="13" t="n">
        <v>0.03</v>
      </c>
      <c r="E37" s="38" t="n">
        <v>6</v>
      </c>
      <c r="F37" s="39" t="n">
        <v>12632.9</v>
      </c>
      <c r="G37" s="30" t="inlineStr"/>
    </row>
    <row r="38" ht="19" customHeight="1">
      <c r="A38" s="25" t="inlineStr">
        <is>
          <t>P1</t>
        </is>
      </c>
      <c r="B38" s="25" t="inlineStr">
        <is>
          <t>G04</t>
        </is>
      </c>
      <c r="C38" s="25" t="inlineStr">
        <is>
          <t>样品</t>
        </is>
      </c>
      <c r="D38" s="9" t="n">
        <v>0.03</v>
      </c>
      <c r="E38" s="36" t="n">
        <v>7</v>
      </c>
      <c r="F38" s="37" t="n">
        <v>12375.8</v>
      </c>
      <c r="G38" s="25" t="inlineStr"/>
    </row>
    <row r="39" ht="19" customHeight="1">
      <c r="A39" s="30" t="inlineStr">
        <is>
          <t>P1</t>
        </is>
      </c>
      <c r="B39" s="30" t="inlineStr">
        <is>
          <t>H04</t>
        </is>
      </c>
      <c r="C39" s="30" t="inlineStr">
        <is>
          <t>样品</t>
        </is>
      </c>
      <c r="D39" s="13" t="n">
        <v>0.03</v>
      </c>
      <c r="E39" s="38" t="n">
        <v>8</v>
      </c>
      <c r="F39" s="39" t="n">
        <v>12316.9</v>
      </c>
      <c r="G39" s="30" t="inlineStr"/>
    </row>
    <row r="40" ht="19" customHeight="1">
      <c r="A40" s="25" t="inlineStr">
        <is>
          <t>P1</t>
        </is>
      </c>
      <c r="B40" s="25" t="inlineStr">
        <is>
          <t>A05</t>
        </is>
      </c>
      <c r="C40" s="25" t="inlineStr">
        <is>
          <t>样品</t>
        </is>
      </c>
      <c r="D40" s="9" t="n">
        <v>0.1</v>
      </c>
      <c r="E40" s="36" t="n">
        <v>1</v>
      </c>
      <c r="F40" s="37" t="n">
        <v>13245.8</v>
      </c>
      <c r="G40" s="25" t="inlineStr"/>
    </row>
    <row r="41" ht="19" customHeight="1">
      <c r="A41" s="30" t="inlineStr">
        <is>
          <t>P1</t>
        </is>
      </c>
      <c r="B41" s="30" t="inlineStr">
        <is>
          <t>B05</t>
        </is>
      </c>
      <c r="C41" s="30" t="inlineStr">
        <is>
          <t>样品</t>
        </is>
      </c>
      <c r="D41" s="13" t="n">
        <v>0.1</v>
      </c>
      <c r="E41" s="38" t="n">
        <v>2</v>
      </c>
      <c r="F41" s="39" t="n">
        <v>13710</v>
      </c>
      <c r="G41" s="30" t="inlineStr"/>
    </row>
    <row r="42" ht="19" customHeight="1">
      <c r="A42" s="25" t="inlineStr">
        <is>
          <t>P1</t>
        </is>
      </c>
      <c r="B42" s="25" t="inlineStr">
        <is>
          <t>C05</t>
        </is>
      </c>
      <c r="C42" s="25" t="inlineStr">
        <is>
          <t>样品</t>
        </is>
      </c>
      <c r="D42" s="9" t="n">
        <v>0.1</v>
      </c>
      <c r="E42" s="36" t="n">
        <v>3</v>
      </c>
      <c r="F42" s="37" t="n">
        <v>12878.9</v>
      </c>
      <c r="G42" s="25" t="inlineStr"/>
    </row>
    <row r="43" ht="19" customHeight="1">
      <c r="A43" s="30" t="inlineStr">
        <is>
          <t>P1</t>
        </is>
      </c>
      <c r="B43" s="30" t="inlineStr">
        <is>
          <t>D05</t>
        </is>
      </c>
      <c r="C43" s="30" t="inlineStr">
        <is>
          <t>样品</t>
        </is>
      </c>
      <c r="D43" s="13" t="n">
        <v>0.1</v>
      </c>
      <c r="E43" s="38" t="n">
        <v>4</v>
      </c>
      <c r="F43" s="39" t="n">
        <v>12651</v>
      </c>
      <c r="G43" s="30" t="inlineStr"/>
    </row>
    <row r="44" ht="19" customHeight="1">
      <c r="A44" s="25" t="inlineStr">
        <is>
          <t>P1</t>
        </is>
      </c>
      <c r="B44" s="25" t="inlineStr">
        <is>
          <t>E05</t>
        </is>
      </c>
      <c r="C44" s="25" t="inlineStr">
        <is>
          <t>样品</t>
        </is>
      </c>
      <c r="D44" s="9" t="n">
        <v>0.1</v>
      </c>
      <c r="E44" s="36" t="n">
        <v>5</v>
      </c>
      <c r="F44" s="37" t="n">
        <v>12560.8</v>
      </c>
      <c r="G44" s="25" t="inlineStr"/>
    </row>
    <row r="45" ht="19" customHeight="1">
      <c r="A45" s="30" t="inlineStr">
        <is>
          <t>P1</t>
        </is>
      </c>
      <c r="B45" s="30" t="inlineStr">
        <is>
          <t>F05</t>
        </is>
      </c>
      <c r="C45" s="30" t="inlineStr">
        <is>
          <t>样品</t>
        </is>
      </c>
      <c r="D45" s="13" t="n">
        <v>0.1</v>
      </c>
      <c r="E45" s="38" t="n">
        <v>6</v>
      </c>
      <c r="F45" s="39" t="n">
        <v>12293.9</v>
      </c>
      <c r="G45" s="30" t="inlineStr"/>
    </row>
    <row r="46" ht="19" customHeight="1">
      <c r="A46" s="25" t="inlineStr">
        <is>
          <t>P1</t>
        </is>
      </c>
      <c r="B46" s="25" t="inlineStr">
        <is>
          <t>G05</t>
        </is>
      </c>
      <c r="C46" s="25" t="inlineStr">
        <is>
          <t>样品</t>
        </is>
      </c>
      <c r="D46" s="9" t="n">
        <v>0.1</v>
      </c>
      <c r="E46" s="36" t="n">
        <v>7</v>
      </c>
      <c r="F46" s="37" t="n">
        <v>11895.6</v>
      </c>
      <c r="G46" s="25" t="inlineStr"/>
    </row>
    <row r="47">
      <c r="A47" s="30" t="inlineStr">
        <is>
          <t>P1</t>
        </is>
      </c>
      <c r="B47" s="30" t="inlineStr">
        <is>
          <t>H05</t>
        </is>
      </c>
      <c r="C47" s="30" t="inlineStr">
        <is>
          <t>样品</t>
        </is>
      </c>
      <c r="D47" s="13" t="n">
        <v>0.1</v>
      </c>
      <c r="E47" s="38" t="n">
        <v>8</v>
      </c>
      <c r="F47" s="39" t="n">
        <v>12939.5</v>
      </c>
      <c r="G47" s="30" t="inlineStr"/>
    </row>
    <row r="48">
      <c r="A48" s="25" t="inlineStr">
        <is>
          <t>P1</t>
        </is>
      </c>
      <c r="B48" s="25" t="inlineStr">
        <is>
          <t>A06</t>
        </is>
      </c>
      <c r="C48" s="25" t="inlineStr">
        <is>
          <t>样品</t>
        </is>
      </c>
      <c r="D48" s="9" t="n">
        <v>0.3</v>
      </c>
      <c r="E48" s="36" t="n">
        <v>1</v>
      </c>
      <c r="F48" s="37" t="n">
        <v>11762.8</v>
      </c>
      <c r="G48" s="25" t="inlineStr"/>
    </row>
    <row r="49">
      <c r="A49" s="30" t="inlineStr">
        <is>
          <t>P1</t>
        </is>
      </c>
      <c r="B49" s="30" t="inlineStr">
        <is>
          <t>B06</t>
        </is>
      </c>
      <c r="C49" s="30" t="inlineStr">
        <is>
          <t>样品</t>
        </is>
      </c>
      <c r="D49" s="13" t="n">
        <v>0.3</v>
      </c>
      <c r="E49" s="38" t="n">
        <v>2</v>
      </c>
      <c r="F49" s="39" t="n">
        <v>12885</v>
      </c>
      <c r="G49" s="30" t="inlineStr"/>
    </row>
    <row r="50">
      <c r="A50" s="25" t="inlineStr">
        <is>
          <t>P1</t>
        </is>
      </c>
      <c r="B50" s="25" t="inlineStr">
        <is>
          <t>C06</t>
        </is>
      </c>
      <c r="C50" s="25" t="inlineStr">
        <is>
          <t>样品</t>
        </is>
      </c>
      <c r="D50" s="9" t="n">
        <v>0.3</v>
      </c>
      <c r="E50" s="36" t="n">
        <v>3</v>
      </c>
      <c r="F50" s="37" t="n">
        <v>12184.9</v>
      </c>
      <c r="G50" s="25" t="inlineStr"/>
    </row>
    <row r="51">
      <c r="A51" s="30" t="inlineStr">
        <is>
          <t>P1</t>
        </is>
      </c>
      <c r="B51" s="30" t="inlineStr">
        <is>
          <t>D06</t>
        </is>
      </c>
      <c r="C51" s="30" t="inlineStr">
        <is>
          <t>样品</t>
        </is>
      </c>
      <c r="D51" s="13" t="n">
        <v>0.3</v>
      </c>
      <c r="E51" s="38" t="n">
        <v>4</v>
      </c>
      <c r="F51" s="39" t="n">
        <v>12708.6</v>
      </c>
      <c r="G51" s="30" t="inlineStr"/>
    </row>
    <row r="52">
      <c r="A52" s="25" t="inlineStr">
        <is>
          <t>P1</t>
        </is>
      </c>
      <c r="B52" s="25" t="inlineStr">
        <is>
          <t>E06</t>
        </is>
      </c>
      <c r="C52" s="25" t="inlineStr">
        <is>
          <t>样品</t>
        </is>
      </c>
      <c r="D52" s="9" t="n">
        <v>0.3</v>
      </c>
      <c r="E52" s="36" t="n">
        <v>5</v>
      </c>
      <c r="F52" s="37" t="n">
        <v>12202.6</v>
      </c>
      <c r="G52" s="25" t="inlineStr"/>
    </row>
    <row r="53">
      <c r="A53" s="30" t="inlineStr">
        <is>
          <t>P1</t>
        </is>
      </c>
      <c r="B53" s="30" t="inlineStr">
        <is>
          <t>F06</t>
        </is>
      </c>
      <c r="C53" s="30" t="inlineStr">
        <is>
          <t>样品</t>
        </is>
      </c>
      <c r="D53" s="13" t="n">
        <v>0.3</v>
      </c>
      <c r="E53" s="38" t="n">
        <v>6</v>
      </c>
      <c r="F53" s="39" t="n">
        <v>12374.2</v>
      </c>
      <c r="G53" s="30" t="inlineStr"/>
    </row>
    <row r="54">
      <c r="A54" s="25" t="inlineStr">
        <is>
          <t>P1</t>
        </is>
      </c>
      <c r="B54" s="25" t="inlineStr">
        <is>
          <t>G06</t>
        </is>
      </c>
      <c r="C54" s="25" t="inlineStr">
        <is>
          <t>样品</t>
        </is>
      </c>
      <c r="D54" s="9" t="n">
        <v>0.3</v>
      </c>
      <c r="E54" s="36" t="n">
        <v>7</v>
      </c>
      <c r="F54" s="37" t="n">
        <v>12149.7</v>
      </c>
      <c r="G54" s="25" t="inlineStr"/>
    </row>
    <row r="55">
      <c r="A55" s="30" t="inlineStr">
        <is>
          <t>P1</t>
        </is>
      </c>
      <c r="B55" s="30" t="inlineStr">
        <is>
          <t>H06</t>
        </is>
      </c>
      <c r="C55" s="30" t="inlineStr">
        <is>
          <t>样品</t>
        </is>
      </c>
      <c r="D55" s="13" t="n">
        <v>0.3</v>
      </c>
      <c r="E55" s="38" t="n">
        <v>8</v>
      </c>
      <c r="F55" s="39" t="n">
        <v>12171.3</v>
      </c>
      <c r="G55" s="30" t="inlineStr"/>
    </row>
    <row r="56">
      <c r="A56" s="25" t="inlineStr">
        <is>
          <t>P1</t>
        </is>
      </c>
      <c r="B56" s="25" t="inlineStr">
        <is>
          <t>A07</t>
        </is>
      </c>
      <c r="C56" s="25" t="inlineStr">
        <is>
          <t>样品</t>
        </is>
      </c>
      <c r="D56" s="9" t="n">
        <v>1</v>
      </c>
      <c r="E56" s="36" t="n">
        <v>1</v>
      </c>
      <c r="F56" s="37" t="n">
        <v>11171.7</v>
      </c>
      <c r="G56" s="25" t="inlineStr"/>
    </row>
    <row r="57">
      <c r="A57" s="30" t="inlineStr">
        <is>
          <t>P1</t>
        </is>
      </c>
      <c r="B57" s="30" t="inlineStr">
        <is>
          <t>B07</t>
        </is>
      </c>
      <c r="C57" s="30" t="inlineStr">
        <is>
          <t>样品</t>
        </is>
      </c>
      <c r="D57" s="13" t="n">
        <v>1</v>
      </c>
      <c r="E57" s="38" t="n">
        <v>2</v>
      </c>
      <c r="F57" s="39" t="n">
        <v>10384.2</v>
      </c>
      <c r="G57" s="30" t="inlineStr"/>
    </row>
    <row r="58">
      <c r="A58" s="25" t="inlineStr">
        <is>
          <t>P1</t>
        </is>
      </c>
      <c r="B58" s="25" t="inlineStr">
        <is>
          <t>C07</t>
        </is>
      </c>
      <c r="C58" s="25" t="inlineStr">
        <is>
          <t>样品</t>
        </is>
      </c>
      <c r="D58" s="9" t="n">
        <v>1</v>
      </c>
      <c r="E58" s="36" t="n">
        <v>3</v>
      </c>
      <c r="F58" s="37" t="n">
        <v>10594.3</v>
      </c>
      <c r="G58" s="25" t="inlineStr"/>
    </row>
    <row r="59">
      <c r="A59" s="30" t="inlineStr">
        <is>
          <t>P1</t>
        </is>
      </c>
      <c r="B59" s="30" t="inlineStr">
        <is>
          <t>D07</t>
        </is>
      </c>
      <c r="C59" s="30" t="inlineStr">
        <is>
          <t>样品</t>
        </is>
      </c>
      <c r="D59" s="13" t="n">
        <v>1</v>
      </c>
      <c r="E59" s="38" t="n">
        <v>4</v>
      </c>
      <c r="F59" s="39" t="n">
        <v>11216.1</v>
      </c>
      <c r="G59" s="30" t="inlineStr"/>
    </row>
    <row r="60">
      <c r="A60" s="25" t="inlineStr">
        <is>
          <t>P1</t>
        </is>
      </c>
      <c r="B60" s="25" t="inlineStr">
        <is>
          <t>E07</t>
        </is>
      </c>
      <c r="C60" s="25" t="inlineStr">
        <is>
          <t>样品</t>
        </is>
      </c>
      <c r="D60" s="9" t="n">
        <v>1</v>
      </c>
      <c r="E60" s="36" t="n">
        <v>5</v>
      </c>
      <c r="F60" s="37" t="n">
        <v>11038</v>
      </c>
      <c r="G60" s="25" t="inlineStr"/>
    </row>
    <row r="61">
      <c r="A61" s="30" t="inlineStr">
        <is>
          <t>P1</t>
        </is>
      </c>
      <c r="B61" s="30" t="inlineStr">
        <is>
          <t>F07</t>
        </is>
      </c>
      <c r="C61" s="30" t="inlineStr">
        <is>
          <t>样品</t>
        </is>
      </c>
      <c r="D61" s="13" t="n">
        <v>1</v>
      </c>
      <c r="E61" s="38" t="n">
        <v>6</v>
      </c>
      <c r="F61" s="39" t="n">
        <v>10393.3</v>
      </c>
      <c r="G61" s="30" t="inlineStr"/>
    </row>
    <row r="62">
      <c r="A62" s="25" t="inlineStr">
        <is>
          <t>P1</t>
        </is>
      </c>
      <c r="B62" s="25" t="inlineStr">
        <is>
          <t>G07</t>
        </is>
      </c>
      <c r="C62" s="25" t="inlineStr">
        <is>
          <t>样品</t>
        </is>
      </c>
      <c r="D62" s="9" t="n">
        <v>1</v>
      </c>
      <c r="E62" s="36" t="n">
        <v>7</v>
      </c>
      <c r="F62" s="37" t="n">
        <v>10226.1</v>
      </c>
      <c r="G62" s="25" t="inlineStr"/>
    </row>
    <row r="63">
      <c r="A63" s="30" t="inlineStr">
        <is>
          <t>P1</t>
        </is>
      </c>
      <c r="B63" s="30" t="inlineStr">
        <is>
          <t>H07</t>
        </is>
      </c>
      <c r="C63" s="30" t="inlineStr">
        <is>
          <t>样品</t>
        </is>
      </c>
      <c r="D63" s="13" t="n">
        <v>1</v>
      </c>
      <c r="E63" s="38" t="n">
        <v>8</v>
      </c>
      <c r="F63" s="39" t="n">
        <v>10950.3</v>
      </c>
      <c r="G63" s="30" t="inlineStr"/>
    </row>
    <row r="64">
      <c r="A64" s="25" t="inlineStr">
        <is>
          <t>P1</t>
        </is>
      </c>
      <c r="B64" s="25" t="inlineStr">
        <is>
          <t>A08</t>
        </is>
      </c>
      <c r="C64" s="25" t="inlineStr">
        <is>
          <t>样品</t>
        </is>
      </c>
      <c r="D64" s="9" t="n">
        <v>3</v>
      </c>
      <c r="E64" s="36" t="n">
        <v>1</v>
      </c>
      <c r="F64" s="37" t="n">
        <v>7277.3</v>
      </c>
      <c r="G64" s="25" t="inlineStr"/>
    </row>
    <row r="65">
      <c r="A65" s="30" t="inlineStr">
        <is>
          <t>P1</t>
        </is>
      </c>
      <c r="B65" s="30" t="inlineStr">
        <is>
          <t>B08</t>
        </is>
      </c>
      <c r="C65" s="30" t="inlineStr">
        <is>
          <t>样品</t>
        </is>
      </c>
      <c r="D65" s="13" t="n">
        <v>3</v>
      </c>
      <c r="E65" s="38" t="n">
        <v>2</v>
      </c>
      <c r="F65" s="39" t="n">
        <v>7752.2</v>
      </c>
      <c r="G65" s="30" t="inlineStr"/>
    </row>
    <row r="66">
      <c r="A66" s="25" t="inlineStr">
        <is>
          <t>P1</t>
        </is>
      </c>
      <c r="B66" s="25" t="inlineStr">
        <is>
          <t>C08</t>
        </is>
      </c>
      <c r="C66" s="25" t="inlineStr">
        <is>
          <t>样品</t>
        </is>
      </c>
      <c r="D66" s="9" t="n">
        <v>3</v>
      </c>
      <c r="E66" s="36" t="n">
        <v>3</v>
      </c>
      <c r="F66" s="37" t="n">
        <v>7502.3</v>
      </c>
      <c r="G66" s="25" t="inlineStr"/>
    </row>
    <row r="67">
      <c r="A67" s="30" t="inlineStr">
        <is>
          <t>P1</t>
        </is>
      </c>
      <c r="B67" s="30" t="inlineStr">
        <is>
          <t>D08</t>
        </is>
      </c>
      <c r="C67" s="30" t="inlineStr">
        <is>
          <t>样品</t>
        </is>
      </c>
      <c r="D67" s="13" t="n">
        <v>3</v>
      </c>
      <c r="E67" s="38" t="n">
        <v>4</v>
      </c>
      <c r="F67" s="39" t="n">
        <v>7386.5</v>
      </c>
      <c r="G67" s="30" t="inlineStr"/>
    </row>
    <row r="68">
      <c r="A68" s="25" t="inlineStr">
        <is>
          <t>P1</t>
        </is>
      </c>
      <c r="B68" s="25" t="inlineStr">
        <is>
          <t>E08</t>
        </is>
      </c>
      <c r="C68" s="25" t="inlineStr">
        <is>
          <t>样品</t>
        </is>
      </c>
      <c r="D68" s="9" t="n">
        <v>3</v>
      </c>
      <c r="E68" s="36" t="n">
        <v>5</v>
      </c>
      <c r="F68" s="37" t="n">
        <v>7340.5</v>
      </c>
      <c r="G68" s="25" t="inlineStr"/>
    </row>
    <row r="69">
      <c r="A69" s="30" t="inlineStr">
        <is>
          <t>P1</t>
        </is>
      </c>
      <c r="B69" s="30" t="inlineStr">
        <is>
          <t>F08</t>
        </is>
      </c>
      <c r="C69" s="30" t="inlineStr">
        <is>
          <t>样品</t>
        </is>
      </c>
      <c r="D69" s="13" t="n">
        <v>3</v>
      </c>
      <c r="E69" s="38" t="n">
        <v>6</v>
      </c>
      <c r="F69" s="39" t="n">
        <v>7949</v>
      </c>
      <c r="G69" s="30" t="inlineStr"/>
    </row>
    <row r="70">
      <c r="A70" s="25" t="inlineStr">
        <is>
          <t>P1</t>
        </is>
      </c>
      <c r="B70" s="25" t="inlineStr">
        <is>
          <t>G08</t>
        </is>
      </c>
      <c r="C70" s="25" t="inlineStr">
        <is>
          <t>样品</t>
        </is>
      </c>
      <c r="D70" s="9" t="n">
        <v>3</v>
      </c>
      <c r="E70" s="36" t="n">
        <v>7</v>
      </c>
      <c r="F70" s="37" t="n">
        <v>7758</v>
      </c>
      <c r="G70" s="25" t="inlineStr"/>
    </row>
    <row r="71">
      <c r="A71" s="30" t="inlineStr">
        <is>
          <t>P1</t>
        </is>
      </c>
      <c r="B71" s="30" t="inlineStr">
        <is>
          <t>H08</t>
        </is>
      </c>
      <c r="C71" s="30" t="inlineStr">
        <is>
          <t>样品</t>
        </is>
      </c>
      <c r="D71" s="13" t="n">
        <v>3</v>
      </c>
      <c r="E71" s="38" t="n">
        <v>8</v>
      </c>
      <c r="F71" s="39" t="n">
        <v>7688.5</v>
      </c>
      <c r="G71" s="30" t="inlineStr"/>
    </row>
    <row r="72">
      <c r="A72" s="25" t="inlineStr">
        <is>
          <t>P1</t>
        </is>
      </c>
      <c r="B72" s="25" t="inlineStr">
        <is>
          <t>A09</t>
        </is>
      </c>
      <c r="C72" s="25" t="inlineStr">
        <is>
          <t>样品</t>
        </is>
      </c>
      <c r="D72" s="9" t="n">
        <v>10</v>
      </c>
      <c r="E72" s="36" t="n">
        <v>1</v>
      </c>
      <c r="F72" s="37" t="n">
        <v>3808.6</v>
      </c>
      <c r="G72" s="25" t="inlineStr"/>
    </row>
    <row r="73">
      <c r="A73" s="30" t="inlineStr">
        <is>
          <t>P1</t>
        </is>
      </c>
      <c r="B73" s="30" t="inlineStr">
        <is>
          <t>B09</t>
        </is>
      </c>
      <c r="C73" s="30" t="inlineStr">
        <is>
          <t>样品</t>
        </is>
      </c>
      <c r="D73" s="13" t="n">
        <v>10</v>
      </c>
      <c r="E73" s="38" t="n">
        <v>2</v>
      </c>
      <c r="F73" s="39" t="n">
        <v>3817.4</v>
      </c>
      <c r="G73" s="30" t="inlineStr"/>
    </row>
    <row r="74">
      <c r="A74" s="25" t="inlineStr">
        <is>
          <t>P1</t>
        </is>
      </c>
      <c r="B74" s="25" t="inlineStr">
        <is>
          <t>C09</t>
        </is>
      </c>
      <c r="C74" s="25" t="inlineStr">
        <is>
          <t>样品</t>
        </is>
      </c>
      <c r="D74" s="9" t="n">
        <v>10</v>
      </c>
      <c r="E74" s="36" t="n">
        <v>3</v>
      </c>
      <c r="F74" s="37" t="n">
        <v>3954.2</v>
      </c>
      <c r="G74" s="25" t="inlineStr"/>
    </row>
    <row r="75">
      <c r="A75" s="30" t="inlineStr">
        <is>
          <t>P1</t>
        </is>
      </c>
      <c r="B75" s="30" t="inlineStr">
        <is>
          <t>D09</t>
        </is>
      </c>
      <c r="C75" s="30" t="inlineStr">
        <is>
          <t>样品</t>
        </is>
      </c>
      <c r="D75" s="13" t="n">
        <v>10</v>
      </c>
      <c r="E75" s="38" t="n">
        <v>4</v>
      </c>
      <c r="F75" s="39" t="n">
        <v>3756.9</v>
      </c>
      <c r="G75" s="30" t="inlineStr"/>
    </row>
    <row r="76">
      <c r="A76" s="25" t="inlineStr">
        <is>
          <t>P1</t>
        </is>
      </c>
      <c r="B76" s="25" t="inlineStr">
        <is>
          <t>E09</t>
        </is>
      </c>
      <c r="C76" s="25" t="inlineStr">
        <is>
          <t>样品</t>
        </is>
      </c>
      <c r="D76" s="9" t="n">
        <v>10</v>
      </c>
      <c r="E76" s="36" t="n">
        <v>5</v>
      </c>
      <c r="F76" s="37" t="n">
        <v>4029.9</v>
      </c>
      <c r="G76" s="25" t="inlineStr"/>
    </row>
    <row r="77">
      <c r="A77" s="30" t="inlineStr">
        <is>
          <t>P1</t>
        </is>
      </c>
      <c r="B77" s="30" t="inlineStr">
        <is>
          <t>F09</t>
        </is>
      </c>
      <c r="C77" s="30" t="inlineStr">
        <is>
          <t>样品</t>
        </is>
      </c>
      <c r="D77" s="13" t="n">
        <v>10</v>
      </c>
      <c r="E77" s="38" t="n">
        <v>6</v>
      </c>
      <c r="F77" s="39" t="n">
        <v>3637.2</v>
      </c>
      <c r="G77" s="30" t="inlineStr"/>
    </row>
    <row r="78">
      <c r="A78" s="25" t="inlineStr">
        <is>
          <t>P1</t>
        </is>
      </c>
      <c r="B78" s="25" t="inlineStr">
        <is>
          <t>G09</t>
        </is>
      </c>
      <c r="C78" s="25" t="inlineStr">
        <is>
          <t>样品</t>
        </is>
      </c>
      <c r="D78" s="9" t="n">
        <v>10</v>
      </c>
      <c r="E78" s="36" t="n">
        <v>7</v>
      </c>
      <c r="F78" s="37" t="n">
        <v>3957.1</v>
      </c>
      <c r="G78" s="25" t="inlineStr"/>
    </row>
    <row r="79">
      <c r="A79" s="30" t="inlineStr">
        <is>
          <t>P1</t>
        </is>
      </c>
      <c r="B79" s="30" t="inlineStr">
        <is>
          <t>H09</t>
        </is>
      </c>
      <c r="C79" s="30" t="inlineStr">
        <is>
          <t>样品</t>
        </is>
      </c>
      <c r="D79" s="13" t="n">
        <v>10</v>
      </c>
      <c r="E79" s="38" t="n">
        <v>8</v>
      </c>
      <c r="F79" s="39" t="n">
        <v>3834.2</v>
      </c>
      <c r="G79" s="30" t="inlineStr"/>
    </row>
    <row r="80">
      <c r="A80" s="25" t="inlineStr">
        <is>
          <t>P1</t>
        </is>
      </c>
      <c r="B80" s="25" t="inlineStr">
        <is>
          <t>A10</t>
        </is>
      </c>
      <c r="C80" s="25" t="inlineStr">
        <is>
          <t>样品</t>
        </is>
      </c>
      <c r="D80" s="9" t="n">
        <v>30</v>
      </c>
      <c r="E80" s="36" t="n">
        <v>1</v>
      </c>
      <c r="F80" s="37" t="n">
        <v>1555.9</v>
      </c>
      <c r="G80" s="25" t="inlineStr"/>
    </row>
    <row r="81">
      <c r="A81" s="30" t="inlineStr">
        <is>
          <t>P1</t>
        </is>
      </c>
      <c r="B81" s="30" t="inlineStr">
        <is>
          <t>B10</t>
        </is>
      </c>
      <c r="C81" s="30" t="inlineStr">
        <is>
          <t>样品</t>
        </is>
      </c>
      <c r="D81" s="13" t="n">
        <v>30</v>
      </c>
      <c r="E81" s="38" t="n">
        <v>2</v>
      </c>
      <c r="F81" s="39" t="n">
        <v>1590.6</v>
      </c>
      <c r="G81" s="30" t="inlineStr"/>
    </row>
    <row r="82">
      <c r="A82" s="25" t="inlineStr">
        <is>
          <t>P1</t>
        </is>
      </c>
      <c r="B82" s="25" t="inlineStr">
        <is>
          <t>C10</t>
        </is>
      </c>
      <c r="C82" s="25" t="inlineStr">
        <is>
          <t>样品</t>
        </is>
      </c>
      <c r="D82" s="9" t="n">
        <v>30</v>
      </c>
      <c r="E82" s="36" t="n">
        <v>3</v>
      </c>
      <c r="F82" s="37" t="n">
        <v>1452.3</v>
      </c>
      <c r="G82" s="25" t="inlineStr"/>
    </row>
    <row r="83">
      <c r="A83" s="30" t="inlineStr">
        <is>
          <t>P1</t>
        </is>
      </c>
      <c r="B83" s="30" t="inlineStr">
        <is>
          <t>D10</t>
        </is>
      </c>
      <c r="C83" s="30" t="inlineStr">
        <is>
          <t>样品</t>
        </is>
      </c>
      <c r="D83" s="13" t="n">
        <v>30</v>
      </c>
      <c r="E83" s="38" t="n">
        <v>4</v>
      </c>
      <c r="F83" s="39" t="n">
        <v>1561.2</v>
      </c>
      <c r="G83" s="30" t="inlineStr"/>
    </row>
    <row r="84">
      <c r="A84" s="25" t="inlineStr">
        <is>
          <t>P1</t>
        </is>
      </c>
      <c r="B84" s="25" t="inlineStr">
        <is>
          <t>E10</t>
        </is>
      </c>
      <c r="C84" s="25" t="inlineStr">
        <is>
          <t>样品</t>
        </is>
      </c>
      <c r="D84" s="9" t="n">
        <v>30</v>
      </c>
      <c r="E84" s="36" t="n">
        <v>5</v>
      </c>
      <c r="F84" s="37" t="n">
        <v>1575.4</v>
      </c>
      <c r="G84" s="25" t="inlineStr"/>
    </row>
    <row r="85">
      <c r="A85" s="30" t="inlineStr">
        <is>
          <t>P1</t>
        </is>
      </c>
      <c r="B85" s="30" t="inlineStr">
        <is>
          <t>F10</t>
        </is>
      </c>
      <c r="C85" s="30" t="inlineStr">
        <is>
          <t>样品</t>
        </is>
      </c>
      <c r="D85" s="13" t="n">
        <v>30</v>
      </c>
      <c r="E85" s="38" t="n">
        <v>6</v>
      </c>
      <c r="F85" s="39" t="n">
        <v>1520.9</v>
      </c>
      <c r="G85" s="30" t="inlineStr"/>
    </row>
    <row r="86">
      <c r="A86" s="25" t="inlineStr">
        <is>
          <t>P1</t>
        </is>
      </c>
      <c r="B86" s="25" t="inlineStr">
        <is>
          <t>G10</t>
        </is>
      </c>
      <c r="C86" s="25" t="inlineStr">
        <is>
          <t>样品</t>
        </is>
      </c>
      <c r="D86" s="9" t="n">
        <v>30</v>
      </c>
      <c r="E86" s="36" t="n">
        <v>7</v>
      </c>
      <c r="F86" s="37" t="n">
        <v>1539</v>
      </c>
      <c r="G86" s="25" t="inlineStr"/>
    </row>
    <row r="87">
      <c r="A87" s="30" t="inlineStr">
        <is>
          <t>P1</t>
        </is>
      </c>
      <c r="B87" s="30" t="inlineStr">
        <is>
          <t>H10</t>
        </is>
      </c>
      <c r="C87" s="30" t="inlineStr">
        <is>
          <t>样品</t>
        </is>
      </c>
      <c r="D87" s="13" t="n">
        <v>30</v>
      </c>
      <c r="E87" s="38" t="n">
        <v>8</v>
      </c>
      <c r="F87" s="39" t="n">
        <v>1620.6</v>
      </c>
      <c r="G87" s="30" t="inlineStr"/>
    </row>
    <row r="88">
      <c r="A88" s="25" t="inlineStr">
        <is>
          <t>P1</t>
        </is>
      </c>
      <c r="B88" s="25" t="inlineStr">
        <is>
          <t>A11</t>
        </is>
      </c>
      <c r="C88" s="25" t="inlineStr">
        <is>
          <t>样品</t>
        </is>
      </c>
      <c r="D88" s="9" t="n">
        <v>60</v>
      </c>
      <c r="E88" s="36" t="n">
        <v>1</v>
      </c>
      <c r="F88" s="37" t="n">
        <v>847.8</v>
      </c>
      <c r="G88" s="25" t="inlineStr"/>
    </row>
    <row r="89">
      <c r="A89" s="30" t="inlineStr">
        <is>
          <t>P1</t>
        </is>
      </c>
      <c r="B89" s="30" t="inlineStr">
        <is>
          <t>B11</t>
        </is>
      </c>
      <c r="C89" s="30" t="inlineStr">
        <is>
          <t>样品</t>
        </is>
      </c>
      <c r="D89" s="13" t="n">
        <v>60</v>
      </c>
      <c r="E89" s="38" t="n">
        <v>2</v>
      </c>
      <c r="F89" s="39" t="n">
        <v>833.6</v>
      </c>
      <c r="G89" s="30" t="inlineStr"/>
    </row>
    <row r="90">
      <c r="A90" s="25" t="inlineStr">
        <is>
          <t>P1</t>
        </is>
      </c>
      <c r="B90" s="25" t="inlineStr">
        <is>
          <t>C11</t>
        </is>
      </c>
      <c r="C90" s="25" t="inlineStr">
        <is>
          <t>样品</t>
        </is>
      </c>
      <c r="D90" s="9" t="n">
        <v>60</v>
      </c>
      <c r="E90" s="36" t="n">
        <v>3</v>
      </c>
      <c r="F90" s="37" t="n">
        <v>863.9</v>
      </c>
      <c r="G90" s="25" t="inlineStr"/>
    </row>
    <row r="91">
      <c r="A91" s="30" t="inlineStr">
        <is>
          <t>P1</t>
        </is>
      </c>
      <c r="B91" s="30" t="inlineStr">
        <is>
          <t>D11</t>
        </is>
      </c>
      <c r="C91" s="30" t="inlineStr">
        <is>
          <t>样品</t>
        </is>
      </c>
      <c r="D91" s="13" t="n">
        <v>60</v>
      </c>
      <c r="E91" s="38" t="n">
        <v>4</v>
      </c>
      <c r="F91" s="39" t="n">
        <v>839.6</v>
      </c>
      <c r="G91" s="30" t="inlineStr"/>
    </row>
    <row r="92">
      <c r="A92" s="25" t="inlineStr">
        <is>
          <t>P1</t>
        </is>
      </c>
      <c r="B92" s="25" t="inlineStr">
        <is>
          <t>E11</t>
        </is>
      </c>
      <c r="C92" s="25" t="inlineStr">
        <is>
          <t>样品</t>
        </is>
      </c>
      <c r="D92" s="9" t="n">
        <v>60</v>
      </c>
      <c r="E92" s="36" t="n">
        <v>5</v>
      </c>
      <c r="F92" s="37" t="n">
        <v>827.5</v>
      </c>
      <c r="G92" s="25" t="inlineStr"/>
    </row>
    <row r="93">
      <c r="A93" s="30" t="inlineStr">
        <is>
          <t>P1</t>
        </is>
      </c>
      <c r="B93" s="30" t="inlineStr">
        <is>
          <t>F11</t>
        </is>
      </c>
      <c r="C93" s="30" t="inlineStr">
        <is>
          <t>样品</t>
        </is>
      </c>
      <c r="D93" s="13" t="n">
        <v>60</v>
      </c>
      <c r="E93" s="38" t="n">
        <v>6</v>
      </c>
      <c r="F93" s="39" t="n">
        <v>857</v>
      </c>
      <c r="G93" s="30" t="inlineStr"/>
    </row>
    <row r="94">
      <c r="A94" s="25" t="inlineStr">
        <is>
          <t>P1</t>
        </is>
      </c>
      <c r="B94" s="25" t="inlineStr">
        <is>
          <t>G11</t>
        </is>
      </c>
      <c r="C94" s="25" t="inlineStr">
        <is>
          <t>样品</t>
        </is>
      </c>
      <c r="D94" s="9" t="n">
        <v>60</v>
      </c>
      <c r="E94" s="36" t="n">
        <v>7</v>
      </c>
      <c r="F94" s="37" t="n">
        <v>802.1</v>
      </c>
      <c r="G94" s="25" t="inlineStr"/>
    </row>
    <row r="95">
      <c r="A95" s="30" t="inlineStr">
        <is>
          <t>P1</t>
        </is>
      </c>
      <c r="B95" s="30" t="inlineStr">
        <is>
          <t>H11</t>
        </is>
      </c>
      <c r="C95" s="30" t="inlineStr">
        <is>
          <t>样品</t>
        </is>
      </c>
      <c r="D95" s="13" t="n">
        <v>60</v>
      </c>
      <c r="E95" s="38" t="n">
        <v>8</v>
      </c>
      <c r="F95" s="39" t="n">
        <v>818.9</v>
      </c>
      <c r="G95" s="30" t="inlineStr"/>
    </row>
    <row r="96">
      <c r="A96" s="25" t="inlineStr">
        <is>
          <t>P1</t>
        </is>
      </c>
      <c r="B96" s="25" t="inlineStr">
        <is>
          <t>A12</t>
        </is>
      </c>
      <c r="C96" s="25" t="inlineStr">
        <is>
          <t>样品</t>
        </is>
      </c>
      <c r="D96" s="9" t="n">
        <v>100</v>
      </c>
      <c r="E96" s="36" t="n">
        <v>1</v>
      </c>
      <c r="F96" s="37" t="n">
        <v>551.5</v>
      </c>
      <c r="G96" s="25" t="inlineStr"/>
    </row>
    <row r="97">
      <c r="A97" s="30" t="inlineStr">
        <is>
          <t>P1</t>
        </is>
      </c>
      <c r="B97" s="30" t="inlineStr">
        <is>
          <t>B12</t>
        </is>
      </c>
      <c r="C97" s="30" t="inlineStr">
        <is>
          <t>样品</t>
        </is>
      </c>
      <c r="D97" s="13" t="n">
        <v>100</v>
      </c>
      <c r="E97" s="38" t="n">
        <v>2</v>
      </c>
      <c r="F97" s="39" t="n">
        <v>563.9</v>
      </c>
      <c r="G97" s="30" t="inlineStr"/>
    </row>
    <row r="98">
      <c r="A98" s="25" t="inlineStr">
        <is>
          <t>P1</t>
        </is>
      </c>
      <c r="B98" s="25" t="inlineStr">
        <is>
          <t>C12</t>
        </is>
      </c>
      <c r="C98" s="25" t="inlineStr">
        <is>
          <t>样品</t>
        </is>
      </c>
      <c r="D98" s="9" t="n">
        <v>100</v>
      </c>
      <c r="E98" s="36" t="n">
        <v>3</v>
      </c>
      <c r="F98" s="37" t="n">
        <v>574.9</v>
      </c>
      <c r="G98" s="25" t="inlineStr"/>
    </row>
    <row r="99">
      <c r="A99" s="30" t="inlineStr">
        <is>
          <t>P1</t>
        </is>
      </c>
      <c r="B99" s="30" t="inlineStr">
        <is>
          <t>D12</t>
        </is>
      </c>
      <c r="C99" s="30" t="inlineStr">
        <is>
          <t>样品</t>
        </is>
      </c>
      <c r="D99" s="13" t="n">
        <v>100</v>
      </c>
      <c r="E99" s="38" t="n">
        <v>4</v>
      </c>
      <c r="F99" s="39" t="n">
        <v>555.9</v>
      </c>
      <c r="G99" s="30" t="inlineStr"/>
    </row>
    <row r="100">
      <c r="A100" s="25" t="inlineStr">
        <is>
          <t>P1</t>
        </is>
      </c>
      <c r="B100" s="25" t="inlineStr">
        <is>
          <t>E12</t>
        </is>
      </c>
      <c r="C100" s="25" t="inlineStr">
        <is>
          <t>样品</t>
        </is>
      </c>
      <c r="D100" s="9" t="n">
        <v>100</v>
      </c>
      <c r="E100" s="36" t="n">
        <v>5</v>
      </c>
      <c r="F100" s="37" t="n">
        <v>553.9</v>
      </c>
      <c r="G100" s="25" t="inlineStr"/>
    </row>
    <row r="101">
      <c r="A101" s="30" t="inlineStr">
        <is>
          <t>P1</t>
        </is>
      </c>
      <c r="B101" s="30" t="inlineStr">
        <is>
          <t>F12</t>
        </is>
      </c>
      <c r="C101" s="30" t="inlineStr">
        <is>
          <t>样品</t>
        </is>
      </c>
      <c r="D101" s="13" t="n">
        <v>100</v>
      </c>
      <c r="E101" s="38" t="n">
        <v>6</v>
      </c>
      <c r="F101" s="39" t="n">
        <v>559.8</v>
      </c>
      <c r="G101" s="30" t="inlineStr"/>
    </row>
    <row r="102">
      <c r="A102" s="25" t="inlineStr">
        <is>
          <t>P1</t>
        </is>
      </c>
      <c r="B102" s="25" t="inlineStr">
        <is>
          <t>G12</t>
        </is>
      </c>
      <c r="C102" s="25" t="inlineStr">
        <is>
          <t>样品</t>
        </is>
      </c>
      <c r="D102" s="9" t="n">
        <v>100</v>
      </c>
      <c r="E102" s="36" t="n">
        <v>7</v>
      </c>
      <c r="F102" s="37" t="n">
        <v>567.1</v>
      </c>
      <c r="G102" s="25" t="inlineStr"/>
    </row>
    <row r="103">
      <c r="A103" s="30" t="inlineStr">
        <is>
          <t>P1</t>
        </is>
      </c>
      <c r="B103" s="30" t="inlineStr">
        <is>
          <t>H12</t>
        </is>
      </c>
      <c r="C103" s="30" t="inlineStr">
        <is>
          <t>样品</t>
        </is>
      </c>
      <c r="D103" s="13" t="n">
        <v>100</v>
      </c>
      <c r="E103" s="38" t="n">
        <v>8</v>
      </c>
      <c r="F103" s="39" t="n">
        <v>578.5</v>
      </c>
      <c r="G103" s="30" t="inlineStr"/>
    </row>
    <row r="104">
      <c r="A104" s="25" t="inlineStr">
        <is>
          <t>P2</t>
        </is>
      </c>
      <c r="B104" s="25" t="inlineStr">
        <is>
          <t>A01</t>
        </is>
      </c>
      <c r="C104" s="25" t="inlineStr">
        <is>
          <t>空白</t>
        </is>
      </c>
      <c r="D104" s="9" t="n"/>
      <c r="E104" s="36" t="n">
        <v>1</v>
      </c>
      <c r="F104" s="37" t="n">
        <v>167.2</v>
      </c>
      <c r="G104" s="25" t="inlineStr"/>
    </row>
    <row r="105">
      <c r="A105" s="30" t="inlineStr">
        <is>
          <t>P2</t>
        </is>
      </c>
      <c r="B105" s="30" t="inlineStr">
        <is>
          <t>B01</t>
        </is>
      </c>
      <c r="C105" s="30" t="inlineStr">
        <is>
          <t>空白</t>
        </is>
      </c>
      <c r="D105" s="13" t="n"/>
      <c r="E105" s="38" t="n">
        <v>2</v>
      </c>
      <c r="F105" s="39" t="n">
        <v>181.2</v>
      </c>
      <c r="G105" s="30" t="inlineStr"/>
    </row>
    <row r="106">
      <c r="A106" s="25" t="inlineStr">
        <is>
          <t>P2</t>
        </is>
      </c>
      <c r="B106" s="25" t="inlineStr">
        <is>
          <t>C01</t>
        </is>
      </c>
      <c r="C106" s="25" t="inlineStr">
        <is>
          <t>空白</t>
        </is>
      </c>
      <c r="D106" s="9" t="n"/>
      <c r="E106" s="36" t="n">
        <v>3</v>
      </c>
      <c r="F106" s="37" t="n">
        <v>164.9</v>
      </c>
      <c r="G106" s="25" t="inlineStr"/>
    </row>
    <row r="107">
      <c r="A107" s="30" t="inlineStr">
        <is>
          <t>P2</t>
        </is>
      </c>
      <c r="B107" s="30" t="inlineStr">
        <is>
          <t>D01</t>
        </is>
      </c>
      <c r="C107" s="30" t="inlineStr">
        <is>
          <t>空白</t>
        </is>
      </c>
      <c r="D107" s="13" t="n"/>
      <c r="E107" s="38" t="n">
        <v>4</v>
      </c>
      <c r="F107" s="39" t="n">
        <v>172.7</v>
      </c>
      <c r="G107" s="30" t="inlineStr"/>
    </row>
    <row r="108">
      <c r="A108" s="25" t="inlineStr">
        <is>
          <t>P2</t>
        </is>
      </c>
      <c r="B108" s="25" t="inlineStr">
        <is>
          <t>E01</t>
        </is>
      </c>
      <c r="C108" s="25" t="inlineStr">
        <is>
          <t>空白</t>
        </is>
      </c>
      <c r="D108" s="9" t="n"/>
      <c r="E108" s="36" t="n">
        <v>5</v>
      </c>
      <c r="F108" s="37" t="n">
        <v>171</v>
      </c>
      <c r="G108" s="25" t="inlineStr"/>
    </row>
    <row r="109">
      <c r="A109" s="30" t="inlineStr">
        <is>
          <t>P2</t>
        </is>
      </c>
      <c r="B109" s="30" t="inlineStr">
        <is>
          <t>F01</t>
        </is>
      </c>
      <c r="C109" s="30" t="inlineStr">
        <is>
          <t>空白</t>
        </is>
      </c>
      <c r="D109" s="13" t="n"/>
      <c r="E109" s="38" t="n">
        <v>6</v>
      </c>
      <c r="F109" s="39" t="n">
        <v>163.9</v>
      </c>
      <c r="G109" s="30" t="inlineStr"/>
    </row>
    <row r="110">
      <c r="A110" s="25" t="inlineStr">
        <is>
          <t>P2</t>
        </is>
      </c>
      <c r="B110" s="25" t="inlineStr">
        <is>
          <t>G01</t>
        </is>
      </c>
      <c r="C110" s="25" t="inlineStr">
        <is>
          <t>空白</t>
        </is>
      </c>
      <c r="D110" s="9" t="n"/>
      <c r="E110" s="36" t="n">
        <v>7</v>
      </c>
      <c r="F110" s="37" t="n">
        <v>171.6</v>
      </c>
      <c r="G110" s="25" t="inlineStr"/>
    </row>
    <row r="111">
      <c r="A111" s="30" t="inlineStr">
        <is>
          <t>P2</t>
        </is>
      </c>
      <c r="B111" s="30" t="inlineStr">
        <is>
          <t>H01</t>
        </is>
      </c>
      <c r="C111" s="30" t="inlineStr">
        <is>
          <t>空白</t>
        </is>
      </c>
      <c r="D111" s="13" t="n"/>
      <c r="E111" s="38" t="n">
        <v>8</v>
      </c>
      <c r="F111" s="39" t="n">
        <v>169.7</v>
      </c>
      <c r="G111" s="30" t="inlineStr"/>
    </row>
    <row r="112">
      <c r="A112" s="25" t="inlineStr">
        <is>
          <t>P2</t>
        </is>
      </c>
      <c r="B112" s="25" t="inlineStr">
        <is>
          <t>A02</t>
        </is>
      </c>
      <c r="C112" s="25" t="inlineStr">
        <is>
          <t>溶剂对照</t>
        </is>
      </c>
      <c r="D112" s="9" t="n"/>
      <c r="E112" s="36" t="n">
        <v>1</v>
      </c>
      <c r="F112" s="37" t="n">
        <v>14237.6</v>
      </c>
      <c r="G112" s="25" t="inlineStr"/>
    </row>
    <row r="113">
      <c r="A113" s="30" t="inlineStr">
        <is>
          <t>P2</t>
        </is>
      </c>
      <c r="B113" s="30" t="inlineStr">
        <is>
          <t>B02</t>
        </is>
      </c>
      <c r="C113" s="30" t="inlineStr">
        <is>
          <t>溶剂对照</t>
        </is>
      </c>
      <c r="D113" s="13" t="n"/>
      <c r="E113" s="38" t="n">
        <v>2</v>
      </c>
      <c r="F113" s="39" t="n">
        <v>14640.5</v>
      </c>
      <c r="G113" s="30" t="inlineStr"/>
    </row>
    <row r="114">
      <c r="A114" s="25" t="inlineStr">
        <is>
          <t>P2</t>
        </is>
      </c>
      <c r="B114" s="25" t="inlineStr">
        <is>
          <t>C02</t>
        </is>
      </c>
      <c r="C114" s="25" t="inlineStr">
        <is>
          <t>溶剂对照</t>
        </is>
      </c>
      <c r="D114" s="9" t="n"/>
      <c r="E114" s="36" t="n">
        <v>3</v>
      </c>
      <c r="F114" s="37" t="n">
        <v>14371.5</v>
      </c>
      <c r="G114" s="25" t="inlineStr"/>
    </row>
    <row r="115">
      <c r="A115" s="30" t="inlineStr">
        <is>
          <t>P2</t>
        </is>
      </c>
      <c r="B115" s="30" t="inlineStr">
        <is>
          <t>D02</t>
        </is>
      </c>
      <c r="C115" s="30" t="inlineStr">
        <is>
          <t>溶剂对照</t>
        </is>
      </c>
      <c r="D115" s="13" t="n"/>
      <c r="E115" s="38" t="n">
        <v>4</v>
      </c>
      <c r="F115" s="39" t="n">
        <v>14014.4</v>
      </c>
      <c r="G115" s="30" t="inlineStr"/>
    </row>
    <row r="116">
      <c r="A116" s="25" t="inlineStr">
        <is>
          <t>P2</t>
        </is>
      </c>
      <c r="B116" s="25" t="inlineStr">
        <is>
          <t>E02</t>
        </is>
      </c>
      <c r="C116" s="25" t="inlineStr">
        <is>
          <t>溶剂对照</t>
        </is>
      </c>
      <c r="D116" s="9" t="n"/>
      <c r="E116" s="36" t="n">
        <v>5</v>
      </c>
      <c r="F116" s="37" t="n">
        <v>14344.5</v>
      </c>
      <c r="G116" s="25" t="inlineStr"/>
    </row>
    <row r="117">
      <c r="A117" s="30" t="inlineStr">
        <is>
          <t>P2</t>
        </is>
      </c>
      <c r="B117" s="30" t="inlineStr">
        <is>
          <t>F02</t>
        </is>
      </c>
      <c r="C117" s="30" t="inlineStr">
        <is>
          <t>溶剂对照</t>
        </is>
      </c>
      <c r="D117" s="13" t="n"/>
      <c r="E117" s="38" t="n">
        <v>6</v>
      </c>
      <c r="F117" s="39" t="n">
        <v>14588.4</v>
      </c>
      <c r="G117" s="30" t="inlineStr"/>
    </row>
    <row r="118">
      <c r="A118" s="25" t="inlineStr">
        <is>
          <t>P2</t>
        </is>
      </c>
      <c r="B118" s="25" t="inlineStr">
        <is>
          <t>G02</t>
        </is>
      </c>
      <c r="C118" s="25" t="inlineStr">
        <is>
          <t>溶剂对照</t>
        </is>
      </c>
      <c r="D118" s="9" t="n"/>
      <c r="E118" s="36" t="n">
        <v>7</v>
      </c>
      <c r="F118" s="37" t="n">
        <v>14151.9</v>
      </c>
      <c r="G118" s="25" t="inlineStr"/>
    </row>
    <row r="119">
      <c r="A119" s="30" t="inlineStr">
        <is>
          <t>P2</t>
        </is>
      </c>
      <c r="B119" s="30" t="inlineStr">
        <is>
          <t>H02</t>
        </is>
      </c>
      <c r="C119" s="30" t="inlineStr">
        <is>
          <t>溶剂对照</t>
        </is>
      </c>
      <c r="D119" s="13" t="n"/>
      <c r="E119" s="38" t="n">
        <v>8</v>
      </c>
      <c r="F119" s="39" t="n">
        <v>14220.3</v>
      </c>
      <c r="G119" s="30" t="inlineStr"/>
    </row>
    <row r="120">
      <c r="A120" s="25" t="inlineStr">
        <is>
          <t>P2</t>
        </is>
      </c>
      <c r="B120" s="25" t="inlineStr">
        <is>
          <t>A03</t>
        </is>
      </c>
      <c r="C120" s="25" t="inlineStr">
        <is>
          <t>样品</t>
        </is>
      </c>
      <c r="D120" s="9" t="n">
        <v>0.01</v>
      </c>
      <c r="E120" s="36" t="n">
        <v>1</v>
      </c>
      <c r="F120" s="37" t="n">
        <v>13719.8</v>
      </c>
      <c r="G120" s="25" t="inlineStr"/>
    </row>
    <row r="121">
      <c r="A121" s="30" t="inlineStr">
        <is>
          <t>P2</t>
        </is>
      </c>
      <c r="B121" s="30" t="inlineStr">
        <is>
          <t>B03</t>
        </is>
      </c>
      <c r="C121" s="30" t="inlineStr">
        <is>
          <t>样品</t>
        </is>
      </c>
      <c r="D121" s="13" t="n">
        <v>0.01</v>
      </c>
      <c r="E121" s="38" t="n">
        <v>2</v>
      </c>
      <c r="F121" s="39" t="n">
        <v>13884.2</v>
      </c>
      <c r="G121" s="30" t="inlineStr"/>
    </row>
    <row r="122">
      <c r="A122" s="25" t="inlineStr">
        <is>
          <t>P2</t>
        </is>
      </c>
      <c r="B122" s="25" t="inlineStr">
        <is>
          <t>C03</t>
        </is>
      </c>
      <c r="C122" s="25" t="inlineStr">
        <is>
          <t>样品</t>
        </is>
      </c>
      <c r="D122" s="9" t="n">
        <v>0.01</v>
      </c>
      <c r="E122" s="36" t="n">
        <v>3</v>
      </c>
      <c r="F122" s="37" t="n">
        <v>14973.5</v>
      </c>
      <c r="G122" s="25" t="inlineStr"/>
    </row>
    <row r="123">
      <c r="A123" s="30" t="inlineStr">
        <is>
          <t>P2</t>
        </is>
      </c>
      <c r="B123" s="30" t="inlineStr">
        <is>
          <t>D03</t>
        </is>
      </c>
      <c r="C123" s="30" t="inlineStr">
        <is>
          <t>样品</t>
        </is>
      </c>
      <c r="D123" s="13" t="n">
        <v>0.01</v>
      </c>
      <c r="E123" s="38" t="n">
        <v>4</v>
      </c>
      <c r="F123" s="39" t="n">
        <v>13128.3</v>
      </c>
      <c r="G123" s="30" t="inlineStr"/>
    </row>
    <row r="124">
      <c r="A124" s="25" t="inlineStr">
        <is>
          <t>P2</t>
        </is>
      </c>
      <c r="B124" s="25" t="inlineStr">
        <is>
          <t>E03</t>
        </is>
      </c>
      <c r="C124" s="25" t="inlineStr">
        <is>
          <t>样品</t>
        </is>
      </c>
      <c r="D124" s="9" t="n">
        <v>0.01</v>
      </c>
      <c r="E124" s="36" t="n">
        <v>5</v>
      </c>
      <c r="F124" s="37" t="n">
        <v>14520.8</v>
      </c>
      <c r="G124" s="25" t="inlineStr"/>
    </row>
    <row r="125">
      <c r="A125" s="30" t="inlineStr">
        <is>
          <t>P2</t>
        </is>
      </c>
      <c r="B125" s="30" t="inlineStr">
        <is>
          <t>F03</t>
        </is>
      </c>
      <c r="C125" s="30" t="inlineStr">
        <is>
          <t>样品</t>
        </is>
      </c>
      <c r="D125" s="13" t="n">
        <v>0.01</v>
      </c>
      <c r="E125" s="38" t="n">
        <v>6</v>
      </c>
      <c r="F125" s="39" t="n">
        <v>14016.5</v>
      </c>
      <c r="G125" s="30" t="inlineStr"/>
    </row>
    <row r="126">
      <c r="A126" s="25" t="inlineStr">
        <is>
          <t>P2</t>
        </is>
      </c>
      <c r="B126" s="25" t="inlineStr">
        <is>
          <t>G03</t>
        </is>
      </c>
      <c r="C126" s="25" t="inlineStr">
        <is>
          <t>样品</t>
        </is>
      </c>
      <c r="D126" s="9" t="n">
        <v>0.01</v>
      </c>
      <c r="E126" s="36" t="n">
        <v>7</v>
      </c>
      <c r="F126" s="37" t="n">
        <v>14313</v>
      </c>
      <c r="G126" s="25" t="inlineStr"/>
    </row>
    <row r="127">
      <c r="A127" s="30" t="inlineStr">
        <is>
          <t>P2</t>
        </is>
      </c>
      <c r="B127" s="30" t="inlineStr">
        <is>
          <t>H03</t>
        </is>
      </c>
      <c r="C127" s="30" t="inlineStr">
        <is>
          <t>样品</t>
        </is>
      </c>
      <c r="D127" s="13" t="n">
        <v>0.01</v>
      </c>
      <c r="E127" s="38" t="n">
        <v>8</v>
      </c>
      <c r="F127" s="39" t="n">
        <v>14165.7</v>
      </c>
      <c r="G127" s="30" t="inlineStr"/>
    </row>
    <row r="128">
      <c r="A128" s="25" t="inlineStr">
        <is>
          <t>P2</t>
        </is>
      </c>
      <c r="B128" s="25" t="inlineStr">
        <is>
          <t>A04</t>
        </is>
      </c>
      <c r="C128" s="25" t="inlineStr">
        <is>
          <t>样品</t>
        </is>
      </c>
      <c r="D128" s="9" t="n">
        <v>0.03</v>
      </c>
      <c r="E128" s="36" t="n">
        <v>1</v>
      </c>
      <c r="F128" s="37" t="n">
        <v>13841.4</v>
      </c>
      <c r="G128" s="25" t="inlineStr"/>
    </row>
    <row r="129">
      <c r="A129" s="30" t="inlineStr">
        <is>
          <t>P2</t>
        </is>
      </c>
      <c r="B129" s="30" t="inlineStr">
        <is>
          <t>B04</t>
        </is>
      </c>
      <c r="C129" s="30" t="inlineStr">
        <is>
          <t>样品</t>
        </is>
      </c>
      <c r="D129" s="13" t="n">
        <v>0.03</v>
      </c>
      <c r="E129" s="38" t="n">
        <v>2</v>
      </c>
      <c r="F129" s="39" t="n">
        <v>14327.2</v>
      </c>
      <c r="G129" s="30" t="inlineStr"/>
    </row>
    <row r="130">
      <c r="A130" s="25" t="inlineStr">
        <is>
          <t>P2</t>
        </is>
      </c>
      <c r="B130" s="25" t="inlineStr">
        <is>
          <t>C04</t>
        </is>
      </c>
      <c r="C130" s="25" t="inlineStr">
        <is>
          <t>样品</t>
        </is>
      </c>
      <c r="D130" s="9" t="n">
        <v>0.03</v>
      </c>
      <c r="E130" s="36" t="n">
        <v>3</v>
      </c>
      <c r="F130" s="37" t="n">
        <v>14945.7</v>
      </c>
      <c r="G130" s="25" t="inlineStr"/>
    </row>
    <row r="131">
      <c r="A131" s="30" t="inlineStr">
        <is>
          <t>P2</t>
        </is>
      </c>
      <c r="B131" s="30" t="inlineStr">
        <is>
          <t>D04</t>
        </is>
      </c>
      <c r="C131" s="30" t="inlineStr">
        <is>
          <t>样品</t>
        </is>
      </c>
      <c r="D131" s="13" t="n">
        <v>0.03</v>
      </c>
      <c r="E131" s="38" t="n">
        <v>4</v>
      </c>
      <c r="F131" s="39" t="n">
        <v>15250.8</v>
      </c>
      <c r="G131" s="30" t="inlineStr"/>
    </row>
    <row r="132">
      <c r="A132" s="25" t="inlineStr">
        <is>
          <t>P2</t>
        </is>
      </c>
      <c r="B132" s="25" t="inlineStr">
        <is>
          <t>E04</t>
        </is>
      </c>
      <c r="C132" s="25" t="inlineStr">
        <is>
          <t>样品</t>
        </is>
      </c>
      <c r="D132" s="9" t="n">
        <v>0.03</v>
      </c>
      <c r="E132" s="36" t="n">
        <v>5</v>
      </c>
      <c r="F132" s="37" t="n">
        <v>14256.7</v>
      </c>
      <c r="G132" s="25" t="inlineStr"/>
    </row>
    <row r="133">
      <c r="A133" s="30" t="inlineStr">
        <is>
          <t>P2</t>
        </is>
      </c>
      <c r="B133" s="30" t="inlineStr">
        <is>
          <t>F04</t>
        </is>
      </c>
      <c r="C133" s="30" t="inlineStr">
        <is>
          <t>样品</t>
        </is>
      </c>
      <c r="D133" s="13" t="n">
        <v>0.03</v>
      </c>
      <c r="E133" s="38" t="n">
        <v>6</v>
      </c>
      <c r="F133" s="39" t="n">
        <v>14254.2</v>
      </c>
      <c r="G133" s="30" t="inlineStr"/>
    </row>
    <row r="134">
      <c r="A134" s="25" t="inlineStr">
        <is>
          <t>P2</t>
        </is>
      </c>
      <c r="B134" s="25" t="inlineStr">
        <is>
          <t>G04</t>
        </is>
      </c>
      <c r="C134" s="25" t="inlineStr">
        <is>
          <t>样品</t>
        </is>
      </c>
      <c r="D134" s="9" t="n">
        <v>0.03</v>
      </c>
      <c r="E134" s="36" t="n">
        <v>7</v>
      </c>
      <c r="F134" s="37" t="n">
        <v>14207.2</v>
      </c>
      <c r="G134" s="25" t="inlineStr"/>
    </row>
    <row r="135">
      <c r="A135" s="30" t="inlineStr">
        <is>
          <t>P2</t>
        </is>
      </c>
      <c r="B135" s="30" t="inlineStr">
        <is>
          <t>H04</t>
        </is>
      </c>
      <c r="C135" s="30" t="inlineStr">
        <is>
          <t>样品</t>
        </is>
      </c>
      <c r="D135" s="13" t="n">
        <v>0.03</v>
      </c>
      <c r="E135" s="38" t="n">
        <v>8</v>
      </c>
      <c r="F135" s="39" t="n">
        <v>14460.5</v>
      </c>
      <c r="G135" s="30" t="inlineStr"/>
    </row>
    <row r="136">
      <c r="A136" s="25" t="inlineStr">
        <is>
          <t>P2</t>
        </is>
      </c>
      <c r="B136" s="25" t="inlineStr">
        <is>
          <t>A05</t>
        </is>
      </c>
      <c r="C136" s="25" t="inlineStr">
        <is>
          <t>样品</t>
        </is>
      </c>
      <c r="D136" s="9" t="n">
        <v>0.1</v>
      </c>
      <c r="E136" s="36" t="n">
        <v>1</v>
      </c>
      <c r="F136" s="37" t="n">
        <v>13948.9</v>
      </c>
      <c r="G136" s="25" t="inlineStr"/>
    </row>
    <row r="137">
      <c r="A137" s="30" t="inlineStr">
        <is>
          <t>P2</t>
        </is>
      </c>
      <c r="B137" s="30" t="inlineStr">
        <is>
          <t>B05</t>
        </is>
      </c>
      <c r="C137" s="30" t="inlineStr">
        <is>
          <t>样品</t>
        </is>
      </c>
      <c r="D137" s="13" t="n">
        <v>0.1</v>
      </c>
      <c r="E137" s="38" t="n">
        <v>2</v>
      </c>
      <c r="F137" s="39" t="n">
        <v>15025</v>
      </c>
      <c r="G137" s="30" t="inlineStr"/>
    </row>
    <row r="138">
      <c r="A138" s="25" t="inlineStr">
        <is>
          <t>P2</t>
        </is>
      </c>
      <c r="B138" s="25" t="inlineStr">
        <is>
          <t>C05</t>
        </is>
      </c>
      <c r="C138" s="25" t="inlineStr">
        <is>
          <t>样品</t>
        </is>
      </c>
      <c r="D138" s="9" t="n">
        <v>0.1</v>
      </c>
      <c r="E138" s="36" t="n">
        <v>3</v>
      </c>
      <c r="F138" s="37" t="n">
        <v>14042.6</v>
      </c>
      <c r="G138" s="25" t="inlineStr"/>
    </row>
    <row r="139">
      <c r="A139" s="30" t="inlineStr">
        <is>
          <t>P2</t>
        </is>
      </c>
      <c r="B139" s="30" t="inlineStr">
        <is>
          <t>D05</t>
        </is>
      </c>
      <c r="C139" s="30" t="inlineStr">
        <is>
          <t>样品</t>
        </is>
      </c>
      <c r="D139" s="13" t="n">
        <v>0.1</v>
      </c>
      <c r="E139" s="38" t="n">
        <v>4</v>
      </c>
      <c r="F139" s="39" t="n">
        <v>14445.9</v>
      </c>
      <c r="G139" s="30" t="inlineStr"/>
    </row>
    <row r="140">
      <c r="A140" s="25" t="inlineStr">
        <is>
          <t>P2</t>
        </is>
      </c>
      <c r="B140" s="25" t="inlineStr">
        <is>
          <t>E05</t>
        </is>
      </c>
      <c r="C140" s="25" t="inlineStr">
        <is>
          <t>样品</t>
        </is>
      </c>
      <c r="D140" s="9" t="n">
        <v>0.1</v>
      </c>
      <c r="E140" s="36" t="n">
        <v>5</v>
      </c>
      <c r="F140" s="37" t="n">
        <v>13680.2</v>
      </c>
      <c r="G140" s="25" t="inlineStr"/>
    </row>
    <row r="141">
      <c r="A141" s="30" t="inlineStr">
        <is>
          <t>P2</t>
        </is>
      </c>
      <c r="B141" s="30" t="inlineStr">
        <is>
          <t>F05</t>
        </is>
      </c>
      <c r="C141" s="30" t="inlineStr">
        <is>
          <t>样品</t>
        </is>
      </c>
      <c r="D141" s="13" t="n">
        <v>0.1</v>
      </c>
      <c r="E141" s="38" t="n">
        <v>6</v>
      </c>
      <c r="F141" s="39" t="n">
        <v>13792.6</v>
      </c>
      <c r="G141" s="30" t="inlineStr"/>
    </row>
    <row r="142">
      <c r="A142" s="25" t="inlineStr">
        <is>
          <t>P2</t>
        </is>
      </c>
      <c r="B142" s="25" t="inlineStr">
        <is>
          <t>G05</t>
        </is>
      </c>
      <c r="C142" s="25" t="inlineStr">
        <is>
          <t>样品</t>
        </is>
      </c>
      <c r="D142" s="9" t="n">
        <v>0.1</v>
      </c>
      <c r="E142" s="36" t="n">
        <v>7</v>
      </c>
      <c r="F142" s="37" t="n">
        <v>14161</v>
      </c>
      <c r="G142" s="25" t="inlineStr"/>
    </row>
    <row r="143">
      <c r="A143" s="30" t="inlineStr">
        <is>
          <t>P2</t>
        </is>
      </c>
      <c r="B143" s="30" t="inlineStr">
        <is>
          <t>H05</t>
        </is>
      </c>
      <c r="C143" s="30" t="inlineStr">
        <is>
          <t>样品</t>
        </is>
      </c>
      <c r="D143" s="13" t="n">
        <v>0.1</v>
      </c>
      <c r="E143" s="38" t="n">
        <v>8</v>
      </c>
      <c r="F143" s="39" t="n">
        <v>13896.4</v>
      </c>
      <c r="G143" s="30" t="inlineStr"/>
    </row>
    <row r="144">
      <c r="A144" s="25" t="inlineStr">
        <is>
          <t>P2</t>
        </is>
      </c>
      <c r="B144" s="25" t="inlineStr">
        <is>
          <t>A06</t>
        </is>
      </c>
      <c r="C144" s="25" t="inlineStr">
        <is>
          <t>样品</t>
        </is>
      </c>
      <c r="D144" s="9" t="n">
        <v>0.3</v>
      </c>
      <c r="E144" s="36" t="n">
        <v>1</v>
      </c>
      <c r="F144" s="37" t="n">
        <v>12929.2</v>
      </c>
      <c r="G144" s="25" t="inlineStr"/>
    </row>
    <row r="145">
      <c r="A145" s="30" t="inlineStr">
        <is>
          <t>P2</t>
        </is>
      </c>
      <c r="B145" s="30" t="inlineStr">
        <is>
          <t>B06</t>
        </is>
      </c>
      <c r="C145" s="30" t="inlineStr">
        <is>
          <t>样品</t>
        </is>
      </c>
      <c r="D145" s="13" t="n">
        <v>0.3</v>
      </c>
      <c r="E145" s="38" t="n">
        <v>2</v>
      </c>
      <c r="F145" s="39" t="n">
        <v>13357.2</v>
      </c>
      <c r="G145" s="30" t="inlineStr"/>
    </row>
    <row r="146">
      <c r="A146" s="25" t="inlineStr">
        <is>
          <t>P2</t>
        </is>
      </c>
      <c r="B146" s="25" t="inlineStr">
        <is>
          <t>C06</t>
        </is>
      </c>
      <c r="C146" s="25" t="inlineStr">
        <is>
          <t>样品</t>
        </is>
      </c>
      <c r="D146" s="9" t="n">
        <v>0.3</v>
      </c>
      <c r="E146" s="36" t="n">
        <v>3</v>
      </c>
      <c r="F146" s="37" t="n">
        <v>14304.5</v>
      </c>
      <c r="G146" s="25" t="inlineStr"/>
    </row>
    <row r="147">
      <c r="A147" s="30" t="inlineStr">
        <is>
          <t>P2</t>
        </is>
      </c>
      <c r="B147" s="30" t="inlineStr">
        <is>
          <t>D06</t>
        </is>
      </c>
      <c r="C147" s="30" t="inlineStr">
        <is>
          <t>样品</t>
        </is>
      </c>
      <c r="D147" s="13" t="n">
        <v>0.3</v>
      </c>
      <c r="E147" s="38" t="n">
        <v>4</v>
      </c>
      <c r="F147" s="39" t="n">
        <v>13534.9</v>
      </c>
      <c r="G147" s="30" t="inlineStr"/>
    </row>
    <row r="148">
      <c r="A148" s="25" t="inlineStr">
        <is>
          <t>P2</t>
        </is>
      </c>
      <c r="B148" s="25" t="inlineStr">
        <is>
          <t>E06</t>
        </is>
      </c>
      <c r="C148" s="25" t="inlineStr">
        <is>
          <t>样品</t>
        </is>
      </c>
      <c r="D148" s="9" t="n">
        <v>0.3</v>
      </c>
      <c r="E148" s="36" t="n">
        <v>5</v>
      </c>
      <c r="F148" s="37" t="n">
        <v>13330.3</v>
      </c>
      <c r="G148" s="25" t="inlineStr"/>
    </row>
    <row r="149">
      <c r="A149" s="30" t="inlineStr">
        <is>
          <t>P2</t>
        </is>
      </c>
      <c r="B149" s="30" t="inlineStr">
        <is>
          <t>F06</t>
        </is>
      </c>
      <c r="C149" s="30" t="inlineStr">
        <is>
          <t>样品</t>
        </is>
      </c>
      <c r="D149" s="13" t="n">
        <v>0.3</v>
      </c>
      <c r="E149" s="38" t="n">
        <v>6</v>
      </c>
      <c r="F149" s="39" t="n">
        <v>14135.5</v>
      </c>
      <c r="G149" s="30" t="inlineStr"/>
    </row>
    <row r="150">
      <c r="A150" s="25" t="inlineStr">
        <is>
          <t>P2</t>
        </is>
      </c>
      <c r="B150" s="25" t="inlineStr">
        <is>
          <t>G06</t>
        </is>
      </c>
      <c r="C150" s="25" t="inlineStr">
        <is>
          <t>样品</t>
        </is>
      </c>
      <c r="D150" s="9" t="n">
        <v>0.3</v>
      </c>
      <c r="E150" s="36" t="n">
        <v>7</v>
      </c>
      <c r="F150" s="37" t="n">
        <v>13196.7</v>
      </c>
      <c r="G150" s="25" t="inlineStr"/>
    </row>
    <row r="151">
      <c r="A151" s="30" t="inlineStr">
        <is>
          <t>P2</t>
        </is>
      </c>
      <c r="B151" s="30" t="inlineStr">
        <is>
          <t>H06</t>
        </is>
      </c>
      <c r="C151" s="30" t="inlineStr">
        <is>
          <t>样品</t>
        </is>
      </c>
      <c r="D151" s="13" t="n">
        <v>0.3</v>
      </c>
      <c r="E151" s="38" t="n">
        <v>8</v>
      </c>
      <c r="F151" s="39" t="n">
        <v>13390.3</v>
      </c>
      <c r="G151" s="30" t="inlineStr"/>
    </row>
    <row r="152">
      <c r="A152" s="25" t="inlineStr">
        <is>
          <t>P2</t>
        </is>
      </c>
      <c r="B152" s="25" t="inlineStr">
        <is>
          <t>A07</t>
        </is>
      </c>
      <c r="C152" s="25" t="inlineStr">
        <is>
          <t>样品</t>
        </is>
      </c>
      <c r="D152" s="9" t="n">
        <v>1</v>
      </c>
      <c r="E152" s="36" t="n">
        <v>1</v>
      </c>
      <c r="F152" s="37" t="n">
        <v>12346.6</v>
      </c>
      <c r="G152" s="25" t="inlineStr"/>
    </row>
    <row r="153">
      <c r="A153" s="30" t="inlineStr">
        <is>
          <t>P2</t>
        </is>
      </c>
      <c r="B153" s="30" t="inlineStr">
        <is>
          <t>B07</t>
        </is>
      </c>
      <c r="C153" s="30" t="inlineStr">
        <is>
          <t>样品</t>
        </is>
      </c>
      <c r="D153" s="13" t="n">
        <v>1</v>
      </c>
      <c r="E153" s="38" t="n">
        <v>2</v>
      </c>
      <c r="F153" s="39" t="n">
        <v>12481.8</v>
      </c>
      <c r="G153" s="30" t="inlineStr"/>
    </row>
    <row r="154">
      <c r="A154" s="25" t="inlineStr">
        <is>
          <t>P2</t>
        </is>
      </c>
      <c r="B154" s="25" t="inlineStr">
        <is>
          <t>C07</t>
        </is>
      </c>
      <c r="C154" s="25" t="inlineStr">
        <is>
          <t>样品</t>
        </is>
      </c>
      <c r="D154" s="9" t="n">
        <v>1</v>
      </c>
      <c r="E154" s="36" t="n">
        <v>3</v>
      </c>
      <c r="F154" s="37" t="n">
        <v>12739</v>
      </c>
      <c r="G154" s="25" t="inlineStr"/>
    </row>
    <row r="155">
      <c r="A155" s="30" t="inlineStr">
        <is>
          <t>P2</t>
        </is>
      </c>
      <c r="B155" s="30" t="inlineStr">
        <is>
          <t>D07</t>
        </is>
      </c>
      <c r="C155" s="30" t="inlineStr">
        <is>
          <t>样品</t>
        </is>
      </c>
      <c r="D155" s="13" t="n">
        <v>1</v>
      </c>
      <c r="E155" s="38" t="n">
        <v>4</v>
      </c>
      <c r="F155" s="39" t="n">
        <v>12393.8</v>
      </c>
      <c r="G155" s="30" t="inlineStr"/>
    </row>
    <row r="156">
      <c r="A156" s="25" t="inlineStr">
        <is>
          <t>P2</t>
        </is>
      </c>
      <c r="B156" s="25" t="inlineStr">
        <is>
          <t>E07</t>
        </is>
      </c>
      <c r="C156" s="25" t="inlineStr">
        <is>
          <t>样品</t>
        </is>
      </c>
      <c r="D156" s="9" t="n">
        <v>1</v>
      </c>
      <c r="E156" s="36" t="n">
        <v>5</v>
      </c>
      <c r="F156" s="37" t="n">
        <v>12407.4</v>
      </c>
      <c r="G156" s="25" t="inlineStr"/>
    </row>
    <row r="157">
      <c r="A157" s="30" t="inlineStr">
        <is>
          <t>P2</t>
        </is>
      </c>
      <c r="B157" s="30" t="inlineStr">
        <is>
          <t>F07</t>
        </is>
      </c>
      <c r="C157" s="30" t="inlineStr">
        <is>
          <t>样品</t>
        </is>
      </c>
      <c r="D157" s="13" t="n">
        <v>1</v>
      </c>
      <c r="E157" s="38" t="n">
        <v>6</v>
      </c>
      <c r="F157" s="39" t="n">
        <v>11517.6</v>
      </c>
      <c r="G157" s="30" t="inlineStr"/>
    </row>
    <row r="158">
      <c r="A158" s="25" t="inlineStr">
        <is>
          <t>P2</t>
        </is>
      </c>
      <c r="B158" s="25" t="inlineStr">
        <is>
          <t>G07</t>
        </is>
      </c>
      <c r="C158" s="25" t="inlineStr">
        <is>
          <t>样品</t>
        </is>
      </c>
      <c r="D158" s="9" t="n">
        <v>1</v>
      </c>
      <c r="E158" s="36" t="n">
        <v>7</v>
      </c>
      <c r="F158" s="37" t="n">
        <v>11724.6</v>
      </c>
      <c r="G158" s="25" t="inlineStr"/>
    </row>
    <row r="159">
      <c r="A159" s="30" t="inlineStr">
        <is>
          <t>P2</t>
        </is>
      </c>
      <c r="B159" s="30" t="inlineStr">
        <is>
          <t>H07</t>
        </is>
      </c>
      <c r="C159" s="30" t="inlineStr">
        <is>
          <t>样品</t>
        </is>
      </c>
      <c r="D159" s="13" t="n">
        <v>1</v>
      </c>
      <c r="E159" s="38" t="n">
        <v>8</v>
      </c>
      <c r="F159" s="39" t="n">
        <v>12310.9</v>
      </c>
      <c r="G159" s="30" t="inlineStr"/>
    </row>
    <row r="160">
      <c r="A160" s="25" t="inlineStr">
        <is>
          <t>P2</t>
        </is>
      </c>
      <c r="B160" s="25" t="inlineStr">
        <is>
          <t>A08</t>
        </is>
      </c>
      <c r="C160" s="25" t="inlineStr">
        <is>
          <t>样品</t>
        </is>
      </c>
      <c r="D160" s="9" t="n">
        <v>3</v>
      </c>
      <c r="E160" s="36" t="n">
        <v>1</v>
      </c>
      <c r="F160" s="37" t="n">
        <v>9318.1</v>
      </c>
      <c r="G160" s="25" t="inlineStr"/>
    </row>
    <row r="161">
      <c r="A161" s="30" t="inlineStr">
        <is>
          <t>P2</t>
        </is>
      </c>
      <c r="B161" s="30" t="inlineStr">
        <is>
          <t>B08</t>
        </is>
      </c>
      <c r="C161" s="30" t="inlineStr">
        <is>
          <t>样品</t>
        </is>
      </c>
      <c r="D161" s="13" t="n">
        <v>3</v>
      </c>
      <c r="E161" s="38" t="n">
        <v>2</v>
      </c>
      <c r="F161" s="39" t="n">
        <v>8732.799999999999</v>
      </c>
      <c r="G161" s="30" t="inlineStr"/>
    </row>
    <row r="162">
      <c r="A162" s="25" t="inlineStr">
        <is>
          <t>P2</t>
        </is>
      </c>
      <c r="B162" s="25" t="inlineStr">
        <is>
          <t>C08</t>
        </is>
      </c>
      <c r="C162" s="25" t="inlineStr">
        <is>
          <t>样品</t>
        </is>
      </c>
      <c r="D162" s="9" t="n">
        <v>3</v>
      </c>
      <c r="E162" s="36" t="n">
        <v>3</v>
      </c>
      <c r="F162" s="37" t="n">
        <v>14473.3</v>
      </c>
      <c r="G162" s="25" t="inlineStr">
        <is>
          <t>模拟移液偏差，保留原始读数</t>
        </is>
      </c>
    </row>
    <row r="163">
      <c r="A163" s="30" t="inlineStr">
        <is>
          <t>P2</t>
        </is>
      </c>
      <c r="B163" s="30" t="inlineStr">
        <is>
          <t>D08</t>
        </is>
      </c>
      <c r="C163" s="30" t="inlineStr">
        <is>
          <t>样品</t>
        </is>
      </c>
      <c r="D163" s="13" t="n">
        <v>3</v>
      </c>
      <c r="E163" s="38" t="n">
        <v>4</v>
      </c>
      <c r="F163" s="39" t="n">
        <v>8993.9</v>
      </c>
      <c r="G163" s="30" t="inlineStr"/>
    </row>
    <row r="164">
      <c r="A164" s="25" t="inlineStr">
        <is>
          <t>P2</t>
        </is>
      </c>
      <c r="B164" s="25" t="inlineStr">
        <is>
          <t>E08</t>
        </is>
      </c>
      <c r="C164" s="25" t="inlineStr">
        <is>
          <t>样品</t>
        </is>
      </c>
      <c r="D164" s="9" t="n">
        <v>3</v>
      </c>
      <c r="E164" s="36" t="n">
        <v>5</v>
      </c>
      <c r="F164" s="37" t="n">
        <v>9938</v>
      </c>
      <c r="G164" s="25" t="inlineStr"/>
    </row>
    <row r="165">
      <c r="A165" s="30" t="inlineStr">
        <is>
          <t>P2</t>
        </is>
      </c>
      <c r="B165" s="30" t="inlineStr">
        <is>
          <t>F08</t>
        </is>
      </c>
      <c r="C165" s="30" t="inlineStr">
        <is>
          <t>样品</t>
        </is>
      </c>
      <c r="D165" s="13" t="n">
        <v>3</v>
      </c>
      <c r="E165" s="38" t="n">
        <v>6</v>
      </c>
      <c r="F165" s="39" t="n">
        <v>9339.9</v>
      </c>
      <c r="G165" s="30" t="inlineStr"/>
    </row>
    <row r="166">
      <c r="A166" s="25" t="inlineStr">
        <is>
          <t>P2</t>
        </is>
      </c>
      <c r="B166" s="25" t="inlineStr">
        <is>
          <t>G08</t>
        </is>
      </c>
      <c r="C166" s="25" t="inlineStr">
        <is>
          <t>样品</t>
        </is>
      </c>
      <c r="D166" s="9" t="n">
        <v>3</v>
      </c>
      <c r="E166" s="36" t="n">
        <v>7</v>
      </c>
      <c r="F166" s="37" t="n">
        <v>9298.299999999999</v>
      </c>
      <c r="G166" s="25" t="inlineStr"/>
    </row>
    <row r="167">
      <c r="A167" s="30" t="inlineStr">
        <is>
          <t>P2</t>
        </is>
      </c>
      <c r="B167" s="30" t="inlineStr">
        <is>
          <t>H08</t>
        </is>
      </c>
      <c r="C167" s="30" t="inlineStr">
        <is>
          <t>样品</t>
        </is>
      </c>
      <c r="D167" s="13" t="n">
        <v>3</v>
      </c>
      <c r="E167" s="38" t="n">
        <v>8</v>
      </c>
      <c r="F167" s="39" t="n">
        <v>9429.5</v>
      </c>
      <c r="G167" s="30" t="inlineStr"/>
    </row>
    <row r="168">
      <c r="A168" s="25" t="inlineStr">
        <is>
          <t>P2</t>
        </is>
      </c>
      <c r="B168" s="25" t="inlineStr">
        <is>
          <t>A09</t>
        </is>
      </c>
      <c r="C168" s="25" t="inlineStr">
        <is>
          <t>样品</t>
        </is>
      </c>
      <c r="D168" s="9" t="n">
        <v>10</v>
      </c>
      <c r="E168" s="36" t="n">
        <v>1</v>
      </c>
      <c r="F168" s="37" t="n">
        <v>4501.9</v>
      </c>
      <c r="G168" s="25" t="inlineStr"/>
    </row>
    <row r="169">
      <c r="A169" s="30" t="inlineStr">
        <is>
          <t>P2</t>
        </is>
      </c>
      <c r="B169" s="30" t="inlineStr">
        <is>
          <t>B09</t>
        </is>
      </c>
      <c r="C169" s="30" t="inlineStr">
        <is>
          <t>样品</t>
        </is>
      </c>
      <c r="D169" s="13" t="n">
        <v>10</v>
      </c>
      <c r="E169" s="38" t="n">
        <v>2</v>
      </c>
      <c r="F169" s="39" t="n">
        <v>4601.5</v>
      </c>
      <c r="G169" s="30" t="inlineStr"/>
    </row>
    <row r="170">
      <c r="A170" s="25" t="inlineStr">
        <is>
          <t>P2</t>
        </is>
      </c>
      <c r="B170" s="25" t="inlineStr">
        <is>
          <t>C09</t>
        </is>
      </c>
      <c r="C170" s="25" t="inlineStr">
        <is>
          <t>样品</t>
        </is>
      </c>
      <c r="D170" s="9" t="n">
        <v>10</v>
      </c>
      <c r="E170" s="36" t="n">
        <v>3</v>
      </c>
      <c r="F170" s="37" t="n">
        <v>4564.1</v>
      </c>
      <c r="G170" s="25" t="inlineStr"/>
    </row>
    <row r="171">
      <c r="A171" s="30" t="inlineStr">
        <is>
          <t>P2</t>
        </is>
      </c>
      <c r="B171" s="30" t="inlineStr">
        <is>
          <t>D09</t>
        </is>
      </c>
      <c r="C171" s="30" t="inlineStr">
        <is>
          <t>样品</t>
        </is>
      </c>
      <c r="D171" s="13" t="n">
        <v>10</v>
      </c>
      <c r="E171" s="38" t="n">
        <v>4</v>
      </c>
      <c r="F171" s="39" t="n">
        <v>4522.3</v>
      </c>
      <c r="G171" s="30" t="inlineStr"/>
    </row>
    <row r="172">
      <c r="A172" s="25" t="inlineStr">
        <is>
          <t>P2</t>
        </is>
      </c>
      <c r="B172" s="25" t="inlineStr">
        <is>
          <t>E09</t>
        </is>
      </c>
      <c r="C172" s="25" t="inlineStr">
        <is>
          <t>样品</t>
        </is>
      </c>
      <c r="D172" s="9" t="n">
        <v>10</v>
      </c>
      <c r="E172" s="36" t="n">
        <v>5</v>
      </c>
      <c r="F172" s="37" t="n">
        <v>4875.5</v>
      </c>
      <c r="G172" s="25" t="inlineStr"/>
    </row>
    <row r="173">
      <c r="A173" s="30" t="inlineStr">
        <is>
          <t>P2</t>
        </is>
      </c>
      <c r="B173" s="30" t="inlineStr">
        <is>
          <t>F09</t>
        </is>
      </c>
      <c r="C173" s="30" t="inlineStr">
        <is>
          <t>样品</t>
        </is>
      </c>
      <c r="D173" s="13" t="n">
        <v>10</v>
      </c>
      <c r="E173" s="38" t="n">
        <v>6</v>
      </c>
      <c r="F173" s="39" t="n">
        <v>4851.9</v>
      </c>
      <c r="G173" s="30" t="inlineStr"/>
    </row>
    <row r="174">
      <c r="A174" s="25" t="inlineStr">
        <is>
          <t>P2</t>
        </is>
      </c>
      <c r="B174" s="25" t="inlineStr">
        <is>
          <t>G09</t>
        </is>
      </c>
      <c r="C174" s="25" t="inlineStr">
        <is>
          <t>样品</t>
        </is>
      </c>
      <c r="D174" s="9" t="n">
        <v>10</v>
      </c>
      <c r="E174" s="36" t="n">
        <v>7</v>
      </c>
      <c r="F174" s="37" t="n">
        <v>4867.3</v>
      </c>
      <c r="G174" s="25" t="inlineStr"/>
    </row>
    <row r="175">
      <c r="A175" s="30" t="inlineStr">
        <is>
          <t>P2</t>
        </is>
      </c>
      <c r="B175" s="30" t="inlineStr">
        <is>
          <t>H09</t>
        </is>
      </c>
      <c r="C175" s="30" t="inlineStr">
        <is>
          <t>样品</t>
        </is>
      </c>
      <c r="D175" s="13" t="n">
        <v>10</v>
      </c>
      <c r="E175" s="38" t="n">
        <v>8</v>
      </c>
      <c r="F175" s="39" t="n">
        <v>4649.6</v>
      </c>
      <c r="G175" s="30" t="inlineStr"/>
    </row>
    <row r="176">
      <c r="A176" s="25" t="inlineStr">
        <is>
          <t>P2</t>
        </is>
      </c>
      <c r="B176" s="25" t="inlineStr">
        <is>
          <t>A10</t>
        </is>
      </c>
      <c r="C176" s="25" t="inlineStr">
        <is>
          <t>样品</t>
        </is>
      </c>
      <c r="D176" s="9" t="n">
        <v>30</v>
      </c>
      <c r="E176" s="36" t="n">
        <v>1</v>
      </c>
      <c r="F176" s="37" t="n">
        <v>2036.6</v>
      </c>
      <c r="G176" s="25" t="inlineStr"/>
    </row>
    <row r="177">
      <c r="A177" s="30" t="inlineStr">
        <is>
          <t>P2</t>
        </is>
      </c>
      <c r="B177" s="30" t="inlineStr">
        <is>
          <t>B10</t>
        </is>
      </c>
      <c r="C177" s="30" t="inlineStr">
        <is>
          <t>样品</t>
        </is>
      </c>
      <c r="D177" s="13" t="n">
        <v>30</v>
      </c>
      <c r="E177" s="38" t="n">
        <v>2</v>
      </c>
      <c r="F177" s="39" t="n">
        <v>1934.2</v>
      </c>
      <c r="G177" s="30" t="inlineStr"/>
    </row>
    <row r="178">
      <c r="A178" s="25" t="inlineStr">
        <is>
          <t>P2</t>
        </is>
      </c>
      <c r="B178" s="25" t="inlineStr">
        <is>
          <t>C10</t>
        </is>
      </c>
      <c r="C178" s="25" t="inlineStr">
        <is>
          <t>样品</t>
        </is>
      </c>
      <c r="D178" s="9" t="n">
        <v>30</v>
      </c>
      <c r="E178" s="36" t="n">
        <v>3</v>
      </c>
      <c r="F178" s="37" t="n">
        <v>1967</v>
      </c>
      <c r="G178" s="25" t="inlineStr"/>
    </row>
    <row r="179">
      <c r="A179" s="30" t="inlineStr">
        <is>
          <t>P2</t>
        </is>
      </c>
      <c r="B179" s="30" t="inlineStr">
        <is>
          <t>D10</t>
        </is>
      </c>
      <c r="C179" s="30" t="inlineStr">
        <is>
          <t>样品</t>
        </is>
      </c>
      <c r="D179" s="13" t="n">
        <v>30</v>
      </c>
      <c r="E179" s="38" t="n">
        <v>4</v>
      </c>
      <c r="F179" s="39" t="n">
        <v>2039.5</v>
      </c>
      <c r="G179" s="30" t="inlineStr"/>
    </row>
    <row r="180">
      <c r="A180" s="25" t="inlineStr">
        <is>
          <t>P2</t>
        </is>
      </c>
      <c r="B180" s="25" t="inlineStr">
        <is>
          <t>E10</t>
        </is>
      </c>
      <c r="C180" s="25" t="inlineStr">
        <is>
          <t>样品</t>
        </is>
      </c>
      <c r="D180" s="9" t="n">
        <v>30</v>
      </c>
      <c r="E180" s="36" t="n">
        <v>5</v>
      </c>
      <c r="F180" s="37" t="n">
        <v>1921.3</v>
      </c>
      <c r="G180" s="25" t="inlineStr"/>
    </row>
    <row r="181">
      <c r="A181" s="30" t="inlineStr">
        <is>
          <t>P2</t>
        </is>
      </c>
      <c r="B181" s="30" t="inlineStr">
        <is>
          <t>F10</t>
        </is>
      </c>
      <c r="C181" s="30" t="inlineStr">
        <is>
          <t>样品</t>
        </is>
      </c>
      <c r="D181" s="13" t="n">
        <v>30</v>
      </c>
      <c r="E181" s="38" t="n">
        <v>6</v>
      </c>
      <c r="F181" s="39" t="n">
        <v>1970.2</v>
      </c>
      <c r="G181" s="30" t="inlineStr"/>
    </row>
    <row r="182">
      <c r="A182" s="25" t="inlineStr">
        <is>
          <t>P2</t>
        </is>
      </c>
      <c r="B182" s="25" t="inlineStr">
        <is>
          <t>G10</t>
        </is>
      </c>
      <c r="C182" s="25" t="inlineStr">
        <is>
          <t>样品</t>
        </is>
      </c>
      <c r="D182" s="9" t="n">
        <v>30</v>
      </c>
      <c r="E182" s="36" t="n">
        <v>7</v>
      </c>
      <c r="F182" s="37" t="n">
        <v>1921.7</v>
      </c>
      <c r="G182" s="25" t="inlineStr"/>
    </row>
    <row r="183">
      <c r="A183" s="30" t="inlineStr">
        <is>
          <t>P2</t>
        </is>
      </c>
      <c r="B183" s="30" t="inlineStr">
        <is>
          <t>H10</t>
        </is>
      </c>
      <c r="C183" s="30" t="inlineStr">
        <is>
          <t>样品</t>
        </is>
      </c>
      <c r="D183" s="13" t="n">
        <v>30</v>
      </c>
      <c r="E183" s="38" t="n">
        <v>8</v>
      </c>
      <c r="F183" s="39" t="n">
        <v>1898.5</v>
      </c>
      <c r="G183" s="30" t="inlineStr"/>
    </row>
    <row r="184">
      <c r="A184" s="25" t="inlineStr">
        <is>
          <t>P2</t>
        </is>
      </c>
      <c r="B184" s="25" t="inlineStr">
        <is>
          <t>A11</t>
        </is>
      </c>
      <c r="C184" s="25" t="inlineStr">
        <is>
          <t>样品</t>
        </is>
      </c>
      <c r="D184" s="9" t="n">
        <v>60</v>
      </c>
      <c r="E184" s="36" t="n">
        <v>1</v>
      </c>
      <c r="F184" s="37" t="n">
        <v>1074.3</v>
      </c>
      <c r="G184" s="25" t="inlineStr"/>
    </row>
    <row r="185">
      <c r="A185" s="30" t="inlineStr">
        <is>
          <t>P2</t>
        </is>
      </c>
      <c r="B185" s="30" t="inlineStr">
        <is>
          <t>B11</t>
        </is>
      </c>
      <c r="C185" s="30" t="inlineStr">
        <is>
          <t>样品</t>
        </is>
      </c>
      <c r="D185" s="13" t="n">
        <v>60</v>
      </c>
      <c r="E185" s="38" t="n">
        <v>2</v>
      </c>
      <c r="F185" s="39" t="n">
        <v>1042.5</v>
      </c>
      <c r="G185" s="30" t="inlineStr"/>
    </row>
    <row r="186">
      <c r="A186" s="25" t="inlineStr">
        <is>
          <t>P2</t>
        </is>
      </c>
      <c r="B186" s="25" t="inlineStr">
        <is>
          <t>C11</t>
        </is>
      </c>
      <c r="C186" s="25" t="inlineStr">
        <is>
          <t>样品</t>
        </is>
      </c>
      <c r="D186" s="9" t="n">
        <v>60</v>
      </c>
      <c r="E186" s="36" t="n">
        <v>3</v>
      </c>
      <c r="F186" s="37" t="n">
        <v>1105.9</v>
      </c>
      <c r="G186" s="25" t="inlineStr"/>
    </row>
    <row r="187">
      <c r="A187" s="30" t="inlineStr">
        <is>
          <t>P2</t>
        </is>
      </c>
      <c r="B187" s="30" t="inlineStr">
        <is>
          <t>D11</t>
        </is>
      </c>
      <c r="C187" s="30" t="inlineStr">
        <is>
          <t>样品</t>
        </is>
      </c>
      <c r="D187" s="13" t="n">
        <v>60</v>
      </c>
      <c r="E187" s="38" t="n">
        <v>4</v>
      </c>
      <c r="F187" s="39" t="n">
        <v>1062</v>
      </c>
      <c r="G187" s="30" t="inlineStr"/>
    </row>
    <row r="188">
      <c r="A188" s="25" t="inlineStr">
        <is>
          <t>P2</t>
        </is>
      </c>
      <c r="B188" s="25" t="inlineStr">
        <is>
          <t>E11</t>
        </is>
      </c>
      <c r="C188" s="25" t="inlineStr">
        <is>
          <t>样品</t>
        </is>
      </c>
      <c r="D188" s="9" t="n">
        <v>60</v>
      </c>
      <c r="E188" s="36" t="n">
        <v>5</v>
      </c>
      <c r="F188" s="37" t="n">
        <v>1092.6</v>
      </c>
      <c r="G188" s="25" t="inlineStr"/>
    </row>
    <row r="189">
      <c r="A189" s="30" t="inlineStr">
        <is>
          <t>P2</t>
        </is>
      </c>
      <c r="B189" s="30" t="inlineStr">
        <is>
          <t>F11</t>
        </is>
      </c>
      <c r="C189" s="30" t="inlineStr">
        <is>
          <t>样品</t>
        </is>
      </c>
      <c r="D189" s="13" t="n">
        <v>60</v>
      </c>
      <c r="E189" s="38" t="n">
        <v>6</v>
      </c>
      <c r="F189" s="39" t="n">
        <v>1041.4</v>
      </c>
      <c r="G189" s="30" t="inlineStr"/>
    </row>
    <row r="190">
      <c r="A190" s="25" t="inlineStr">
        <is>
          <t>P2</t>
        </is>
      </c>
      <c r="B190" s="25" t="inlineStr">
        <is>
          <t>G11</t>
        </is>
      </c>
      <c r="C190" s="25" t="inlineStr">
        <is>
          <t>样品</t>
        </is>
      </c>
      <c r="D190" s="9" t="n">
        <v>60</v>
      </c>
      <c r="E190" s="36" t="n">
        <v>7</v>
      </c>
      <c r="F190" s="37" t="n">
        <v>1033.8</v>
      </c>
      <c r="G190" s="25" t="inlineStr"/>
    </row>
    <row r="191">
      <c r="A191" s="30" t="inlineStr">
        <is>
          <t>P2</t>
        </is>
      </c>
      <c r="B191" s="30" t="inlineStr">
        <is>
          <t>H11</t>
        </is>
      </c>
      <c r="C191" s="30" t="inlineStr">
        <is>
          <t>样品</t>
        </is>
      </c>
      <c r="D191" s="13" t="n">
        <v>60</v>
      </c>
      <c r="E191" s="38" t="n">
        <v>8</v>
      </c>
      <c r="F191" s="39" t="n">
        <v>1058.3</v>
      </c>
      <c r="G191" s="30" t="inlineStr"/>
    </row>
    <row r="192">
      <c r="A192" s="25" t="inlineStr">
        <is>
          <t>P2</t>
        </is>
      </c>
      <c r="B192" s="25" t="inlineStr">
        <is>
          <t>A12</t>
        </is>
      </c>
      <c r="C192" s="25" t="inlineStr">
        <is>
          <t>样品</t>
        </is>
      </c>
      <c r="D192" s="9" t="n">
        <v>100</v>
      </c>
      <c r="E192" s="36" t="n">
        <v>1</v>
      </c>
      <c r="F192" s="37" t="n">
        <v>673</v>
      </c>
      <c r="G192" s="25" t="inlineStr"/>
    </row>
    <row r="193">
      <c r="A193" s="30" t="inlineStr">
        <is>
          <t>P2</t>
        </is>
      </c>
      <c r="B193" s="30" t="inlineStr">
        <is>
          <t>B12</t>
        </is>
      </c>
      <c r="C193" s="30" t="inlineStr">
        <is>
          <t>样品</t>
        </is>
      </c>
      <c r="D193" s="13" t="n">
        <v>100</v>
      </c>
      <c r="E193" s="38" t="n">
        <v>2</v>
      </c>
      <c r="F193" s="39" t="n">
        <v>688.9</v>
      </c>
      <c r="G193" s="30" t="inlineStr"/>
    </row>
    <row r="194">
      <c r="A194" s="25" t="inlineStr">
        <is>
          <t>P2</t>
        </is>
      </c>
      <c r="B194" s="25" t="inlineStr">
        <is>
          <t>C12</t>
        </is>
      </c>
      <c r="C194" s="25" t="inlineStr">
        <is>
          <t>样品</t>
        </is>
      </c>
      <c r="D194" s="9" t="n">
        <v>100</v>
      </c>
      <c r="E194" s="36" t="n">
        <v>3</v>
      </c>
      <c r="F194" s="37" t="n">
        <v>691.2</v>
      </c>
      <c r="G194" s="25" t="inlineStr"/>
    </row>
    <row r="195">
      <c r="A195" s="30" t="inlineStr">
        <is>
          <t>P2</t>
        </is>
      </c>
      <c r="B195" s="30" t="inlineStr">
        <is>
          <t>D12</t>
        </is>
      </c>
      <c r="C195" s="30" t="inlineStr">
        <is>
          <t>样品</t>
        </is>
      </c>
      <c r="D195" s="13" t="n">
        <v>100</v>
      </c>
      <c r="E195" s="38" t="n">
        <v>4</v>
      </c>
      <c r="F195" s="39" t="n">
        <v>692.1</v>
      </c>
      <c r="G195" s="30" t="inlineStr"/>
    </row>
    <row r="196">
      <c r="A196" s="25" t="inlineStr">
        <is>
          <t>P2</t>
        </is>
      </c>
      <c r="B196" s="25" t="inlineStr">
        <is>
          <t>E12</t>
        </is>
      </c>
      <c r="C196" s="25" t="inlineStr">
        <is>
          <t>样品</t>
        </is>
      </c>
      <c r="D196" s="9" t="n">
        <v>100</v>
      </c>
      <c r="E196" s="36" t="n">
        <v>5</v>
      </c>
      <c r="F196" s="37" t="n">
        <v>730.1</v>
      </c>
      <c r="G196" s="25" t="inlineStr"/>
    </row>
    <row r="197">
      <c r="A197" s="30" t="inlineStr">
        <is>
          <t>P2</t>
        </is>
      </c>
      <c r="B197" s="30" t="inlineStr">
        <is>
          <t>F12</t>
        </is>
      </c>
      <c r="C197" s="30" t="inlineStr">
        <is>
          <t>样品</t>
        </is>
      </c>
      <c r="D197" s="13" t="n">
        <v>100</v>
      </c>
      <c r="E197" s="38" t="n">
        <v>6</v>
      </c>
      <c r="F197" s="39" t="n">
        <v>690.4</v>
      </c>
      <c r="G197" s="30" t="inlineStr"/>
    </row>
    <row r="198">
      <c r="A198" s="25" t="inlineStr">
        <is>
          <t>P2</t>
        </is>
      </c>
      <c r="B198" s="25" t="inlineStr">
        <is>
          <t>G12</t>
        </is>
      </c>
      <c r="C198" s="25" t="inlineStr">
        <is>
          <t>样品</t>
        </is>
      </c>
      <c r="D198" s="9" t="n">
        <v>100</v>
      </c>
      <c r="E198" s="36" t="n">
        <v>7</v>
      </c>
      <c r="F198" s="37" t="n">
        <v>680</v>
      </c>
      <c r="G198" s="25" t="inlineStr"/>
    </row>
    <row r="199">
      <c r="A199" s="30" t="inlineStr">
        <is>
          <t>P2</t>
        </is>
      </c>
      <c r="B199" s="30" t="inlineStr">
        <is>
          <t>H12</t>
        </is>
      </c>
      <c r="C199" s="30" t="inlineStr">
        <is>
          <t>样品</t>
        </is>
      </c>
      <c r="D199" s="13" t="n">
        <v>100</v>
      </c>
      <c r="E199" s="38" t="n">
        <v>8</v>
      </c>
      <c r="F199" s="39" t="n">
        <v>685.8</v>
      </c>
      <c r="G199" s="30" t="inlineStr"/>
    </row>
    <row r="200">
      <c r="A200" s="25" t="inlineStr">
        <is>
          <t>P3</t>
        </is>
      </c>
      <c r="B200" s="25" t="inlineStr">
        <is>
          <t>A01</t>
        </is>
      </c>
      <c r="C200" s="25" t="inlineStr">
        <is>
          <t>空白</t>
        </is>
      </c>
      <c r="D200" s="9" t="n"/>
      <c r="E200" s="36" t="n">
        <v>1</v>
      </c>
      <c r="F200" s="37" t="n">
        <v>160.6</v>
      </c>
      <c r="G200" s="25" t="inlineStr"/>
    </row>
    <row r="201">
      <c r="A201" s="30" t="inlineStr">
        <is>
          <t>P3</t>
        </is>
      </c>
      <c r="B201" s="30" t="inlineStr">
        <is>
          <t>B01</t>
        </is>
      </c>
      <c r="C201" s="30" t="inlineStr">
        <is>
          <t>空白</t>
        </is>
      </c>
      <c r="D201" s="13" t="n"/>
      <c r="E201" s="38" t="n">
        <v>2</v>
      </c>
      <c r="F201" s="39" t="n">
        <v>151.4</v>
      </c>
      <c r="G201" s="30" t="inlineStr"/>
    </row>
    <row r="202">
      <c r="A202" s="25" t="inlineStr">
        <is>
          <t>P3</t>
        </is>
      </c>
      <c r="B202" s="25" t="inlineStr">
        <is>
          <t>C01</t>
        </is>
      </c>
      <c r="C202" s="25" t="inlineStr">
        <is>
          <t>空白</t>
        </is>
      </c>
      <c r="D202" s="9" t="n"/>
      <c r="E202" s="36" t="n">
        <v>3</v>
      </c>
      <c r="F202" s="37" t="n">
        <v>157.8</v>
      </c>
      <c r="G202" s="25" t="inlineStr"/>
    </row>
    <row r="203">
      <c r="A203" s="30" t="inlineStr">
        <is>
          <t>P3</t>
        </is>
      </c>
      <c r="B203" s="30" t="inlineStr">
        <is>
          <t>D01</t>
        </is>
      </c>
      <c r="C203" s="30" t="inlineStr">
        <is>
          <t>空白</t>
        </is>
      </c>
      <c r="D203" s="13" t="n"/>
      <c r="E203" s="38" t="n">
        <v>4</v>
      </c>
      <c r="F203" s="39" t="n">
        <v>162.7</v>
      </c>
      <c r="G203" s="30" t="inlineStr"/>
    </row>
    <row r="204">
      <c r="A204" s="25" t="inlineStr">
        <is>
          <t>P3</t>
        </is>
      </c>
      <c r="B204" s="25" t="inlineStr">
        <is>
          <t>E01</t>
        </is>
      </c>
      <c r="C204" s="25" t="inlineStr">
        <is>
          <t>空白</t>
        </is>
      </c>
      <c r="D204" s="9" t="n"/>
      <c r="E204" s="36" t="n">
        <v>5</v>
      </c>
      <c r="F204" s="37" t="n">
        <v>155.9</v>
      </c>
      <c r="G204" s="25" t="inlineStr"/>
    </row>
    <row r="205">
      <c r="A205" s="30" t="inlineStr">
        <is>
          <t>P3</t>
        </is>
      </c>
      <c r="B205" s="30" t="inlineStr">
        <is>
          <t>F01</t>
        </is>
      </c>
      <c r="C205" s="30" t="inlineStr">
        <is>
          <t>空白</t>
        </is>
      </c>
      <c r="D205" s="13" t="n"/>
      <c r="E205" s="38" t="n">
        <v>6</v>
      </c>
      <c r="F205" s="39" t="n">
        <v>159.6</v>
      </c>
      <c r="G205" s="30" t="inlineStr"/>
    </row>
    <row r="206">
      <c r="A206" s="25" t="inlineStr">
        <is>
          <t>P3</t>
        </is>
      </c>
      <c r="B206" s="25" t="inlineStr">
        <is>
          <t>G01</t>
        </is>
      </c>
      <c r="C206" s="25" t="inlineStr">
        <is>
          <t>空白</t>
        </is>
      </c>
      <c r="D206" s="9" t="n"/>
      <c r="E206" s="36" t="n">
        <v>7</v>
      </c>
      <c r="F206" s="37" t="n">
        <v>156.4</v>
      </c>
      <c r="G206" s="25" t="inlineStr"/>
    </row>
    <row r="207">
      <c r="A207" s="30" t="inlineStr">
        <is>
          <t>P3</t>
        </is>
      </c>
      <c r="B207" s="30" t="inlineStr">
        <is>
          <t>H01</t>
        </is>
      </c>
      <c r="C207" s="30" t="inlineStr">
        <is>
          <t>空白</t>
        </is>
      </c>
      <c r="D207" s="13" t="n"/>
      <c r="E207" s="38" t="n">
        <v>8</v>
      </c>
      <c r="F207" s="39" t="n">
        <v>156.5</v>
      </c>
      <c r="G207" s="30" t="inlineStr"/>
    </row>
    <row r="208">
      <c r="A208" s="25" t="inlineStr">
        <is>
          <t>P3</t>
        </is>
      </c>
      <c r="B208" s="25" t="inlineStr">
        <is>
          <t>A02</t>
        </is>
      </c>
      <c r="C208" s="25" t="inlineStr">
        <is>
          <t>溶剂对照</t>
        </is>
      </c>
      <c r="D208" s="9" t="n"/>
      <c r="E208" s="36" t="n">
        <v>1</v>
      </c>
      <c r="F208" s="37" t="n">
        <v>12521.1</v>
      </c>
      <c r="G208" s="25" t="inlineStr"/>
    </row>
    <row r="209">
      <c r="A209" s="30" t="inlineStr">
        <is>
          <t>P3</t>
        </is>
      </c>
      <c r="B209" s="30" t="inlineStr">
        <is>
          <t>B02</t>
        </is>
      </c>
      <c r="C209" s="30" t="inlineStr">
        <is>
          <t>溶剂对照</t>
        </is>
      </c>
      <c r="D209" s="13" t="n"/>
      <c r="E209" s="38" t="n">
        <v>2</v>
      </c>
      <c r="F209" s="39" t="n">
        <v>11808.6</v>
      </c>
      <c r="G209" s="30" t="inlineStr"/>
    </row>
    <row r="210">
      <c r="A210" s="25" t="inlineStr">
        <is>
          <t>P3</t>
        </is>
      </c>
      <c r="B210" s="25" t="inlineStr">
        <is>
          <t>C02</t>
        </is>
      </c>
      <c r="C210" s="25" t="inlineStr">
        <is>
          <t>溶剂对照</t>
        </is>
      </c>
      <c r="D210" s="9" t="n"/>
      <c r="E210" s="36" t="n">
        <v>3</v>
      </c>
      <c r="F210" s="37" t="n">
        <v>12271.4</v>
      </c>
      <c r="G210" s="25" t="inlineStr"/>
    </row>
    <row r="211">
      <c r="A211" s="30" t="inlineStr">
        <is>
          <t>P3</t>
        </is>
      </c>
      <c r="B211" s="30" t="inlineStr">
        <is>
          <t>D02</t>
        </is>
      </c>
      <c r="C211" s="30" t="inlineStr">
        <is>
          <t>溶剂对照</t>
        </is>
      </c>
      <c r="D211" s="13" t="n"/>
      <c r="E211" s="38" t="n">
        <v>4</v>
      </c>
      <c r="F211" s="39" t="n">
        <v>12406.5</v>
      </c>
      <c r="G211" s="30" t="inlineStr"/>
    </row>
    <row r="212">
      <c r="A212" s="25" t="inlineStr">
        <is>
          <t>P3</t>
        </is>
      </c>
      <c r="B212" s="25" t="inlineStr">
        <is>
          <t>E02</t>
        </is>
      </c>
      <c r="C212" s="25" t="inlineStr">
        <is>
          <t>溶剂对照</t>
        </is>
      </c>
      <c r="D212" s="9" t="n"/>
      <c r="E212" s="36" t="n">
        <v>5</v>
      </c>
      <c r="F212" s="37" t="n">
        <v>12704.6</v>
      </c>
      <c r="G212" s="25" t="inlineStr"/>
    </row>
    <row r="213">
      <c r="A213" s="30" t="inlineStr">
        <is>
          <t>P3</t>
        </is>
      </c>
      <c r="B213" s="30" t="inlineStr">
        <is>
          <t>F02</t>
        </is>
      </c>
      <c r="C213" s="30" t="inlineStr">
        <is>
          <t>溶剂对照</t>
        </is>
      </c>
      <c r="D213" s="13" t="n"/>
      <c r="E213" s="38" t="n">
        <v>6</v>
      </c>
      <c r="F213" s="39" t="n">
        <v>12133.5</v>
      </c>
      <c r="G213" s="30" t="inlineStr"/>
    </row>
    <row r="214">
      <c r="A214" s="25" t="inlineStr">
        <is>
          <t>P3</t>
        </is>
      </c>
      <c r="B214" s="25" t="inlineStr">
        <is>
          <t>G02</t>
        </is>
      </c>
      <c r="C214" s="25" t="inlineStr">
        <is>
          <t>溶剂对照</t>
        </is>
      </c>
      <c r="D214" s="9" t="n"/>
      <c r="E214" s="36" t="n">
        <v>7</v>
      </c>
      <c r="F214" s="37" t="n">
        <v>12249.5</v>
      </c>
      <c r="G214" s="25" t="inlineStr"/>
    </row>
    <row r="215">
      <c r="A215" s="30" t="inlineStr">
        <is>
          <t>P3</t>
        </is>
      </c>
      <c r="B215" s="30" t="inlineStr">
        <is>
          <t>H02</t>
        </is>
      </c>
      <c r="C215" s="30" t="inlineStr">
        <is>
          <t>溶剂对照</t>
        </is>
      </c>
      <c r="D215" s="13" t="n"/>
      <c r="E215" s="38" t="n">
        <v>8</v>
      </c>
      <c r="F215" s="39" t="n">
        <v>11723.7</v>
      </c>
      <c r="G215" s="30" t="inlineStr"/>
    </row>
    <row r="216">
      <c r="A216" s="25" t="inlineStr">
        <is>
          <t>P3</t>
        </is>
      </c>
      <c r="B216" s="25" t="inlineStr">
        <is>
          <t>A03</t>
        </is>
      </c>
      <c r="C216" s="25" t="inlineStr">
        <is>
          <t>样品</t>
        </is>
      </c>
      <c r="D216" s="9" t="n">
        <v>0.01</v>
      </c>
      <c r="E216" s="36" t="n">
        <v>1</v>
      </c>
      <c r="F216" s="37" t="n">
        <v>11744.4</v>
      </c>
      <c r="G216" s="25" t="inlineStr"/>
    </row>
    <row r="217">
      <c r="A217" s="30" t="inlineStr">
        <is>
          <t>P3</t>
        </is>
      </c>
      <c r="B217" s="30" t="inlineStr">
        <is>
          <t>B03</t>
        </is>
      </c>
      <c r="C217" s="30" t="inlineStr">
        <is>
          <t>样品</t>
        </is>
      </c>
      <c r="D217" s="13" t="n">
        <v>0.01</v>
      </c>
      <c r="E217" s="38" t="n">
        <v>2</v>
      </c>
      <c r="F217" s="39" t="n">
        <v>11396.4</v>
      </c>
      <c r="G217" s="30" t="inlineStr"/>
    </row>
    <row r="218">
      <c r="A218" s="25" t="inlineStr">
        <is>
          <t>P3</t>
        </is>
      </c>
      <c r="B218" s="25" t="inlineStr">
        <is>
          <t>C03</t>
        </is>
      </c>
      <c r="C218" s="25" t="inlineStr">
        <is>
          <t>样品</t>
        </is>
      </c>
      <c r="D218" s="9" t="n">
        <v>0.01</v>
      </c>
      <c r="E218" s="36" t="n">
        <v>3</v>
      </c>
      <c r="F218" s="37" t="n">
        <v>11701.9</v>
      </c>
      <c r="G218" s="25" t="inlineStr"/>
    </row>
    <row r="219">
      <c r="A219" s="30" t="inlineStr">
        <is>
          <t>P3</t>
        </is>
      </c>
      <c r="B219" s="30" t="inlineStr">
        <is>
          <t>D03</t>
        </is>
      </c>
      <c r="C219" s="30" t="inlineStr">
        <is>
          <t>样品</t>
        </is>
      </c>
      <c r="D219" s="13" t="n">
        <v>0.01</v>
      </c>
      <c r="E219" s="38" t="n">
        <v>4</v>
      </c>
      <c r="F219" s="39" t="n">
        <v>11659.3</v>
      </c>
      <c r="G219" s="30" t="inlineStr"/>
    </row>
    <row r="220">
      <c r="A220" s="25" t="inlineStr">
        <is>
          <t>P3</t>
        </is>
      </c>
      <c r="B220" s="25" t="inlineStr">
        <is>
          <t>E03</t>
        </is>
      </c>
      <c r="C220" s="25" t="inlineStr">
        <is>
          <t>样品</t>
        </is>
      </c>
      <c r="D220" s="9" t="n">
        <v>0.01</v>
      </c>
      <c r="E220" s="36" t="n">
        <v>5</v>
      </c>
      <c r="F220" s="37" t="n">
        <v>12176.2</v>
      </c>
      <c r="G220" s="25" t="inlineStr"/>
    </row>
    <row r="221">
      <c r="A221" s="30" t="inlineStr">
        <is>
          <t>P3</t>
        </is>
      </c>
      <c r="B221" s="30" t="inlineStr">
        <is>
          <t>F03</t>
        </is>
      </c>
      <c r="C221" s="30" t="inlineStr">
        <is>
          <t>样品</t>
        </is>
      </c>
      <c r="D221" s="13" t="n">
        <v>0.01</v>
      </c>
      <c r="E221" s="38" t="n">
        <v>6</v>
      </c>
      <c r="F221" s="39" t="n">
        <v>12000.5</v>
      </c>
      <c r="G221" s="30" t="inlineStr"/>
    </row>
    <row r="222">
      <c r="A222" s="25" t="inlineStr">
        <is>
          <t>P3</t>
        </is>
      </c>
      <c r="B222" s="25" t="inlineStr">
        <is>
          <t>G03</t>
        </is>
      </c>
      <c r="C222" s="25" t="inlineStr">
        <is>
          <t>样品</t>
        </is>
      </c>
      <c r="D222" s="9" t="n">
        <v>0.01</v>
      </c>
      <c r="E222" s="36" t="n">
        <v>7</v>
      </c>
      <c r="F222" s="37" t="n">
        <v>12420.7</v>
      </c>
      <c r="G222" s="25" t="inlineStr"/>
    </row>
    <row r="223">
      <c r="A223" s="30" t="inlineStr">
        <is>
          <t>P3</t>
        </is>
      </c>
      <c r="B223" s="30" t="inlineStr">
        <is>
          <t>H03</t>
        </is>
      </c>
      <c r="C223" s="30" t="inlineStr">
        <is>
          <t>样品</t>
        </is>
      </c>
      <c r="D223" s="13" t="n">
        <v>0.01</v>
      </c>
      <c r="E223" s="38" t="n">
        <v>8</v>
      </c>
      <c r="F223" s="39" t="n">
        <v>11888.7</v>
      </c>
      <c r="G223" s="30" t="inlineStr"/>
    </row>
    <row r="224">
      <c r="A224" s="25" t="inlineStr">
        <is>
          <t>P3</t>
        </is>
      </c>
      <c r="B224" s="25" t="inlineStr">
        <is>
          <t>A04</t>
        </is>
      </c>
      <c r="C224" s="25" t="inlineStr">
        <is>
          <t>样品</t>
        </is>
      </c>
      <c r="D224" s="9" t="n">
        <v>0.03</v>
      </c>
      <c r="E224" s="36" t="n">
        <v>1</v>
      </c>
      <c r="F224" s="37" t="n">
        <v>11836.4</v>
      </c>
      <c r="G224" s="25" t="inlineStr"/>
    </row>
    <row r="225">
      <c r="A225" s="30" t="inlineStr">
        <is>
          <t>P3</t>
        </is>
      </c>
      <c r="B225" s="30" t="inlineStr">
        <is>
          <t>B04</t>
        </is>
      </c>
      <c r="C225" s="30" t="inlineStr">
        <is>
          <t>样品</t>
        </is>
      </c>
      <c r="D225" s="13" t="n">
        <v>0.03</v>
      </c>
      <c r="E225" s="38" t="n">
        <v>2</v>
      </c>
      <c r="F225" s="39" t="n">
        <v>11363</v>
      </c>
      <c r="G225" s="30" t="inlineStr"/>
    </row>
    <row r="226">
      <c r="A226" s="25" t="inlineStr">
        <is>
          <t>P3</t>
        </is>
      </c>
      <c r="B226" s="25" t="inlineStr">
        <is>
          <t>C04</t>
        </is>
      </c>
      <c r="C226" s="25" t="inlineStr">
        <is>
          <t>样品</t>
        </is>
      </c>
      <c r="D226" s="9" t="n">
        <v>0.03</v>
      </c>
      <c r="E226" s="36" t="n">
        <v>3</v>
      </c>
      <c r="F226" s="37" t="n">
        <v>11541.6</v>
      </c>
      <c r="G226" s="25" t="inlineStr"/>
    </row>
    <row r="227">
      <c r="A227" s="30" t="inlineStr">
        <is>
          <t>P3</t>
        </is>
      </c>
      <c r="B227" s="30" t="inlineStr">
        <is>
          <t>D04</t>
        </is>
      </c>
      <c r="C227" s="30" t="inlineStr">
        <is>
          <t>样品</t>
        </is>
      </c>
      <c r="D227" s="13" t="n">
        <v>0.03</v>
      </c>
      <c r="E227" s="38" t="n">
        <v>4</v>
      </c>
      <c r="F227" s="39" t="n">
        <v>11856.2</v>
      </c>
      <c r="G227" s="30" t="inlineStr"/>
    </row>
    <row r="228">
      <c r="A228" s="25" t="inlineStr">
        <is>
          <t>P3</t>
        </is>
      </c>
      <c r="B228" s="25" t="inlineStr">
        <is>
          <t>E04</t>
        </is>
      </c>
      <c r="C228" s="25" t="inlineStr">
        <is>
          <t>样品</t>
        </is>
      </c>
      <c r="D228" s="9" t="n">
        <v>0.03</v>
      </c>
      <c r="E228" s="36" t="n">
        <v>5</v>
      </c>
      <c r="F228" s="37" t="n">
        <v>12342.1</v>
      </c>
      <c r="G228" s="25" t="inlineStr"/>
    </row>
    <row r="229">
      <c r="A229" s="30" t="inlineStr">
        <is>
          <t>P3</t>
        </is>
      </c>
      <c r="B229" s="30" t="inlineStr">
        <is>
          <t>F04</t>
        </is>
      </c>
      <c r="C229" s="30" t="inlineStr">
        <is>
          <t>样品</t>
        </is>
      </c>
      <c r="D229" s="13" t="n">
        <v>0.03</v>
      </c>
      <c r="E229" s="38" t="n">
        <v>6</v>
      </c>
      <c r="F229" s="39" t="n">
        <v>11764.9</v>
      </c>
      <c r="G229" s="30" t="inlineStr"/>
    </row>
    <row r="230">
      <c r="A230" s="25" t="inlineStr">
        <is>
          <t>P3</t>
        </is>
      </c>
      <c r="B230" s="25" t="inlineStr">
        <is>
          <t>G04</t>
        </is>
      </c>
      <c r="C230" s="25" t="inlineStr">
        <is>
          <t>样品</t>
        </is>
      </c>
      <c r="D230" s="9" t="n">
        <v>0.03</v>
      </c>
      <c r="E230" s="36" t="n">
        <v>7</v>
      </c>
      <c r="F230" s="37" t="n">
        <v>11518.1</v>
      </c>
      <c r="G230" s="25" t="inlineStr"/>
    </row>
    <row r="231">
      <c r="A231" s="30" t="inlineStr">
        <is>
          <t>P3</t>
        </is>
      </c>
      <c r="B231" s="30" t="inlineStr">
        <is>
          <t>H04</t>
        </is>
      </c>
      <c r="C231" s="30" t="inlineStr">
        <is>
          <t>样品</t>
        </is>
      </c>
      <c r="D231" s="13" t="n">
        <v>0.03</v>
      </c>
      <c r="E231" s="38" t="n">
        <v>8</v>
      </c>
      <c r="F231" s="39" t="n">
        <v>12046.3</v>
      </c>
      <c r="G231" s="30" t="inlineStr"/>
    </row>
    <row r="232">
      <c r="A232" s="25" t="inlineStr">
        <is>
          <t>P3</t>
        </is>
      </c>
      <c r="B232" s="25" t="inlineStr">
        <is>
          <t>A05</t>
        </is>
      </c>
      <c r="C232" s="25" t="inlineStr">
        <is>
          <t>样品</t>
        </is>
      </c>
      <c r="D232" s="9" t="n">
        <v>0.1</v>
      </c>
      <c r="E232" s="36" t="n">
        <v>1</v>
      </c>
      <c r="F232" s="37" t="n">
        <v>12213.2</v>
      </c>
      <c r="G232" s="25" t="inlineStr"/>
    </row>
    <row r="233">
      <c r="A233" s="30" t="inlineStr">
        <is>
          <t>P3</t>
        </is>
      </c>
      <c r="B233" s="30" t="inlineStr">
        <is>
          <t>B05</t>
        </is>
      </c>
      <c r="C233" s="30" t="inlineStr">
        <is>
          <t>样品</t>
        </is>
      </c>
      <c r="D233" s="13" t="n">
        <v>0.1</v>
      </c>
      <c r="E233" s="38" t="n">
        <v>2</v>
      </c>
      <c r="F233" s="39" t="n">
        <v>12349.6</v>
      </c>
      <c r="G233" s="30" t="inlineStr"/>
    </row>
    <row r="234">
      <c r="A234" s="25" t="inlineStr">
        <is>
          <t>P3</t>
        </is>
      </c>
      <c r="B234" s="25" t="inlineStr">
        <is>
          <t>C05</t>
        </is>
      </c>
      <c r="C234" s="25" t="inlineStr">
        <is>
          <t>样品</t>
        </is>
      </c>
      <c r="D234" s="9" t="n">
        <v>0.1</v>
      </c>
      <c r="E234" s="36" t="n">
        <v>3</v>
      </c>
      <c r="F234" s="37" t="n">
        <v>11851.5</v>
      </c>
      <c r="G234" s="25" t="inlineStr"/>
    </row>
    <row r="235">
      <c r="A235" s="30" t="inlineStr">
        <is>
          <t>P3</t>
        </is>
      </c>
      <c r="B235" s="30" t="inlineStr">
        <is>
          <t>D05</t>
        </is>
      </c>
      <c r="C235" s="30" t="inlineStr">
        <is>
          <t>样品</t>
        </is>
      </c>
      <c r="D235" s="13" t="n">
        <v>0.1</v>
      </c>
      <c r="E235" s="38" t="n">
        <v>4</v>
      </c>
      <c r="F235" s="39" t="n">
        <v>11450.5</v>
      </c>
      <c r="G235" s="30" t="inlineStr"/>
    </row>
    <row r="236">
      <c r="A236" s="25" t="inlineStr">
        <is>
          <t>P3</t>
        </is>
      </c>
      <c r="B236" s="25" t="inlineStr">
        <is>
          <t>E05</t>
        </is>
      </c>
      <c r="C236" s="25" t="inlineStr">
        <is>
          <t>样品</t>
        </is>
      </c>
      <c r="D236" s="9" t="n">
        <v>0.1</v>
      </c>
      <c r="E236" s="36" t="n">
        <v>5</v>
      </c>
      <c r="F236" s="37" t="n">
        <v>11800.4</v>
      </c>
      <c r="G236" s="25" t="inlineStr"/>
    </row>
    <row r="237">
      <c r="A237" s="30" t="inlineStr">
        <is>
          <t>P3</t>
        </is>
      </c>
      <c r="B237" s="30" t="inlineStr">
        <is>
          <t>F05</t>
        </is>
      </c>
      <c r="C237" s="30" t="inlineStr">
        <is>
          <t>样品</t>
        </is>
      </c>
      <c r="D237" s="13" t="n">
        <v>0.1</v>
      </c>
      <c r="E237" s="38" t="n">
        <v>6</v>
      </c>
      <c r="F237" s="39" t="n">
        <v>11802.3</v>
      </c>
      <c r="G237" s="30" t="inlineStr"/>
    </row>
    <row r="238">
      <c r="A238" s="25" t="inlineStr">
        <is>
          <t>P3</t>
        </is>
      </c>
      <c r="B238" s="25" t="inlineStr">
        <is>
          <t>G05</t>
        </is>
      </c>
      <c r="C238" s="25" t="inlineStr">
        <is>
          <t>样品</t>
        </is>
      </c>
      <c r="D238" s="9" t="n">
        <v>0.1</v>
      </c>
      <c r="E238" s="36" t="n">
        <v>7</v>
      </c>
      <c r="F238" s="37" t="n">
        <v>11568.7</v>
      </c>
      <c r="G238" s="25" t="inlineStr"/>
    </row>
    <row r="239">
      <c r="A239" s="30" t="inlineStr">
        <is>
          <t>P3</t>
        </is>
      </c>
      <c r="B239" s="30" t="inlineStr">
        <is>
          <t>H05</t>
        </is>
      </c>
      <c r="C239" s="30" t="inlineStr">
        <is>
          <t>样品</t>
        </is>
      </c>
      <c r="D239" s="13" t="n">
        <v>0.1</v>
      </c>
      <c r="E239" s="38" t="n">
        <v>8</v>
      </c>
      <c r="F239" s="39" t="n">
        <v>11789.8</v>
      </c>
      <c r="G239" s="30" t="inlineStr"/>
    </row>
    <row r="240">
      <c r="A240" s="25" t="inlineStr">
        <is>
          <t>P3</t>
        </is>
      </c>
      <c r="B240" s="25" t="inlineStr">
        <is>
          <t>A06</t>
        </is>
      </c>
      <c r="C240" s="25" t="inlineStr">
        <is>
          <t>样品</t>
        </is>
      </c>
      <c r="D240" s="9" t="n">
        <v>0.3</v>
      </c>
      <c r="E240" s="36" t="n">
        <v>1</v>
      </c>
      <c r="F240" s="37" t="n">
        <v>12079.3</v>
      </c>
      <c r="G240" s="25" t="inlineStr"/>
    </row>
    <row r="241">
      <c r="A241" s="30" t="inlineStr">
        <is>
          <t>P3</t>
        </is>
      </c>
      <c r="B241" s="30" t="inlineStr">
        <is>
          <t>B06</t>
        </is>
      </c>
      <c r="C241" s="30" t="inlineStr">
        <is>
          <t>样品</t>
        </is>
      </c>
      <c r="D241" s="13" t="n">
        <v>0.3</v>
      </c>
      <c r="E241" s="38" t="n">
        <v>2</v>
      </c>
      <c r="F241" s="39" t="n">
        <v>11411.4</v>
      </c>
      <c r="G241" s="30" t="inlineStr"/>
    </row>
    <row r="242">
      <c r="A242" s="25" t="inlineStr">
        <is>
          <t>P3</t>
        </is>
      </c>
      <c r="B242" s="25" t="inlineStr">
        <is>
          <t>C06</t>
        </is>
      </c>
      <c r="C242" s="25" t="inlineStr">
        <is>
          <t>样品</t>
        </is>
      </c>
      <c r="D242" s="9" t="n">
        <v>0.3</v>
      </c>
      <c r="E242" s="36" t="n">
        <v>3</v>
      </c>
      <c r="F242" s="37" t="n">
        <v>11523.2</v>
      </c>
      <c r="G242" s="25" t="inlineStr"/>
    </row>
    <row r="243">
      <c r="A243" s="30" t="inlineStr">
        <is>
          <t>P3</t>
        </is>
      </c>
      <c r="B243" s="30" t="inlineStr">
        <is>
          <t>D06</t>
        </is>
      </c>
      <c r="C243" s="30" t="inlineStr">
        <is>
          <t>样品</t>
        </is>
      </c>
      <c r="D243" s="13" t="n">
        <v>0.3</v>
      </c>
      <c r="E243" s="38" t="n">
        <v>4</v>
      </c>
      <c r="F243" s="39" t="n">
        <v>12113.9</v>
      </c>
      <c r="G243" s="30" t="inlineStr"/>
    </row>
    <row r="244">
      <c r="A244" s="25" t="inlineStr">
        <is>
          <t>P3</t>
        </is>
      </c>
      <c r="B244" s="25" t="inlineStr">
        <is>
          <t>E06</t>
        </is>
      </c>
      <c r="C244" s="25" t="inlineStr">
        <is>
          <t>样品</t>
        </is>
      </c>
      <c r="D244" s="9" t="n">
        <v>0.3</v>
      </c>
      <c r="E244" s="36" t="n">
        <v>5</v>
      </c>
      <c r="F244" s="37" t="n">
        <v>10717.3</v>
      </c>
      <c r="G244" s="25" t="inlineStr"/>
    </row>
    <row r="245">
      <c r="A245" s="30" t="inlineStr">
        <is>
          <t>P3</t>
        </is>
      </c>
      <c r="B245" s="30" t="inlineStr">
        <is>
          <t>F06</t>
        </is>
      </c>
      <c r="C245" s="30" t="inlineStr">
        <is>
          <t>样品</t>
        </is>
      </c>
      <c r="D245" s="13" t="n">
        <v>0.3</v>
      </c>
      <c r="E245" s="38" t="n">
        <v>6</v>
      </c>
      <c r="F245" s="39" t="n">
        <v>11220.8</v>
      </c>
      <c r="G245" s="30" t="inlineStr"/>
    </row>
    <row r="246">
      <c r="A246" s="25" t="inlineStr">
        <is>
          <t>P3</t>
        </is>
      </c>
      <c r="B246" s="25" t="inlineStr">
        <is>
          <t>G06</t>
        </is>
      </c>
      <c r="C246" s="25" t="inlineStr">
        <is>
          <t>样品</t>
        </is>
      </c>
      <c r="D246" s="9" t="n">
        <v>0.3</v>
      </c>
      <c r="E246" s="36" t="n">
        <v>7</v>
      </c>
      <c r="F246" s="37" t="n">
        <v>12005.9</v>
      </c>
      <c r="G246" s="25" t="inlineStr"/>
    </row>
    <row r="247">
      <c r="A247" s="30" t="inlineStr">
        <is>
          <t>P3</t>
        </is>
      </c>
      <c r="B247" s="30" t="inlineStr">
        <is>
          <t>H06</t>
        </is>
      </c>
      <c r="C247" s="30" t="inlineStr">
        <is>
          <t>样品</t>
        </is>
      </c>
      <c r="D247" s="13" t="n">
        <v>0.3</v>
      </c>
      <c r="E247" s="38" t="n">
        <v>8</v>
      </c>
      <c r="F247" s="39" t="n">
        <v>11376.5</v>
      </c>
      <c r="G247" s="30" t="inlineStr"/>
    </row>
    <row r="248">
      <c r="A248" s="25" t="inlineStr">
        <is>
          <t>P3</t>
        </is>
      </c>
      <c r="B248" s="25" t="inlineStr">
        <is>
          <t>A07</t>
        </is>
      </c>
      <c r="C248" s="25" t="inlineStr">
        <is>
          <t>样品</t>
        </is>
      </c>
      <c r="D248" s="9" t="n">
        <v>1</v>
      </c>
      <c r="E248" s="36" t="n">
        <v>1</v>
      </c>
      <c r="F248" s="37" t="n">
        <v>10310.5</v>
      </c>
      <c r="G248" s="25" t="inlineStr"/>
    </row>
    <row r="249">
      <c r="A249" s="30" t="inlineStr">
        <is>
          <t>P3</t>
        </is>
      </c>
      <c r="B249" s="30" t="inlineStr">
        <is>
          <t>B07</t>
        </is>
      </c>
      <c r="C249" s="30" t="inlineStr">
        <is>
          <t>样品</t>
        </is>
      </c>
      <c r="D249" s="13" t="n">
        <v>1</v>
      </c>
      <c r="E249" s="38" t="n">
        <v>2</v>
      </c>
      <c r="F249" s="39" t="n">
        <v>9682.4</v>
      </c>
      <c r="G249" s="30" t="inlineStr"/>
    </row>
    <row r="250">
      <c r="A250" s="25" t="inlineStr">
        <is>
          <t>P3</t>
        </is>
      </c>
      <c r="B250" s="25" t="inlineStr">
        <is>
          <t>C07</t>
        </is>
      </c>
      <c r="C250" s="25" t="inlineStr">
        <is>
          <t>样品</t>
        </is>
      </c>
      <c r="D250" s="9" t="n">
        <v>1</v>
      </c>
      <c r="E250" s="36" t="n">
        <v>3</v>
      </c>
      <c r="F250" s="37" t="n">
        <v>10069.4</v>
      </c>
      <c r="G250" s="25" t="inlineStr"/>
    </row>
    <row r="251">
      <c r="A251" s="30" t="inlineStr">
        <is>
          <t>P3</t>
        </is>
      </c>
      <c r="B251" s="30" t="inlineStr">
        <is>
          <t>D07</t>
        </is>
      </c>
      <c r="C251" s="30" t="inlineStr">
        <is>
          <t>样品</t>
        </is>
      </c>
      <c r="D251" s="13" t="n">
        <v>1</v>
      </c>
      <c r="E251" s="38" t="n">
        <v>4</v>
      </c>
      <c r="F251" s="39" t="n">
        <v>9793.299999999999</v>
      </c>
      <c r="G251" s="30" t="inlineStr"/>
    </row>
    <row r="252">
      <c r="A252" s="25" t="inlineStr">
        <is>
          <t>P3</t>
        </is>
      </c>
      <c r="B252" s="25" t="inlineStr">
        <is>
          <t>E07</t>
        </is>
      </c>
      <c r="C252" s="25" t="inlineStr">
        <is>
          <t>样品</t>
        </is>
      </c>
      <c r="D252" s="9" t="n">
        <v>1</v>
      </c>
      <c r="E252" s="36" t="n">
        <v>5</v>
      </c>
      <c r="F252" s="37" t="n">
        <v>10495.4</v>
      </c>
      <c r="G252" s="25" t="inlineStr"/>
    </row>
    <row r="253">
      <c r="A253" s="30" t="inlineStr">
        <is>
          <t>P3</t>
        </is>
      </c>
      <c r="B253" s="30" t="inlineStr">
        <is>
          <t>F07</t>
        </is>
      </c>
      <c r="C253" s="30" t="inlineStr">
        <is>
          <t>样品</t>
        </is>
      </c>
      <c r="D253" s="13" t="n">
        <v>1</v>
      </c>
      <c r="E253" s="38" t="n">
        <v>6</v>
      </c>
      <c r="F253" s="39" t="n">
        <v>9944.4</v>
      </c>
      <c r="G253" s="30" t="inlineStr"/>
    </row>
    <row r="254">
      <c r="A254" s="25" t="inlineStr">
        <is>
          <t>P3</t>
        </is>
      </c>
      <c r="B254" s="25" t="inlineStr">
        <is>
          <t>G07</t>
        </is>
      </c>
      <c r="C254" s="25" t="inlineStr">
        <is>
          <t>样品</t>
        </is>
      </c>
      <c r="D254" s="9" t="n">
        <v>1</v>
      </c>
      <c r="E254" s="36" t="n">
        <v>7</v>
      </c>
      <c r="F254" s="37" t="n">
        <v>10546.9</v>
      </c>
      <c r="G254" s="25" t="inlineStr"/>
    </row>
    <row r="255">
      <c r="A255" s="30" t="inlineStr">
        <is>
          <t>P3</t>
        </is>
      </c>
      <c r="B255" s="30" t="inlineStr">
        <is>
          <t>H07</t>
        </is>
      </c>
      <c r="C255" s="30" t="inlineStr">
        <is>
          <t>样品</t>
        </is>
      </c>
      <c r="D255" s="13" t="n">
        <v>1</v>
      </c>
      <c r="E255" s="38" t="n">
        <v>8</v>
      </c>
      <c r="F255" s="39" t="n">
        <v>10501.4</v>
      </c>
      <c r="G255" s="30" t="inlineStr"/>
    </row>
    <row r="256">
      <c r="A256" s="25" t="inlineStr">
        <is>
          <t>P3</t>
        </is>
      </c>
      <c r="B256" s="25" t="inlineStr">
        <is>
          <t>A08</t>
        </is>
      </c>
      <c r="C256" s="25" t="inlineStr">
        <is>
          <t>样品</t>
        </is>
      </c>
      <c r="D256" s="9" t="n">
        <v>3</v>
      </c>
      <c r="E256" s="36" t="n">
        <v>1</v>
      </c>
      <c r="F256" s="37" t="n">
        <v>7232</v>
      </c>
      <c r="G256" s="25" t="inlineStr"/>
    </row>
    <row r="257">
      <c r="A257" s="30" t="inlineStr">
        <is>
          <t>P3</t>
        </is>
      </c>
      <c r="B257" s="30" t="inlineStr">
        <is>
          <t>B08</t>
        </is>
      </c>
      <c r="C257" s="30" t="inlineStr">
        <is>
          <t>样品</t>
        </is>
      </c>
      <c r="D257" s="13" t="n">
        <v>3</v>
      </c>
      <c r="E257" s="38" t="n">
        <v>2</v>
      </c>
      <c r="F257" s="39" t="n">
        <v>7423.7</v>
      </c>
      <c r="G257" s="30" t="inlineStr"/>
    </row>
    <row r="258">
      <c r="A258" s="25" t="inlineStr">
        <is>
          <t>P3</t>
        </is>
      </c>
      <c r="B258" s="25" t="inlineStr">
        <is>
          <t>C08</t>
        </is>
      </c>
      <c r="C258" s="25" t="inlineStr">
        <is>
          <t>样品</t>
        </is>
      </c>
      <c r="D258" s="9" t="n">
        <v>3</v>
      </c>
      <c r="E258" s="36" t="n">
        <v>3</v>
      </c>
      <c r="F258" s="37" t="n">
        <v>6853.8</v>
      </c>
      <c r="G258" s="25" t="inlineStr"/>
    </row>
    <row r="259">
      <c r="A259" s="30" t="inlineStr">
        <is>
          <t>P3</t>
        </is>
      </c>
      <c r="B259" s="30" t="inlineStr">
        <is>
          <t>D08</t>
        </is>
      </c>
      <c r="C259" s="30" t="inlineStr">
        <is>
          <t>样品</t>
        </is>
      </c>
      <c r="D259" s="13" t="n">
        <v>3</v>
      </c>
      <c r="E259" s="38" t="n">
        <v>4</v>
      </c>
      <c r="F259" s="39" t="n">
        <v>7206.6</v>
      </c>
      <c r="G259" s="30" t="inlineStr"/>
    </row>
    <row r="260">
      <c r="A260" s="25" t="inlineStr">
        <is>
          <t>P3</t>
        </is>
      </c>
      <c r="B260" s="25" t="inlineStr">
        <is>
          <t>E08</t>
        </is>
      </c>
      <c r="C260" s="25" t="inlineStr">
        <is>
          <t>样品</t>
        </is>
      </c>
      <c r="D260" s="9" t="n">
        <v>3</v>
      </c>
      <c r="E260" s="36" t="n">
        <v>5</v>
      </c>
      <c r="F260" s="37" t="n">
        <v>7583.4</v>
      </c>
      <c r="G260" s="25" t="inlineStr"/>
    </row>
    <row r="261">
      <c r="A261" s="30" t="inlineStr">
        <is>
          <t>P3</t>
        </is>
      </c>
      <c r="B261" s="30" t="inlineStr">
        <is>
          <t>F08</t>
        </is>
      </c>
      <c r="C261" s="30" t="inlineStr">
        <is>
          <t>样品</t>
        </is>
      </c>
      <c r="D261" s="13" t="n">
        <v>3</v>
      </c>
      <c r="E261" s="38" t="n">
        <v>6</v>
      </c>
      <c r="F261" s="39" t="n">
        <v>6798.2</v>
      </c>
      <c r="G261" s="30" t="inlineStr"/>
    </row>
    <row r="262">
      <c r="A262" s="25" t="inlineStr">
        <is>
          <t>P3</t>
        </is>
      </c>
      <c r="B262" s="25" t="inlineStr">
        <is>
          <t>G08</t>
        </is>
      </c>
      <c r="C262" s="25" t="inlineStr">
        <is>
          <t>样品</t>
        </is>
      </c>
      <c r="D262" s="9" t="n">
        <v>3</v>
      </c>
      <c r="E262" s="36" t="n">
        <v>7</v>
      </c>
      <c r="F262" s="37" t="n">
        <v>7522.6</v>
      </c>
      <c r="G262" s="25" t="inlineStr"/>
    </row>
    <row r="263">
      <c r="A263" s="30" t="inlineStr">
        <is>
          <t>P3</t>
        </is>
      </c>
      <c r="B263" s="30" t="inlineStr">
        <is>
          <t>H08</t>
        </is>
      </c>
      <c r="C263" s="30" t="inlineStr">
        <is>
          <t>样品</t>
        </is>
      </c>
      <c r="D263" s="13" t="n">
        <v>3</v>
      </c>
      <c r="E263" s="38" t="n">
        <v>8</v>
      </c>
      <c r="F263" s="39" t="n">
        <v>7790.8</v>
      </c>
      <c r="G263" s="30" t="inlineStr"/>
    </row>
    <row r="264">
      <c r="A264" s="25" t="inlineStr">
        <is>
          <t>P3</t>
        </is>
      </c>
      <c r="B264" s="25" t="inlineStr">
        <is>
          <t>A09</t>
        </is>
      </c>
      <c r="C264" s="25" t="inlineStr">
        <is>
          <t>样品</t>
        </is>
      </c>
      <c r="D264" s="9" t="n">
        <v>10</v>
      </c>
      <c r="E264" s="36" t="n">
        <v>1</v>
      </c>
      <c r="F264" s="37" t="n">
        <v>3828.3</v>
      </c>
      <c r="G264" s="25" t="inlineStr"/>
    </row>
    <row r="265">
      <c r="A265" s="30" t="inlineStr">
        <is>
          <t>P3</t>
        </is>
      </c>
      <c r="B265" s="30" t="inlineStr">
        <is>
          <t>B09</t>
        </is>
      </c>
      <c r="C265" s="30" t="inlineStr">
        <is>
          <t>样品</t>
        </is>
      </c>
      <c r="D265" s="13" t="n">
        <v>10</v>
      </c>
      <c r="E265" s="38" t="n">
        <v>2</v>
      </c>
      <c r="F265" s="39" t="n">
        <v>3863.8</v>
      </c>
      <c r="G265" s="30" t="inlineStr"/>
    </row>
    <row r="266">
      <c r="A266" s="25" t="inlineStr">
        <is>
          <t>P3</t>
        </is>
      </c>
      <c r="B266" s="25" t="inlineStr">
        <is>
          <t>C09</t>
        </is>
      </c>
      <c r="C266" s="25" t="inlineStr">
        <is>
          <t>样品</t>
        </is>
      </c>
      <c r="D266" s="9" t="n">
        <v>10</v>
      </c>
      <c r="E266" s="36" t="n">
        <v>3</v>
      </c>
      <c r="F266" s="37" t="n">
        <v>3612.8</v>
      </c>
      <c r="G266" s="25" t="inlineStr"/>
    </row>
    <row r="267">
      <c r="A267" s="30" t="inlineStr">
        <is>
          <t>P3</t>
        </is>
      </c>
      <c r="B267" s="30" t="inlineStr">
        <is>
          <t>D09</t>
        </is>
      </c>
      <c r="C267" s="30" t="inlineStr">
        <is>
          <t>样品</t>
        </is>
      </c>
      <c r="D267" s="13" t="n">
        <v>10</v>
      </c>
      <c r="E267" s="38" t="n">
        <v>4</v>
      </c>
      <c r="F267" s="39" t="n">
        <v>3846.5</v>
      </c>
      <c r="G267" s="30" t="inlineStr"/>
    </row>
    <row r="268">
      <c r="A268" s="25" t="inlineStr">
        <is>
          <t>P3</t>
        </is>
      </c>
      <c r="B268" s="25" t="inlineStr">
        <is>
          <t>E09</t>
        </is>
      </c>
      <c r="C268" s="25" t="inlineStr">
        <is>
          <t>样品</t>
        </is>
      </c>
      <c r="D268" s="9" t="n">
        <v>10</v>
      </c>
      <c r="E268" s="36" t="n">
        <v>5</v>
      </c>
      <c r="F268" s="37" t="n">
        <v>3864.6</v>
      </c>
      <c r="G268" s="25" t="inlineStr"/>
    </row>
    <row r="269">
      <c r="A269" s="30" t="inlineStr">
        <is>
          <t>P3</t>
        </is>
      </c>
      <c r="B269" s="30" t="inlineStr">
        <is>
          <t>F09</t>
        </is>
      </c>
      <c r="C269" s="30" t="inlineStr">
        <is>
          <t>样品</t>
        </is>
      </c>
      <c r="D269" s="13" t="n">
        <v>10</v>
      </c>
      <c r="E269" s="38" t="n">
        <v>6</v>
      </c>
      <c r="F269" s="39" t="n">
        <v>3829.6</v>
      </c>
      <c r="G269" s="30" t="inlineStr"/>
    </row>
    <row r="270">
      <c r="A270" s="25" t="inlineStr">
        <is>
          <t>P3</t>
        </is>
      </c>
      <c r="B270" s="25" t="inlineStr">
        <is>
          <t>G09</t>
        </is>
      </c>
      <c r="C270" s="25" t="inlineStr">
        <is>
          <t>样品</t>
        </is>
      </c>
      <c r="D270" s="9" t="n">
        <v>10</v>
      </c>
      <c r="E270" s="36" t="n">
        <v>7</v>
      </c>
      <c r="F270" s="37" t="n">
        <v>3598.9</v>
      </c>
      <c r="G270" s="25" t="inlineStr"/>
    </row>
    <row r="271">
      <c r="A271" s="30" t="inlineStr">
        <is>
          <t>P3</t>
        </is>
      </c>
      <c r="B271" s="30" t="inlineStr">
        <is>
          <t>H09</t>
        </is>
      </c>
      <c r="C271" s="30" t="inlineStr">
        <is>
          <t>样品</t>
        </is>
      </c>
      <c r="D271" s="13" t="n">
        <v>10</v>
      </c>
      <c r="E271" s="38" t="n">
        <v>8</v>
      </c>
      <c r="F271" s="39" t="n">
        <v>3627.2</v>
      </c>
      <c r="G271" s="30" t="inlineStr"/>
    </row>
    <row r="272">
      <c r="A272" s="25" t="inlineStr">
        <is>
          <t>P3</t>
        </is>
      </c>
      <c r="B272" s="25" t="inlineStr">
        <is>
          <t>A10</t>
        </is>
      </c>
      <c r="C272" s="25" t="inlineStr">
        <is>
          <t>样品</t>
        </is>
      </c>
      <c r="D272" s="9" t="n">
        <v>30</v>
      </c>
      <c r="E272" s="36" t="n">
        <v>1</v>
      </c>
      <c r="F272" s="37" t="n">
        <v>1670.1</v>
      </c>
      <c r="G272" s="25" t="inlineStr"/>
    </row>
    <row r="273">
      <c r="A273" s="30" t="inlineStr">
        <is>
          <t>P3</t>
        </is>
      </c>
      <c r="B273" s="30" t="inlineStr">
        <is>
          <t>B10</t>
        </is>
      </c>
      <c r="C273" s="30" t="inlineStr">
        <is>
          <t>样品</t>
        </is>
      </c>
      <c r="D273" s="13" t="n">
        <v>30</v>
      </c>
      <c r="E273" s="38" t="n">
        <v>2</v>
      </c>
      <c r="F273" s="39" t="n">
        <v>1458.2</v>
      </c>
      <c r="G273" s="30" t="inlineStr"/>
    </row>
    <row r="274">
      <c r="A274" s="25" t="inlineStr">
        <is>
          <t>P3</t>
        </is>
      </c>
      <c r="B274" s="25" t="inlineStr">
        <is>
          <t>C10</t>
        </is>
      </c>
      <c r="C274" s="25" t="inlineStr">
        <is>
          <t>样品</t>
        </is>
      </c>
      <c r="D274" s="9" t="n">
        <v>30</v>
      </c>
      <c r="E274" s="36" t="n">
        <v>3</v>
      </c>
      <c r="F274" s="37" t="n">
        <v>1507.4</v>
      </c>
      <c r="G274" s="25" t="inlineStr"/>
    </row>
    <row r="275">
      <c r="A275" s="30" t="inlineStr">
        <is>
          <t>P3</t>
        </is>
      </c>
      <c r="B275" s="30" t="inlineStr">
        <is>
          <t>D10</t>
        </is>
      </c>
      <c r="C275" s="30" t="inlineStr">
        <is>
          <t>样品</t>
        </is>
      </c>
      <c r="D275" s="13" t="n">
        <v>30</v>
      </c>
      <c r="E275" s="38" t="n">
        <v>4</v>
      </c>
      <c r="F275" s="39" t="n">
        <v>1497.1</v>
      </c>
      <c r="G275" s="30" t="inlineStr"/>
    </row>
    <row r="276">
      <c r="A276" s="25" t="inlineStr">
        <is>
          <t>P3</t>
        </is>
      </c>
      <c r="B276" s="25" t="inlineStr">
        <is>
          <t>E10</t>
        </is>
      </c>
      <c r="C276" s="25" t="inlineStr">
        <is>
          <t>样品</t>
        </is>
      </c>
      <c r="D276" s="9" t="n">
        <v>30</v>
      </c>
      <c r="E276" s="36" t="n">
        <v>5</v>
      </c>
      <c r="F276" s="37" t="n">
        <v>1493.8</v>
      </c>
      <c r="G276" s="25" t="inlineStr"/>
    </row>
    <row r="277">
      <c r="A277" s="30" t="inlineStr">
        <is>
          <t>P3</t>
        </is>
      </c>
      <c r="B277" s="30" t="inlineStr">
        <is>
          <t>F10</t>
        </is>
      </c>
      <c r="C277" s="30" t="inlineStr">
        <is>
          <t>样品</t>
        </is>
      </c>
      <c r="D277" s="13" t="n">
        <v>30</v>
      </c>
      <c r="E277" s="38" t="n">
        <v>6</v>
      </c>
      <c r="F277" s="39" t="n">
        <v>1526.3</v>
      </c>
      <c r="G277" s="30" t="inlineStr"/>
    </row>
    <row r="278">
      <c r="A278" s="25" t="inlineStr">
        <is>
          <t>P3</t>
        </is>
      </c>
      <c r="B278" s="25" t="inlineStr">
        <is>
          <t>G10</t>
        </is>
      </c>
      <c r="C278" s="25" t="inlineStr">
        <is>
          <t>样品</t>
        </is>
      </c>
      <c r="D278" s="9" t="n">
        <v>30</v>
      </c>
      <c r="E278" s="36" t="n">
        <v>7</v>
      </c>
      <c r="F278" s="37" t="n">
        <v>1551.8</v>
      </c>
      <c r="G278" s="25" t="inlineStr"/>
    </row>
    <row r="279">
      <c r="A279" s="30" t="inlineStr">
        <is>
          <t>P3</t>
        </is>
      </c>
      <c r="B279" s="30" t="inlineStr">
        <is>
          <t>H10</t>
        </is>
      </c>
      <c r="C279" s="30" t="inlineStr">
        <is>
          <t>样品</t>
        </is>
      </c>
      <c r="D279" s="13" t="n">
        <v>30</v>
      </c>
      <c r="E279" s="38" t="n">
        <v>8</v>
      </c>
      <c r="F279" s="39" t="n">
        <v>1478.7</v>
      </c>
      <c r="G279" s="30" t="inlineStr"/>
    </row>
    <row r="280">
      <c r="A280" s="25" t="inlineStr">
        <is>
          <t>P3</t>
        </is>
      </c>
      <c r="B280" s="25" t="inlineStr">
        <is>
          <t>A11</t>
        </is>
      </c>
      <c r="C280" s="25" t="inlineStr">
        <is>
          <t>样品</t>
        </is>
      </c>
      <c r="D280" s="9" t="n">
        <v>60</v>
      </c>
      <c r="E280" s="36" t="n">
        <v>1</v>
      </c>
      <c r="F280" s="37" t="n">
        <v>851.6</v>
      </c>
      <c r="G280" s="25" t="inlineStr"/>
    </row>
    <row r="281">
      <c r="A281" s="30" t="inlineStr">
        <is>
          <t>P3</t>
        </is>
      </c>
      <c r="B281" s="30" t="inlineStr">
        <is>
          <t>B11</t>
        </is>
      </c>
      <c r="C281" s="30" t="inlineStr">
        <is>
          <t>样品</t>
        </is>
      </c>
      <c r="D281" s="13" t="n">
        <v>60</v>
      </c>
      <c r="E281" s="38" t="n">
        <v>2</v>
      </c>
      <c r="F281" s="39" t="n">
        <v>826.1</v>
      </c>
      <c r="G281" s="30" t="inlineStr"/>
    </row>
    <row r="282">
      <c r="A282" s="25" t="inlineStr">
        <is>
          <t>P3</t>
        </is>
      </c>
      <c r="B282" s="25" t="inlineStr">
        <is>
          <t>C11</t>
        </is>
      </c>
      <c r="C282" s="25" t="inlineStr">
        <is>
          <t>样品</t>
        </is>
      </c>
      <c r="D282" s="9" t="n">
        <v>60</v>
      </c>
      <c r="E282" s="36" t="n">
        <v>3</v>
      </c>
      <c r="F282" s="37" t="n">
        <v>873.8</v>
      </c>
      <c r="G282" s="25" t="inlineStr"/>
    </row>
    <row r="283">
      <c r="A283" s="30" t="inlineStr">
        <is>
          <t>P3</t>
        </is>
      </c>
      <c r="B283" s="30" t="inlineStr">
        <is>
          <t>D11</t>
        </is>
      </c>
      <c r="C283" s="30" t="inlineStr">
        <is>
          <t>样品</t>
        </is>
      </c>
      <c r="D283" s="13" t="n">
        <v>60</v>
      </c>
      <c r="E283" s="38" t="n">
        <v>4</v>
      </c>
      <c r="F283" s="39" t="n">
        <v>849.5</v>
      </c>
      <c r="G283" s="30" t="inlineStr"/>
    </row>
    <row r="284">
      <c r="A284" s="25" t="inlineStr">
        <is>
          <t>P3</t>
        </is>
      </c>
      <c r="B284" s="25" t="inlineStr">
        <is>
          <t>E11</t>
        </is>
      </c>
      <c r="C284" s="25" t="inlineStr">
        <is>
          <t>样品</t>
        </is>
      </c>
      <c r="D284" s="9" t="n">
        <v>60</v>
      </c>
      <c r="E284" s="36" t="n">
        <v>5</v>
      </c>
      <c r="F284" s="37" t="n">
        <v>844.5</v>
      </c>
      <c r="G284" s="25" t="inlineStr"/>
    </row>
    <row r="285">
      <c r="A285" s="30" t="inlineStr">
        <is>
          <t>P3</t>
        </is>
      </c>
      <c r="B285" s="30" t="inlineStr">
        <is>
          <t>F11</t>
        </is>
      </c>
      <c r="C285" s="30" t="inlineStr">
        <is>
          <t>样品</t>
        </is>
      </c>
      <c r="D285" s="13" t="n">
        <v>60</v>
      </c>
      <c r="E285" s="38" t="n">
        <v>6</v>
      </c>
      <c r="F285" s="39" t="n">
        <v>842.3</v>
      </c>
      <c r="G285" s="30" t="inlineStr"/>
    </row>
    <row r="286">
      <c r="A286" s="25" t="inlineStr">
        <is>
          <t>P3</t>
        </is>
      </c>
      <c r="B286" s="25" t="inlineStr">
        <is>
          <t>G11</t>
        </is>
      </c>
      <c r="C286" s="25" t="inlineStr">
        <is>
          <t>样品</t>
        </is>
      </c>
      <c r="D286" s="9" t="n">
        <v>60</v>
      </c>
      <c r="E286" s="36" t="n">
        <v>7</v>
      </c>
      <c r="F286" s="37" t="n">
        <v>849.3</v>
      </c>
      <c r="G286" s="25" t="inlineStr"/>
    </row>
    <row r="287">
      <c r="A287" s="30" t="inlineStr">
        <is>
          <t>P3</t>
        </is>
      </c>
      <c r="B287" s="30" t="inlineStr">
        <is>
          <t>H11</t>
        </is>
      </c>
      <c r="C287" s="30" t="inlineStr">
        <is>
          <t>样品</t>
        </is>
      </c>
      <c r="D287" s="13" t="n">
        <v>60</v>
      </c>
      <c r="E287" s="38" t="n">
        <v>8</v>
      </c>
      <c r="F287" s="39" t="n">
        <v>858.2</v>
      </c>
      <c r="G287" s="30" t="inlineStr"/>
    </row>
    <row r="288">
      <c r="A288" s="25" t="inlineStr">
        <is>
          <t>P3</t>
        </is>
      </c>
      <c r="B288" s="25" t="inlineStr">
        <is>
          <t>A12</t>
        </is>
      </c>
      <c r="C288" s="25" t="inlineStr">
        <is>
          <t>样品</t>
        </is>
      </c>
      <c r="D288" s="9" t="n">
        <v>100</v>
      </c>
      <c r="E288" s="36" t="n">
        <v>1</v>
      </c>
      <c r="F288" s="37" t="n">
        <v>567.4</v>
      </c>
      <c r="G288" s="25" t="inlineStr"/>
    </row>
    <row r="289">
      <c r="A289" s="30" t="inlineStr">
        <is>
          <t>P3</t>
        </is>
      </c>
      <c r="B289" s="30" t="inlineStr">
        <is>
          <t>B12</t>
        </is>
      </c>
      <c r="C289" s="30" t="inlineStr">
        <is>
          <t>样品</t>
        </is>
      </c>
      <c r="D289" s="13" t="n">
        <v>100</v>
      </c>
      <c r="E289" s="38" t="n">
        <v>2</v>
      </c>
      <c r="F289" s="39" t="n">
        <v>569.7</v>
      </c>
      <c r="G289" s="30" t="inlineStr"/>
    </row>
    <row r="290">
      <c r="A290" s="25" t="inlineStr">
        <is>
          <t>P3</t>
        </is>
      </c>
      <c r="B290" s="25" t="inlineStr">
        <is>
          <t>C12</t>
        </is>
      </c>
      <c r="C290" s="25" t="inlineStr">
        <is>
          <t>样品</t>
        </is>
      </c>
      <c r="D290" s="9" t="n">
        <v>100</v>
      </c>
      <c r="E290" s="36" t="n">
        <v>3</v>
      </c>
      <c r="F290" s="37" t="n">
        <v>562.3</v>
      </c>
      <c r="G290" s="25" t="inlineStr"/>
    </row>
    <row r="291">
      <c r="A291" s="30" t="inlineStr">
        <is>
          <t>P3</t>
        </is>
      </c>
      <c r="B291" s="30" t="inlineStr">
        <is>
          <t>D12</t>
        </is>
      </c>
      <c r="C291" s="30" t="inlineStr">
        <is>
          <t>样品</t>
        </is>
      </c>
      <c r="D291" s="13" t="n">
        <v>100</v>
      </c>
      <c r="E291" s="38" t="n">
        <v>4</v>
      </c>
      <c r="F291" s="39" t="n">
        <v>582.9</v>
      </c>
      <c r="G291" s="30" t="inlineStr"/>
    </row>
    <row r="292">
      <c r="A292" s="25" t="inlineStr">
        <is>
          <t>P3</t>
        </is>
      </c>
      <c r="B292" s="25" t="inlineStr">
        <is>
          <t>E12</t>
        </is>
      </c>
      <c r="C292" s="25" t="inlineStr">
        <is>
          <t>样品</t>
        </is>
      </c>
      <c r="D292" s="9" t="n">
        <v>100</v>
      </c>
      <c r="E292" s="36" t="n">
        <v>5</v>
      </c>
      <c r="F292" s="37" t="n">
        <v>570.9</v>
      </c>
      <c r="G292" s="25" t="inlineStr"/>
    </row>
    <row r="293">
      <c r="A293" s="30" t="inlineStr">
        <is>
          <t>P3</t>
        </is>
      </c>
      <c r="B293" s="30" t="inlineStr">
        <is>
          <t>F12</t>
        </is>
      </c>
      <c r="C293" s="30" t="inlineStr">
        <is>
          <t>样品</t>
        </is>
      </c>
      <c r="D293" s="13" t="n">
        <v>100</v>
      </c>
      <c r="E293" s="38" t="n">
        <v>6</v>
      </c>
      <c r="F293" s="39" t="n">
        <v>554.7</v>
      </c>
      <c r="G293" s="30" t="inlineStr"/>
    </row>
    <row r="294">
      <c r="A294" s="25" t="inlineStr">
        <is>
          <t>P3</t>
        </is>
      </c>
      <c r="B294" s="25" t="inlineStr">
        <is>
          <t>G12</t>
        </is>
      </c>
      <c r="C294" s="25" t="inlineStr">
        <is>
          <t>样品</t>
        </is>
      </c>
      <c r="D294" s="9" t="n">
        <v>100</v>
      </c>
      <c r="E294" s="36" t="n">
        <v>7</v>
      </c>
      <c r="F294" s="37" t="n">
        <v>541.7</v>
      </c>
      <c r="G294" s="25" t="inlineStr"/>
    </row>
    <row r="295">
      <c r="A295" s="30" t="inlineStr">
        <is>
          <t>P3</t>
        </is>
      </c>
      <c r="B295" s="30" t="inlineStr">
        <is>
          <t>H12</t>
        </is>
      </c>
      <c r="C295" s="30" t="inlineStr">
        <is>
          <t>样品</t>
        </is>
      </c>
      <c r="D295" s="13" t="n">
        <v>100</v>
      </c>
      <c r="E295" s="38" t="n">
        <v>8</v>
      </c>
      <c r="F295" s="39" t="n">
        <v>562</v>
      </c>
      <c r="G295" s="30" t="inlineStr"/>
    </row>
  </sheetData>
  <autoFilter ref="A7:G295"/>
  <mergeCells count="3">
    <mergeCell ref="A3:G3"/>
    <mergeCell ref="A2:G2"/>
    <mergeCell ref="A4:G4"/>
  </mergeCells>
  <printOptions horizontalCentered="1"/>
  <pageMargins left="0.28" right="0.28" top="0.25" bottom="0.25" header="0" footer="0.1"/>
  <pageSetup orientation="portrait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2026-09-11T03:04:54Z</dcterms:created>
  <dcterms:modified xsi:type="dcterms:W3CDTF">2026-09-11T03:04:54Z</dcterms:modified>
</cp:coreProperties>
</file>