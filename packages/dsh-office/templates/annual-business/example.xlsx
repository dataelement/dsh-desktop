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1e21d617a46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总览" sheetId="1" r:id="Re6df0562d1164773"/>
    <x:sheet xmlns:r="http://schemas.openxmlformats.org/officeDocument/2006/relationships" name="增长测算" sheetId="2" r:id="Red416c19f90f44e2"/>
    <x:sheet xmlns:r="http://schemas.openxmlformats.org/officeDocument/2006/relationships" name="增长质量" sheetId="3" r:id="Re8bd8cb055664998"/>
    <x:sheet xmlns:r="http://schemas.openxmlformats.org/officeDocument/2006/relationships" name="客户留存" sheetId="4" r:id="R0f920f059ac74d16"/>
    <x:sheet xmlns:r="http://schemas.openxmlformats.org/officeDocument/2006/relationships" name="月度经营数据" sheetId="5" r:id="R5ddb10fa662c41ac"/>
    <x:sheet xmlns:r="http://schemas.openxmlformats.org/officeDocument/2006/relationships" name="客户批次数据" sheetId="6" r:id="R0cf77ce7b88646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5">
    <x:numFmt numFmtId="200" formatCode="yyyy-mm"/>
    <x:numFmt numFmtId="201" formatCode="#,##0;(#,##0);&quot;—&quot;"/>
    <x:numFmt numFmtId="202" formatCode="0.0%;(0.0%);&quot;—&quot;"/>
    <x:numFmt numFmtId="203" formatCode="0.0"/>
    <x:numFmt numFmtId="204" formatCode="0.00"/>
    <x:numFmt numFmtId="205" formatCode="#,##0.0,;(#,##0.0,);&quot;—&quot;"/>
    <x:numFmt numFmtId="206" formatCode="0"/>
    <x:numFmt numFmtId="207" formatCode="#,##0.0"/>
    <x:numFmt numFmtId="208" formatCode="0%"/>
    <x:numFmt numFmtId="209" formatCode="#,##0.0;(#,##0.0);&quot;—&quot;"/>
    <x:numFmt numFmtId="210" formatCode="0.0%"/>
    <x:numFmt numFmtId="211" formatCode="yyyy-mm-dd"/>
    <x:numFmt numFmtId="212" formatCode="0.000"/>
    <x:numFmt numFmtId="213" formatCode="#,##0"/>
    <x:numFmt numFmtId="214" formatCode="#,##0.0,"/>
  </x:numFmts>
  <x:fonts count="19">
    <x:font>
      <x:sz val="11"/>
      <x:name val="Carlito"/>
    </x:font>
    <x:font>
      <x:sz val="11"/>
      <x:color rgb="FF20263D"/>
      <x:name val="Hiragino Sans GB"/>
    </x:font>
    <x:font>
      <x:sz val="10"/>
      <x:color rgb="FF777A82"/>
      <x:name val="Hiragino Sans GB"/>
    </x:font>
    <x:font>
      <x:b/>
      <x:sz val="23"/>
      <x:color rgb="FF20263D"/>
      <x:name val="Hiragino Sans GB"/>
    </x:font>
    <x:font>
      <x:b/>
      <x:sz val="10"/>
      <x:color rgb="FFFFFFFF"/>
      <x:name val="Hiragino Sans GB"/>
    </x:font>
    <x:font>
      <x:sz val="11"/>
      <x:color rgb="FF2259A0"/>
      <x:name val="Hiragino Sans GB"/>
    </x:font>
    <x:font>
      <x:b/>
      <x:sz val="13"/>
      <x:color rgb="FF20263D"/>
      <x:name val="Hiragino Sans GB"/>
    </x:font>
    <x:font>
      <x:sz val="10"/>
      <x:color rgb="FF20263D"/>
      <x:name val="Hiragino Sans GB"/>
    </x:font>
    <x:font>
      <x:sz val="11"/>
      <x:color rgb="FF202020"/>
      <x:name val="Hiragino Sans GB"/>
    </x:font>
    <x:font>
      <x:i/>
      <x:sz val="10"/>
      <x:color rgb="FF20263D"/>
      <x:name val="Hiragino Sans GB"/>
    </x:font>
    <x:font>
      <x:i/>
      <x:sz val="11"/>
      <x:color rgb="FF202020"/>
      <x:name val="Hiragino Sans GB"/>
    </x:font>
    <x:font>
      <x:b/>
      <x:sz val="10"/>
      <x:color rgb="FF20263D"/>
      <x:name val="Hiragino Sans GB"/>
    </x:font>
    <x:font>
      <x:b/>
      <x:sz val="11"/>
      <x:color rgb="FF202020"/>
      <x:name val="Hiragino Sans GB"/>
    </x:font>
    <x:font>
      <x:sz val="25"/>
      <x:color rgb="FF20263D"/>
      <x:name val="Georgia"/>
    </x:font>
    <x:font>
      <x:sz val="11"/>
      <x:color rgb="FF32735D"/>
      <x:name val="Hiragino Sans GB"/>
    </x:font>
    <x:font>
      <x:b/>
      <x:sz val="11"/>
      <x:color rgb="FF20263D"/>
      <x:name val="Hiragino Sans GB"/>
    </x:font>
    <x:font>
      <x:sz val="10"/>
      <x:color rgb="FF777A82"/>
      <x:name val="Hiragino Sans GB"/>
    </x:font>
    <x:font>
      <x:sz val="10"/>
      <x:color rgb="FF2259A0"/>
      <x:name val="Hiragino Sans GB"/>
    </x:font>
    <x:font>
      <x:sz val="15"/>
      <x:color rgb="FF20263D"/>
      <x:name val="Georgia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20263D"/>
      </x:patternFill>
    </x:fill>
    <x:fill>
      <x:patternFill patternType="solid">
        <x:fgColor rgb="FFFFF2D4"/>
      </x:patternFill>
    </x:fill>
    <x:fill>
      <x:patternFill patternType="solid">
        <x:fgColor rgb="FFE8E0D5"/>
      </x:patternFill>
    </x:fill>
    <x:fill>
      <x:patternFill patternType="solid">
        <x:fgColor rgb="FFEEE8DF"/>
      </x:patternFill>
    </x:fill>
    <x:fill>
      <x:patternFill patternType="solid">
        <x:fgColor rgb="FFFFFFFF"/>
      </x:patternFill>
    </x:fill>
    <x:fill>
      <x:patternFill patternType="solid">
        <x:fgColor rgb="FF20263D"/>
      </x:patternFill>
    </x:fill>
    <x:fill>
      <x:patternFill patternType="solid">
        <x:fgColor rgb="FFFFFFFF"/>
      </x:patternFill>
    </x:fill>
    <x:fill>
      <x:patternFill patternType="solid">
        <x:fgColor rgb="FFFFF2D4"/>
      </x:patternFill>
    </x:fill>
    <x:fill>
      <x:patternFill patternType="solid">
        <x:fgColor rgb="FFEEE6DC"/>
      </x:patternFill>
    </x:fill>
  </x:fills>
  <x:borders count="2">
    <x:border/>
    <x:border>
      <x:bottom style="thin">
        <x:color rgb="FF20263D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8" fillId="2" borderId="0" xfId="0" applyNumberFormat="1" applyFont="1" applyFill="1" applyBorder="1" applyAlignment="1">
      <x:alignment vertical="center"/>
    </x:xf>
    <x:xf numFmtId="202" fontId="8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202" fontId="10" fillId="2" borderId="0" xfId="0" applyNumberFormat="1" applyFont="1" applyFill="1" applyBorder="1" applyAlignment="1">
      <x:alignment vertical="center"/>
    </x:xf>
    <x:xf numFmtId="203" fontId="8" fillId="2" borderId="0" xfId="0" applyNumberFormat="1" applyFont="1" applyFill="1" applyBorder="1" applyAlignment="1">
      <x:alignment vertical="center"/>
    </x:xf>
    <x:xf numFmtId="204" fontId="8" fillId="2" borderId="0" xfId="0" applyNumberFormat="1" applyFont="1" applyFill="1" applyBorder="1" applyAlignment="1">
      <x:alignment vertical="center"/>
    </x:xf>
    <x:xf numFmtId="205" fontId="8" fillId="2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205" fontId="8" fillId="6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/>
    </x:xf>
    <x:xf numFmtId="205" fontId="12" fillId="6" borderId="0" xfId="0" applyNumberFormat="1" applyFont="1" applyFill="1" applyBorder="1" applyAlignment="1">
      <x:alignment vertical="center"/>
    </x:xf>
    <x:xf numFmtId="201" fontId="8" fillId="6" borderId="0" xfId="0" applyNumberFormat="1" applyFont="1" applyFill="1" applyBorder="1" applyAlignment="1">
      <x:alignment vertical="center"/>
    </x:xf>
    <x:xf numFmtId="201" fontId="12" fillId="6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6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0" fontId="13" fillId="2" borderId="0" xfId="0" applyNumberFormat="1" applyFont="1" applyFill="1" applyBorder="1" applyAlignment="1">
      <x:alignment vertical="center"/>
    </x:xf>
    <x:xf numFmtId="201" fontId="13" fillId="2" borderId="0" xfId="0" applyNumberFormat="1" applyFont="1" applyFill="1" applyBorder="1" applyAlignment="1">
      <x:alignment vertical="center"/>
    </x:xf>
    <x:xf numFmtId="202" fontId="13" fillId="2" borderId="0" xfId="0" applyNumberFormat="1" applyFont="1" applyFill="1" applyBorder="1" applyAlignment="1">
      <x:alignment vertical="center"/>
    </x:xf>
    <x:xf numFmtId="203" fontId="13" fillId="2" borderId="0" xfId="0" applyNumberFormat="1" applyFont="1" applyFill="1" applyBorder="1" applyAlignment="1">
      <x:alignment vertical="center"/>
    </x:xf>
    <x:xf numFmtId="207" fontId="13" fillId="2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203" fontId="1" fillId="7" borderId="0" xfId="0" applyNumberFormat="1" applyFont="1" applyFill="1" applyBorder="1" applyAlignment="1">
      <x:alignment vertical="center"/>
    </x:xf>
    <x:xf numFmtId="202" fontId="1" fillId="7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8" fontId="1" fillId="2" borderId="0" xfId="0" applyNumberFormat="1" applyFont="1" applyFill="1" applyBorder="1" applyAlignment="1">
      <x:alignment vertical="center"/>
    </x:xf>
    <x:xf numFmtId="208" fontId="1" fillId="2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4" fontId="1" fillId="3" borderId="0" xfId="0" applyNumberFormat="1" applyFont="1" applyFill="1" applyBorder="1" applyAlignment="1">
      <x:alignment vertical="center"/>
    </x:xf>
    <x:xf numFmtId="206" fontId="5" fillId="5" borderId="0" xfId="0" applyNumberFormat="1" applyFont="1" applyFill="1" applyBorder="1" applyAlignment="1">
      <x:alignment vertical="center"/>
    </x:xf>
    <x:xf numFmtId="0" fontId="14" fillId="2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202" fontId="5" fillId="5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1" fontId="15" fillId="6" borderId="0" xfId="0" applyNumberFormat="1" applyFont="1" applyFill="1" applyBorder="1" applyAlignment="1">
      <x:alignment vertical="center"/>
    </x:xf>
    <x:xf numFmtId="205" fontId="1" fillId="2" borderId="0" xfId="0" applyNumberFormat="1" applyFont="1" applyFill="1" applyBorder="1" applyAlignment="1">
      <x:alignment vertical="center"/>
    </x:xf>
    <x:xf numFmtId="205" fontId="15" fillId="6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16" fillId="2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209" fontId="1" fillId="2" borderId="0" xfId="0" applyNumberFormat="1" applyFont="1" applyFill="1" applyBorder="1" applyAlignment="1">
      <x:alignment vertical="center"/>
    </x:xf>
    <x:xf numFmtId="209" fontId="0" fillId="0" borderId="0" xfId="0" applyNumberFormat="1" applyFont="1" applyFill="1" applyBorder="1"/>
    <x:xf numFmtId="210" fontId="1" fillId="2" borderId="0" xfId="0" applyNumberFormat="1" applyFont="1" applyFill="1" applyBorder="1" applyAlignment="1">
      <x:alignment vertical="center"/>
    </x:xf>
    <x:xf numFmtId="21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211" fontId="7" fillId="10" borderId="0" xfId="0" applyNumberFormat="1" applyFont="1" applyFill="1" applyBorder="1"/>
    <x:xf numFmtId="212" fontId="7" fillId="10" borderId="0" xfId="0" applyNumberFormat="1" applyFont="1" applyFill="1" applyBorder="1"/>
    <x:xf numFmtId="212" fontId="7" fillId="11" borderId="0" xfId="0" applyNumberFormat="1" applyFont="1" applyFill="1" applyBorder="1"/>
    <x:xf numFmtId="212" fontId="17" fillId="11" borderId="0" xfId="0" applyNumberFormat="1" applyFont="1" applyFill="1" applyBorder="1"/>
    <x:xf numFmtId="213" fontId="7" fillId="10" borderId="0" xfId="0" applyNumberFormat="1" applyFont="1" applyFill="1" applyBorder="1"/>
    <x:xf numFmtId="204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16" fillId="0" borderId="0" xfId="0" applyNumberFormat="1" applyFont="1" applyFill="1" applyBorder="1"/>
    <x:xf numFmtId="214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6" fillId="8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209" fontId="1" fillId="12" borderId="0" xfId="0" applyNumberFormat="1" applyFont="1" applyFill="1" applyBorder="1" applyAlignment="1">
      <x:alignment vertical="center"/>
    </x:xf>
    <x:xf numFmtId="209" fontId="1" fillId="8" borderId="0" xfId="0" applyNumberFormat="1" applyFont="1" applyFill="1" applyBorder="1" applyAlignment="1">
      <x:alignment vertical="center"/>
    </x:xf>
    <x:xf numFmtId="210" fontId="1" fillId="12" borderId="0" xfId="0" applyNumberFormat="1" applyFont="1" applyFill="1" applyBorder="1" applyAlignment="1">
      <x:alignment vertical="center"/>
    </x:xf>
    <x:xf numFmtId="210" fontId="1" fillId="8" borderId="0" xfId="0" applyNumberFormat="1" applyFont="1" applyFill="1" applyBorder="1" applyAlignment="1">
      <x:alignment vertical="center"/>
    </x:xf>
    <x:xf numFmtId="0" fontId="16" fillId="8" borderId="0" xfId="0" applyNumberFormat="1" applyFont="1" applyFill="1" applyBorder="1" applyAlignment="1">
      <x:alignment vertical="center"/>
    </x:xf>
    <x:xf numFmtId="0" fontId="18" fillId="8" borderId="0" xfId="0" applyNumberFormat="1" applyFont="1" applyFill="1" applyBorder="1" applyAlignment="1">
      <x:alignment vertical="center"/>
    </x:xf>
    <x:xf numFmtId="204" fontId="18" fillId="8" borderId="0" xfId="0" applyNumberFormat="1" applyFont="1" applyFill="1" applyBorder="1" applyAlignment="1">
      <x:alignment vertical="center"/>
    </x:xf>
    <x:xf numFmtId="210" fontId="18" fillId="8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AC342C"/>
      </x:font>
      <x:fill>
        <x:patternFill>
          <x:bgColor rgb="FFFADD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6505c8e6574dfe" /><Relationship Type="http://schemas.openxmlformats.org/officeDocument/2006/relationships/theme" Target="/xl/theme/theme1.xml" Id="R20263962c34e400c" /><Relationship Type="http://schemas.openxmlformats.org/officeDocument/2006/relationships/sharedStrings" Target="/xl/sharedStrings.xml" Id="Rd660b2a177474977" /><Relationship Type="http://schemas.openxmlformats.org/officeDocument/2006/relationships/worksheet" Target="/xl/worksheets/sheet1.xml" Id="Re6df0562d1164773" /><Relationship Type="http://schemas.openxmlformats.org/officeDocument/2006/relationships/worksheet" Target="/xl/worksheets/sheet2.xml" Id="Red416c19f90f44e2" /><Relationship Type="http://schemas.openxmlformats.org/officeDocument/2006/relationships/worksheet" Target="/xl/worksheets/sheet3.xml" Id="Re8bd8cb055664998" /><Relationship Type="http://schemas.openxmlformats.org/officeDocument/2006/relationships/worksheet" Target="/xl/worksheets/sheet4.xml" Id="R0f920f059ac74d16" /><Relationship Type="http://schemas.openxmlformats.org/officeDocument/2006/relationships/worksheet" Target="/xl/worksheets/sheet5.xml" Id="R5ddb10fa662c41ac" /><Relationship Type="http://schemas.openxmlformats.org/officeDocument/2006/relationships/worksheet" Target="/xl/worksheets/sheet6.xml" Id="R0cf77ce7b88646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de387cf0c054f2e" /><Relationship Type="http://schemas.openxmlformats.org/officeDocument/2006/relationships/chart" Target="/xl/drawings/charts/chart2.xml" Id="R46496f51308f4bb7" /><Relationship Type="http://schemas.openxmlformats.org/officeDocument/2006/relationships/chart" Target="/xl/drawings/charts/chart3.xml" Id="R6fc6c3e31c9e465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837ba9a1a0b3471d" /><Relationship Type="http://schemas.openxmlformats.org/officeDocument/2006/relationships/chart" Target="/xl/drawings/charts/chart5.xml" Id="Rcc200a3a620d4121" /><Relationship Type="http://schemas.openxmlformats.org/officeDocument/2006/relationships/chart" Target="/xl/drawings/charts/chart6.xml" Id="R0b5b574fb9f04b8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30cfcc96d92540bf" /><Relationship Type="http://schemas.openxmlformats.org/officeDocument/2006/relationships/chart" Target="/xl/drawings/charts/chart8.xml" Id="R558164f389ee4d3c" /><Relationship Type="http://schemas.openxmlformats.org/officeDocument/2006/relationships/chart" Target="/xl/drawings/charts/chart9.xml" Id="R17dbaa766b7c4b2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fb8947efecbe4737" /><Relationship Type="http://schemas.openxmlformats.org/officeDocument/2006/relationships/chart" Target="/xl/drawings/charts/chart11.xml" Id="R3d6953ca0fd54c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Hiragino Sans GB"/>
                <a:ea typeface="Hiragino Sans GB"/>
                <a:cs typeface="Hiragino Sans GB"/>
              </a:rPr>
              <a:t>A. 每日新增 MRR（万元）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Hiragino Sans GB"/>
              <a:ea typeface="Hiragino Sans GB"/>
              <a:cs typeface="Hiragino Sans GB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每日新增 MRR</c:v>
          </c:tx>
          <c:spPr>
            <a:solidFill xmlns:a="http://schemas.openxmlformats.org/drawingml/2006/main">
              <a:srgbClr val="839AB2"/>
            </a:solidFill>
            <a:ln xmlns:a="http://schemas.openxmlformats.org/drawingml/2006/main" w="9525">
              <a:solidFill>
                <a:srgbClr val="839AB2"/>
              </a:solidFill>
              <a:prstDash val="solid"/>
            </a:ln>
          </c:spPr>
          <c:marker>
            <c:symbol val="none"/>
          </c:marker>
          <c:cat>
            <c:strRef>
              <c:f>'经营总览'!$I$104:$I$468</c:f>
              <c:strCache>
                <c:ptCount val="365"/>
                <c:pt idx="0">
                  <c:v>1/1</c:v>
                </c:pt>
                <c:pt idx="1">
                  <c:v>1/2</c:v>
                </c:pt>
                <c:pt idx="2">
                  <c:v>1/3</c:v>
                </c:pt>
                <c:pt idx="3">
                  <c:v>1/4</c:v>
                </c:pt>
                <c:pt idx="4">
                  <c:v>1/5</c:v>
                </c:pt>
                <c:pt idx="5">
                  <c:v>1/6</c:v>
                </c:pt>
                <c:pt idx="6">
                  <c:v>1/7</c:v>
                </c:pt>
                <c:pt idx="7">
                  <c:v>1/8</c:v>
                </c:pt>
                <c:pt idx="8">
                  <c:v>1/9</c:v>
                </c:pt>
                <c:pt idx="9">
                  <c:v>1/10</c:v>
                </c:pt>
                <c:pt idx="10">
                  <c:v>1/11</c:v>
                </c:pt>
                <c:pt idx="11">
                  <c:v>1/12</c:v>
                </c:pt>
                <c:pt idx="12">
                  <c:v>1/13</c:v>
                </c:pt>
                <c:pt idx="13">
                  <c:v>1/14</c:v>
                </c:pt>
                <c:pt idx="14">
                  <c:v>1/15</c:v>
                </c:pt>
                <c:pt idx="15">
                  <c:v>1/16</c:v>
                </c:pt>
                <c:pt idx="16">
                  <c:v>1/17</c:v>
                </c:pt>
                <c:pt idx="17">
                  <c:v>1/18</c:v>
                </c:pt>
                <c:pt idx="18">
                  <c:v>1/19</c:v>
                </c:pt>
                <c:pt idx="19">
                  <c:v>1/20</c:v>
                </c:pt>
                <c:pt idx="20">
                  <c:v>1/21</c:v>
                </c:pt>
                <c:pt idx="21">
                  <c:v>1/22</c:v>
                </c:pt>
                <c:pt idx="22">
                  <c:v>1/23</c:v>
                </c:pt>
                <c:pt idx="23">
                  <c:v>1/24</c:v>
                </c:pt>
                <c:pt idx="24">
                  <c:v>1/25</c:v>
                </c:pt>
                <c:pt idx="25">
                  <c:v>1/26</c:v>
                </c:pt>
                <c:pt idx="26">
                  <c:v>1/27</c:v>
                </c:pt>
                <c:pt idx="27">
                  <c:v>1/28</c:v>
                </c:pt>
                <c:pt idx="28">
                  <c:v>1/29</c:v>
                </c:pt>
                <c:pt idx="29">
                  <c:v>1/30</c:v>
                </c:pt>
                <c:pt idx="30">
                  <c:v>1/31</c:v>
                </c:pt>
                <c:pt idx="31">
                  <c:v>2/1</c:v>
                </c:pt>
                <c:pt idx="32">
                  <c:v>2/2</c:v>
                </c:pt>
                <c:pt idx="33">
                  <c:v>2/3</c:v>
                </c:pt>
                <c:pt idx="34">
                  <c:v>2/4</c:v>
                </c:pt>
                <c:pt idx="35">
                  <c:v>2/5</c:v>
                </c:pt>
                <c:pt idx="36">
                  <c:v>2/6</c:v>
                </c:pt>
                <c:pt idx="37">
                  <c:v>2/7</c:v>
                </c:pt>
                <c:pt idx="38">
                  <c:v>2/8</c:v>
                </c:pt>
                <c:pt idx="39">
                  <c:v>2/9</c:v>
                </c:pt>
                <c:pt idx="40">
                  <c:v>2/10</c:v>
                </c:pt>
                <c:pt idx="41">
                  <c:v>2/11</c:v>
                </c:pt>
                <c:pt idx="42">
                  <c:v>2/12</c:v>
                </c:pt>
                <c:pt idx="43">
                  <c:v>2/13</c:v>
                </c:pt>
                <c:pt idx="44">
                  <c:v>2/14</c:v>
                </c:pt>
                <c:pt idx="45">
                  <c:v>2/15</c:v>
                </c:pt>
                <c:pt idx="46">
                  <c:v>2/16</c:v>
                </c:pt>
                <c:pt idx="47">
                  <c:v>2/17</c:v>
                </c:pt>
                <c:pt idx="48">
                  <c:v>2/18</c:v>
                </c:pt>
                <c:pt idx="49">
                  <c:v>2/19</c:v>
                </c:pt>
                <c:pt idx="50">
                  <c:v>2/20</c:v>
                </c:pt>
                <c:pt idx="51">
                  <c:v>2/21</c:v>
                </c:pt>
                <c:pt idx="52">
                  <c:v>2/22</c:v>
                </c:pt>
                <c:pt idx="53">
                  <c:v>2/23</c:v>
                </c:pt>
                <c:pt idx="54">
                  <c:v>2/24</c:v>
                </c:pt>
                <c:pt idx="55">
                  <c:v>2/25</c:v>
                </c:pt>
                <c:pt idx="56">
                  <c:v>2/26</c:v>
                </c:pt>
                <c:pt idx="57">
                  <c:v>2/27</c:v>
                </c:pt>
                <c:pt idx="58">
                  <c:v>2/28</c:v>
                </c:pt>
                <c:pt idx="59">
                  <c:v>3/1</c:v>
                </c:pt>
                <c:pt idx="60">
                  <c:v>3/2</c:v>
                </c:pt>
                <c:pt idx="61">
                  <c:v>3/3</c:v>
                </c:pt>
                <c:pt idx="62">
                  <c:v>3/4</c:v>
                </c:pt>
                <c:pt idx="63">
                  <c:v>3/5</c:v>
                </c:pt>
                <c:pt idx="64">
                  <c:v>3/6</c:v>
                </c:pt>
                <c:pt idx="65">
                  <c:v>3/7</c:v>
                </c:pt>
                <c:pt idx="66">
                  <c:v>3/8</c:v>
                </c:pt>
                <c:pt idx="67">
                  <c:v>3/9</c:v>
                </c:pt>
                <c:pt idx="68">
                  <c:v>3/10</c:v>
                </c:pt>
                <c:pt idx="69">
                  <c:v>3/11</c:v>
                </c:pt>
                <c:pt idx="70">
                  <c:v>3/12</c:v>
                </c:pt>
                <c:pt idx="71">
                  <c:v>3/13</c:v>
                </c:pt>
                <c:pt idx="72">
                  <c:v>3/14</c:v>
                </c:pt>
                <c:pt idx="73">
                  <c:v>3/15</c:v>
                </c:pt>
                <c:pt idx="74">
                  <c:v>3/16</c:v>
                </c:pt>
                <c:pt idx="75">
                  <c:v>3/17</c:v>
                </c:pt>
                <c:pt idx="76">
                  <c:v>3/18</c:v>
                </c:pt>
                <c:pt idx="77">
                  <c:v>3/19</c:v>
                </c:pt>
                <c:pt idx="78">
                  <c:v>3/20</c:v>
                </c:pt>
                <c:pt idx="79">
                  <c:v>3/21</c:v>
                </c:pt>
                <c:pt idx="80">
                  <c:v>3/22</c:v>
                </c:pt>
                <c:pt idx="81">
                  <c:v>3/23</c:v>
                </c:pt>
                <c:pt idx="82">
                  <c:v>3/24</c:v>
                </c:pt>
                <c:pt idx="83">
                  <c:v>3/25</c:v>
                </c:pt>
                <c:pt idx="84">
                  <c:v>3/26</c:v>
                </c:pt>
                <c:pt idx="85">
                  <c:v>3/27</c:v>
                </c:pt>
                <c:pt idx="86">
                  <c:v>3/28</c:v>
                </c:pt>
                <c:pt idx="87">
                  <c:v>3/29</c:v>
                </c:pt>
                <c:pt idx="88">
                  <c:v>3/30</c:v>
                </c:pt>
                <c:pt idx="89">
                  <c:v>3/31</c:v>
                </c:pt>
                <c:pt idx="90">
                  <c:v>4/1</c:v>
                </c:pt>
                <c:pt idx="91">
                  <c:v>4/2</c:v>
                </c:pt>
                <c:pt idx="92">
                  <c:v>4/3</c:v>
                </c:pt>
                <c:pt idx="93">
                  <c:v>4/4</c:v>
                </c:pt>
                <c:pt idx="94">
                  <c:v>4/5</c:v>
                </c:pt>
                <c:pt idx="95">
                  <c:v>4/6</c:v>
                </c:pt>
                <c:pt idx="96">
                  <c:v>4/7</c:v>
                </c:pt>
                <c:pt idx="97">
                  <c:v>4/8</c:v>
                </c:pt>
                <c:pt idx="98">
                  <c:v>4/9</c:v>
                </c:pt>
                <c:pt idx="99">
                  <c:v>4/10</c:v>
                </c:pt>
                <c:pt idx="100">
                  <c:v>4/11</c:v>
                </c:pt>
                <c:pt idx="101">
                  <c:v>4/12</c:v>
                </c:pt>
                <c:pt idx="102">
                  <c:v>4/13</c:v>
                </c:pt>
                <c:pt idx="103">
                  <c:v>4/14</c:v>
                </c:pt>
                <c:pt idx="104">
                  <c:v>4/15</c:v>
                </c:pt>
                <c:pt idx="105">
                  <c:v>4/16</c:v>
                </c:pt>
                <c:pt idx="106">
                  <c:v>4/17</c:v>
                </c:pt>
                <c:pt idx="107">
                  <c:v>4/18</c:v>
                </c:pt>
                <c:pt idx="108">
                  <c:v>4/19</c:v>
                </c:pt>
                <c:pt idx="109">
                  <c:v>4/20</c:v>
                </c:pt>
                <c:pt idx="110">
                  <c:v>4/21</c:v>
                </c:pt>
                <c:pt idx="111">
                  <c:v>4/22</c:v>
                </c:pt>
                <c:pt idx="112">
                  <c:v>4/23</c:v>
                </c:pt>
                <c:pt idx="113">
                  <c:v>4/24</c:v>
                </c:pt>
                <c:pt idx="114">
                  <c:v>4/25</c:v>
                </c:pt>
                <c:pt idx="115">
                  <c:v>4/26</c:v>
                </c:pt>
                <c:pt idx="116">
                  <c:v>4/27</c:v>
                </c:pt>
                <c:pt idx="117">
                  <c:v>4/28</c:v>
                </c:pt>
                <c:pt idx="118">
                  <c:v>4/29</c:v>
                </c:pt>
                <c:pt idx="119">
                  <c:v>4/30</c:v>
                </c:pt>
                <c:pt idx="120">
                  <c:v>5/1</c:v>
                </c:pt>
                <c:pt idx="121">
                  <c:v>5/2</c:v>
                </c:pt>
                <c:pt idx="122">
                  <c:v>5/3</c:v>
                </c:pt>
                <c:pt idx="123">
                  <c:v>5/4</c:v>
                </c:pt>
                <c:pt idx="124">
                  <c:v>5/5</c:v>
                </c:pt>
                <c:pt idx="125">
                  <c:v>5/6</c:v>
                </c:pt>
                <c:pt idx="126">
                  <c:v>5/7</c:v>
                </c:pt>
                <c:pt idx="127">
                  <c:v>5/8</c:v>
                </c:pt>
                <c:pt idx="128">
                  <c:v>5/9</c:v>
                </c:pt>
                <c:pt idx="129">
                  <c:v>5/10</c:v>
                </c:pt>
                <c:pt idx="130">
                  <c:v>5/11</c:v>
                </c:pt>
                <c:pt idx="131">
                  <c:v>5/12</c:v>
                </c:pt>
                <c:pt idx="132">
                  <c:v>5/13</c:v>
                </c:pt>
                <c:pt idx="133">
                  <c:v>5/14</c:v>
                </c:pt>
                <c:pt idx="134">
                  <c:v>5/15</c:v>
                </c:pt>
                <c:pt idx="135">
                  <c:v>5/16</c:v>
                </c:pt>
                <c:pt idx="136">
                  <c:v>5/17</c:v>
                </c:pt>
                <c:pt idx="137">
                  <c:v>5/18</c:v>
                </c:pt>
                <c:pt idx="138">
                  <c:v>5/19</c:v>
                </c:pt>
                <c:pt idx="139">
                  <c:v>5/20</c:v>
                </c:pt>
                <c:pt idx="140">
                  <c:v>5/21</c:v>
                </c:pt>
                <c:pt idx="141">
                  <c:v>5/22</c:v>
                </c:pt>
                <c:pt idx="142">
                  <c:v>5/23</c:v>
                </c:pt>
                <c:pt idx="143">
                  <c:v>5/24</c:v>
                </c:pt>
                <c:pt idx="144">
                  <c:v>5/25</c:v>
                </c:pt>
                <c:pt idx="145">
                  <c:v>5/26</c:v>
                </c:pt>
                <c:pt idx="146">
                  <c:v>5/27</c:v>
                </c:pt>
                <c:pt idx="147">
                  <c:v>5/28</c:v>
                </c:pt>
                <c:pt idx="148">
                  <c:v>5/29</c:v>
                </c:pt>
                <c:pt idx="149">
                  <c:v>5/30</c:v>
                </c:pt>
                <c:pt idx="150">
                  <c:v>5/31</c:v>
                </c:pt>
                <c:pt idx="151">
                  <c:v>6/1</c:v>
                </c:pt>
                <c:pt idx="152">
                  <c:v>6/2</c:v>
                </c:pt>
                <c:pt idx="153">
                  <c:v>6/3</c:v>
                </c:pt>
                <c:pt idx="154">
                  <c:v>6/4</c:v>
                </c:pt>
                <c:pt idx="155">
                  <c:v>6/5</c:v>
                </c:pt>
                <c:pt idx="156">
                  <c:v>6/6</c:v>
                </c:pt>
                <c:pt idx="157">
                  <c:v>6/7</c:v>
                </c:pt>
                <c:pt idx="158">
                  <c:v>6/8</c:v>
                </c:pt>
                <c:pt idx="159">
                  <c:v>6/9</c:v>
                </c:pt>
                <c:pt idx="160">
                  <c:v>6/10</c:v>
                </c:pt>
                <c:pt idx="161">
                  <c:v>6/11</c:v>
                </c:pt>
                <c:pt idx="162">
                  <c:v>6/12</c:v>
                </c:pt>
                <c:pt idx="163">
                  <c:v>6/13</c:v>
                </c:pt>
                <c:pt idx="164">
                  <c:v>6/14</c:v>
                </c:pt>
                <c:pt idx="165">
                  <c:v>6/15</c:v>
                </c:pt>
                <c:pt idx="166">
                  <c:v>6/16</c:v>
                </c:pt>
                <c:pt idx="167">
                  <c:v>6/17</c:v>
                </c:pt>
                <c:pt idx="168">
                  <c:v>6/18</c:v>
                </c:pt>
                <c:pt idx="169">
                  <c:v>6/19</c:v>
                </c:pt>
                <c:pt idx="170">
                  <c:v>6/20</c:v>
                </c:pt>
                <c:pt idx="171">
                  <c:v>6/21</c:v>
                </c:pt>
                <c:pt idx="172">
                  <c:v>6/22</c:v>
                </c:pt>
                <c:pt idx="173">
                  <c:v>6/23</c:v>
                </c:pt>
                <c:pt idx="174">
                  <c:v>6/24</c:v>
                </c:pt>
                <c:pt idx="175">
                  <c:v>6/25</c:v>
                </c:pt>
                <c:pt idx="176">
                  <c:v>6/26</c:v>
                </c:pt>
                <c:pt idx="177">
                  <c:v>6/27</c:v>
                </c:pt>
                <c:pt idx="178">
                  <c:v>6/28</c:v>
                </c:pt>
                <c:pt idx="179">
                  <c:v>6/29</c:v>
                </c:pt>
                <c:pt idx="180">
                  <c:v>6/30</c:v>
                </c:pt>
                <c:pt idx="181">
                  <c:v>7/1</c:v>
                </c:pt>
                <c:pt idx="182">
                  <c:v>7/2</c:v>
                </c:pt>
                <c:pt idx="183">
                  <c:v>7/3</c:v>
                </c:pt>
                <c:pt idx="184">
                  <c:v>7/4</c:v>
                </c:pt>
                <c:pt idx="185">
                  <c:v>7/5</c:v>
                </c:pt>
                <c:pt idx="186">
                  <c:v>7/6</c:v>
                </c:pt>
                <c:pt idx="187">
                  <c:v>7/7</c:v>
                </c:pt>
                <c:pt idx="188">
                  <c:v>7/8</c:v>
                </c:pt>
                <c:pt idx="189">
                  <c:v>7/9</c:v>
                </c:pt>
                <c:pt idx="190">
                  <c:v>7/10</c:v>
                </c:pt>
                <c:pt idx="191">
                  <c:v>7/11</c:v>
                </c:pt>
                <c:pt idx="192">
                  <c:v>7/12</c:v>
                </c:pt>
                <c:pt idx="193">
                  <c:v>7/13</c:v>
                </c:pt>
                <c:pt idx="194">
                  <c:v>7/14</c:v>
                </c:pt>
                <c:pt idx="195">
                  <c:v>7/15</c:v>
                </c:pt>
                <c:pt idx="196">
                  <c:v>7/16</c:v>
                </c:pt>
                <c:pt idx="197">
                  <c:v>7/17</c:v>
                </c:pt>
                <c:pt idx="198">
                  <c:v>7/18</c:v>
                </c:pt>
                <c:pt idx="199">
                  <c:v>7/19</c:v>
                </c:pt>
                <c:pt idx="200">
                  <c:v>7/20</c:v>
                </c:pt>
                <c:pt idx="201">
                  <c:v>7/21</c:v>
                </c:pt>
                <c:pt idx="202">
                  <c:v>7/22</c:v>
                </c:pt>
                <c:pt idx="203">
                  <c:v>7/23</c:v>
                </c:pt>
                <c:pt idx="204">
                  <c:v>7/24</c:v>
                </c:pt>
                <c:pt idx="205">
                  <c:v>7/25</c:v>
                </c:pt>
                <c:pt idx="206">
                  <c:v>7/26</c:v>
                </c:pt>
                <c:pt idx="207">
                  <c:v>7/27</c:v>
                </c:pt>
                <c:pt idx="208">
                  <c:v>7/28</c:v>
                </c:pt>
                <c:pt idx="209">
                  <c:v>7/29</c:v>
                </c:pt>
                <c:pt idx="210">
                  <c:v>7/30</c:v>
                </c:pt>
                <c:pt idx="211">
                  <c:v>7/31</c:v>
                </c:pt>
                <c:pt idx="212">
                  <c:v>8/1</c:v>
                </c:pt>
                <c:pt idx="213">
                  <c:v>8/2</c:v>
                </c:pt>
                <c:pt idx="214">
                  <c:v>8/3</c:v>
                </c:pt>
                <c:pt idx="215">
                  <c:v>8/4</c:v>
                </c:pt>
                <c:pt idx="216">
                  <c:v>8/5</c:v>
                </c:pt>
                <c:pt idx="217">
                  <c:v>8/6</c:v>
                </c:pt>
                <c:pt idx="218">
                  <c:v>8/7</c:v>
                </c:pt>
                <c:pt idx="219">
                  <c:v>8/8</c:v>
                </c:pt>
                <c:pt idx="220">
                  <c:v>8/9</c:v>
                </c:pt>
                <c:pt idx="221">
                  <c:v>8/10</c:v>
                </c:pt>
                <c:pt idx="222">
                  <c:v>8/11</c:v>
                </c:pt>
                <c:pt idx="223">
                  <c:v>8/12</c:v>
                </c:pt>
                <c:pt idx="224">
                  <c:v>8/13</c:v>
                </c:pt>
                <c:pt idx="225">
                  <c:v>8/14</c:v>
                </c:pt>
                <c:pt idx="226">
                  <c:v>8/15</c:v>
                </c:pt>
                <c:pt idx="227">
                  <c:v>8/16</c:v>
                </c:pt>
                <c:pt idx="228">
                  <c:v>8/17</c:v>
                </c:pt>
                <c:pt idx="229">
                  <c:v>8/18</c:v>
                </c:pt>
                <c:pt idx="230">
                  <c:v>8/19</c:v>
                </c:pt>
                <c:pt idx="231">
                  <c:v>8/20</c:v>
                </c:pt>
                <c:pt idx="232">
                  <c:v>8/21</c:v>
                </c:pt>
                <c:pt idx="233">
                  <c:v>8/22</c:v>
                </c:pt>
                <c:pt idx="234">
                  <c:v>8/23</c:v>
                </c:pt>
                <c:pt idx="235">
                  <c:v>8/24</c:v>
                </c:pt>
                <c:pt idx="236">
                  <c:v>8/25</c:v>
                </c:pt>
                <c:pt idx="237">
                  <c:v>8/26</c:v>
                </c:pt>
                <c:pt idx="238">
                  <c:v>8/27</c:v>
                </c:pt>
                <c:pt idx="239">
                  <c:v>8/28</c:v>
                </c:pt>
                <c:pt idx="240">
                  <c:v>8/29</c:v>
                </c:pt>
                <c:pt idx="241">
                  <c:v>8/30</c:v>
                </c:pt>
                <c:pt idx="242">
                  <c:v>8/31</c:v>
                </c:pt>
                <c:pt idx="243">
                  <c:v>9/1</c:v>
                </c:pt>
                <c:pt idx="244">
                  <c:v>9/2</c:v>
                </c:pt>
                <c:pt idx="245">
                  <c:v>9/3</c:v>
                </c:pt>
                <c:pt idx="246">
                  <c:v>9/4</c:v>
                </c:pt>
                <c:pt idx="247">
                  <c:v>9/5</c:v>
                </c:pt>
                <c:pt idx="248">
                  <c:v>9/6</c:v>
                </c:pt>
                <c:pt idx="249">
                  <c:v>9/7</c:v>
                </c:pt>
                <c:pt idx="250">
                  <c:v>9/8</c:v>
                </c:pt>
                <c:pt idx="251">
                  <c:v>9/9</c:v>
                </c:pt>
                <c:pt idx="252">
                  <c:v>9/10</c:v>
                </c:pt>
                <c:pt idx="253">
                  <c:v>9/11</c:v>
                </c:pt>
                <c:pt idx="254">
                  <c:v>9/12</c:v>
                </c:pt>
                <c:pt idx="255">
                  <c:v>9/13</c:v>
                </c:pt>
                <c:pt idx="256">
                  <c:v>9/14</c:v>
                </c:pt>
                <c:pt idx="257">
                  <c:v>9/15</c:v>
                </c:pt>
                <c:pt idx="258">
                  <c:v>9/16</c:v>
                </c:pt>
                <c:pt idx="259">
                  <c:v>9/17</c:v>
                </c:pt>
                <c:pt idx="260">
                  <c:v>9/18</c:v>
                </c:pt>
                <c:pt idx="261">
                  <c:v>9/19</c:v>
                </c:pt>
                <c:pt idx="262">
                  <c:v>9/20</c:v>
                </c:pt>
                <c:pt idx="263">
                  <c:v>9/21</c:v>
                </c:pt>
                <c:pt idx="264">
                  <c:v>9/22</c:v>
                </c:pt>
                <c:pt idx="265">
                  <c:v>9/23</c:v>
                </c:pt>
                <c:pt idx="266">
                  <c:v>9/24</c:v>
                </c:pt>
                <c:pt idx="267">
                  <c:v>9/25</c:v>
                </c:pt>
                <c:pt idx="268">
                  <c:v>9/26</c:v>
                </c:pt>
                <c:pt idx="269">
                  <c:v>9/27</c:v>
                </c:pt>
                <c:pt idx="270">
                  <c:v>9/28</c:v>
                </c:pt>
                <c:pt idx="271">
                  <c:v>9/29</c:v>
                </c:pt>
                <c:pt idx="272">
                  <c:v>9/30</c:v>
                </c:pt>
                <c:pt idx="273">
                  <c:v>10/1</c:v>
                </c:pt>
                <c:pt idx="274">
                  <c:v>10/2</c:v>
                </c:pt>
                <c:pt idx="275">
                  <c:v>10/3</c:v>
                </c:pt>
                <c:pt idx="276">
                  <c:v>10/4</c:v>
                </c:pt>
                <c:pt idx="277">
                  <c:v>10/5</c:v>
                </c:pt>
                <c:pt idx="278">
                  <c:v>10/6</c:v>
                </c:pt>
                <c:pt idx="279">
                  <c:v>10/7</c:v>
                </c:pt>
                <c:pt idx="280">
                  <c:v>10/8</c:v>
                </c:pt>
                <c:pt idx="281">
                  <c:v>10/9</c:v>
                </c:pt>
                <c:pt idx="282">
                  <c:v>10/10</c:v>
                </c:pt>
                <c:pt idx="283">
                  <c:v>10/11</c:v>
                </c:pt>
                <c:pt idx="284">
                  <c:v>10/12</c:v>
                </c:pt>
                <c:pt idx="285">
                  <c:v>10/13</c:v>
                </c:pt>
                <c:pt idx="286">
                  <c:v>10/14</c:v>
                </c:pt>
                <c:pt idx="287">
                  <c:v>10/15</c:v>
                </c:pt>
                <c:pt idx="288">
                  <c:v>10/16</c:v>
                </c:pt>
                <c:pt idx="289">
                  <c:v>10/17</c:v>
                </c:pt>
                <c:pt idx="290">
                  <c:v>10/18</c:v>
                </c:pt>
                <c:pt idx="291">
                  <c:v>10/19</c:v>
                </c:pt>
                <c:pt idx="292">
                  <c:v>10/20</c:v>
                </c:pt>
                <c:pt idx="293">
                  <c:v>10/21</c:v>
                </c:pt>
                <c:pt idx="294">
                  <c:v>10/22</c:v>
                </c:pt>
                <c:pt idx="295">
                  <c:v>10/23</c:v>
                </c:pt>
                <c:pt idx="296">
                  <c:v>10/24</c:v>
                </c:pt>
                <c:pt idx="297">
                  <c:v>10/25</c:v>
                </c:pt>
                <c:pt idx="298">
                  <c:v>10/26</c:v>
                </c:pt>
                <c:pt idx="299">
                  <c:v>10/27</c:v>
                </c:pt>
                <c:pt idx="300">
                  <c:v>10/28</c:v>
                </c:pt>
                <c:pt idx="301">
                  <c:v>10/29</c:v>
                </c:pt>
                <c:pt idx="302">
                  <c:v>10/30</c:v>
                </c:pt>
                <c:pt idx="303">
                  <c:v>10/31</c:v>
                </c:pt>
                <c:pt idx="304">
                  <c:v>11/1</c:v>
                </c:pt>
                <c:pt idx="305">
                  <c:v>11/2</c:v>
                </c:pt>
                <c:pt idx="306">
                  <c:v>11/3</c:v>
                </c:pt>
                <c:pt idx="307">
                  <c:v>11/4</c:v>
                </c:pt>
                <c:pt idx="308">
                  <c:v>11/5</c:v>
                </c:pt>
                <c:pt idx="309">
                  <c:v>11/6</c:v>
                </c:pt>
                <c:pt idx="310">
                  <c:v>11/7</c:v>
                </c:pt>
                <c:pt idx="311">
                  <c:v>11/8</c:v>
                </c:pt>
                <c:pt idx="312">
                  <c:v>11/9</c:v>
                </c:pt>
                <c:pt idx="313">
                  <c:v>11/10</c:v>
                </c:pt>
                <c:pt idx="314">
                  <c:v>11/11</c:v>
                </c:pt>
                <c:pt idx="315">
                  <c:v>11/12</c:v>
                </c:pt>
                <c:pt idx="316">
                  <c:v>11/13</c:v>
                </c:pt>
                <c:pt idx="317">
                  <c:v>11/14</c:v>
                </c:pt>
                <c:pt idx="318">
                  <c:v>11/15</c:v>
                </c:pt>
                <c:pt idx="319">
                  <c:v>11/16</c:v>
                </c:pt>
                <c:pt idx="320">
                  <c:v>11/17</c:v>
                </c:pt>
                <c:pt idx="321">
                  <c:v>11/18</c:v>
                </c:pt>
                <c:pt idx="322">
                  <c:v>11/19</c:v>
                </c:pt>
                <c:pt idx="323">
                  <c:v>11/20</c:v>
                </c:pt>
                <c:pt idx="324">
                  <c:v>11/21</c:v>
                </c:pt>
                <c:pt idx="325">
                  <c:v>11/22</c:v>
                </c:pt>
                <c:pt idx="326">
                  <c:v>11/23</c:v>
                </c:pt>
                <c:pt idx="327">
                  <c:v>11/24</c:v>
                </c:pt>
                <c:pt idx="328">
                  <c:v>11/25</c:v>
                </c:pt>
                <c:pt idx="329">
                  <c:v>11/26</c:v>
                </c:pt>
                <c:pt idx="330">
                  <c:v>11/27</c:v>
                </c:pt>
                <c:pt idx="331">
                  <c:v>11/28</c:v>
                </c:pt>
                <c:pt idx="332">
                  <c:v>11/29</c:v>
                </c:pt>
                <c:pt idx="333">
                  <c:v>11/30</c:v>
                </c:pt>
                <c:pt idx="334">
                  <c:v>12/1</c:v>
                </c:pt>
                <c:pt idx="335">
                  <c:v>12/2</c:v>
                </c:pt>
                <c:pt idx="336">
                  <c:v>12/3</c:v>
                </c:pt>
                <c:pt idx="337">
                  <c:v>12/4</c:v>
                </c:pt>
                <c:pt idx="338">
                  <c:v>12/5</c:v>
                </c:pt>
                <c:pt idx="339">
                  <c:v>12/6</c:v>
                </c:pt>
                <c:pt idx="340">
                  <c:v>12/7</c:v>
                </c:pt>
                <c:pt idx="341">
                  <c:v>12/8</c:v>
                </c:pt>
                <c:pt idx="342">
                  <c:v>12/9</c:v>
                </c:pt>
                <c:pt idx="343">
                  <c:v>12/10</c:v>
                </c:pt>
                <c:pt idx="344">
                  <c:v>12/11</c:v>
                </c:pt>
                <c:pt idx="345">
                  <c:v>12/12</c:v>
                </c:pt>
                <c:pt idx="346">
                  <c:v>12/13</c:v>
                </c:pt>
                <c:pt idx="347">
                  <c:v>12/14</c:v>
                </c:pt>
                <c:pt idx="348">
                  <c:v>12/15</c:v>
                </c:pt>
                <c:pt idx="349">
                  <c:v>12/16</c:v>
                </c:pt>
                <c:pt idx="350">
                  <c:v>12/17</c:v>
                </c:pt>
                <c:pt idx="351">
                  <c:v>12/18</c:v>
                </c:pt>
                <c:pt idx="352">
                  <c:v>12/19</c:v>
                </c:pt>
                <c:pt idx="353">
                  <c:v>12/20</c:v>
                </c:pt>
                <c:pt idx="354">
                  <c:v>12/21</c:v>
                </c:pt>
                <c:pt idx="355">
                  <c:v>12/22</c:v>
                </c:pt>
                <c:pt idx="356">
                  <c:v>12/23</c:v>
                </c:pt>
                <c:pt idx="357">
                  <c:v>12/24</c:v>
                </c:pt>
                <c:pt idx="358">
                  <c:v>12/25</c:v>
                </c:pt>
                <c:pt idx="359">
                  <c:v>12/26</c:v>
                </c:pt>
                <c:pt idx="360">
                  <c:v>12/27</c:v>
                </c:pt>
                <c:pt idx="361">
                  <c:v>12/28</c:v>
                </c:pt>
                <c:pt idx="362">
                  <c:v>12/29</c:v>
                </c:pt>
                <c:pt idx="363">
                  <c:v>12/30</c:v>
                </c:pt>
                <c:pt idx="364">
                  <c:v>12/31</c:v>
                </c:pt>
              </c:strCache>
            </c:strRef>
          </c:cat>
          <c:val>
            <c:numRef>
              <c:f>'经营总览'!$G$104:$G$468</c:f>
              <c:numCache>
                <c:formatCode>0.00</c:formatCode>
                <c:ptCount val="365"/>
                <c:pt idx="0">
                  <c:v>0.122406317031912</c:v>
                </c:pt>
                <c:pt idx="1">
                  <c:v>0.0850860074227671</c:v>
                </c:pt>
                <c:pt idx="2">
                  <c:v>0.0611120055886364</c:v>
                </c:pt>
                <c:pt idx="3">
                  <c:v>0.0596639475042722</c:v>
                </c:pt>
                <c:pt idx="4">
                  <c:v>0.0189268553118946</c:v>
                </c:pt>
                <c:pt idx="5">
                  <c:v>0.198724440551126</c:v>
                </c:pt>
                <c:pt idx="6">
                  <c:v>0.246685178819528</c:v>
                </c:pt>
                <c:pt idx="7">
                  <c:v>0.156537391255065</c:v>
                </c:pt>
                <c:pt idx="8">
                  <c:v>0.141909692267698</c:v>
                </c:pt>
                <c:pt idx="9">
                  <c:v>0.217506411859671</c:v>
                </c:pt>
                <c:pt idx="10">
                  <c:v>0.0431688422840636</c:v>
                </c:pt>
                <c:pt idx="11">
                  <c:v>0.0101824298822846</c:v>
                </c:pt>
                <c:pt idx="12">
                  <c:v>0.152584191567681</c:v>
                </c:pt>
                <c:pt idx="13">
                  <c:v>0.230885449791186</c:v>
                </c:pt>
                <c:pt idx="14">
                  <c:v>0.0801456528104788</c:v>
                </c:pt>
                <c:pt idx="15">
                  <c:v>0.146496047337492</c:v>
                </c:pt>
                <c:pt idx="16">
                  <c:v>0.0468486948965088</c:v>
                </c:pt>
                <c:pt idx="17">
                  <c:v>0.0401182353083709</c:v>
                </c:pt>
                <c:pt idx="18">
                  <c:v>0.0371106355349062</c:v>
                </c:pt>
                <c:pt idx="19">
                  <c:v>0.0853091980462771</c:v>
                </c:pt>
                <c:pt idx="20">
                  <c:v>0.163725737913157</c:v>
                </c:pt>
                <c:pt idx="21">
                  <c:v>0.0736702203462014</c:v>
                </c:pt>
                <c:pt idx="22">
                  <c:v>0.28057317856983</c:v>
                </c:pt>
                <c:pt idx="23">
                  <c:v>0.0932094535350138</c:v>
                </c:pt>
                <c:pt idx="24">
                  <c:v>0.0605925679513384</c:v>
                </c:pt>
                <c:pt idx="25">
                  <c:v>0.0299189376662515</c:v>
                </c:pt>
                <c:pt idx="26">
                  <c:v>0.244814086255067</c:v>
                </c:pt>
                <c:pt idx="27">
                  <c:v>0.328526209053936</c:v>
                </c:pt>
                <c:pt idx="28">
                  <c:v>0.180576406574122</c:v>
                </c:pt>
                <c:pt idx="29">
                  <c:v>0.568325990650287</c:v>
                </c:pt>
                <c:pt idx="30">
                  <c:v>0.690659586412977</c:v>
                </c:pt>
                <c:pt idx="31">
                  <c:v>0.0234351747297245</c:v>
                </c:pt>
                <c:pt idx="32">
                  <c:v>0.0326535423472948</c:v>
                </c:pt>
                <c:pt idx="33">
                  <c:v>0.266059476018447</c:v>
                </c:pt>
                <c:pt idx="34">
                  <c:v>0.0756537044255398</c:v>
                </c:pt>
                <c:pt idx="35">
                  <c:v>0.129851196097263</c:v>
                </c:pt>
                <c:pt idx="36">
                  <c:v>0.13195794538365</c:v>
                </c:pt>
                <c:pt idx="37">
                  <c:v>0.18520908763343</c:v>
                </c:pt>
                <c:pt idx="38">
                  <c:v>0.0150305470609588</c:v>
                </c:pt>
                <c:pt idx="39">
                  <c:v>0.0421974059443871</c:v>
                </c:pt>
                <c:pt idx="40">
                  <c:v>0.238311278636614</c:v>
                </c:pt>
                <c:pt idx="41">
                  <c:v>0.257783707251863</c:v>
                </c:pt>
                <c:pt idx="42">
                  <c:v>0.147624616068785</c:v>
                </c:pt>
                <c:pt idx="43">
                  <c:v>0.0875556055631683</c:v>
                </c:pt>
                <c:pt idx="44">
                  <c:v>0.123583724129432</c:v>
                </c:pt>
                <c:pt idx="45">
                  <c:v>0.0420864962032166</c:v>
                </c:pt>
                <c:pt idx="46">
                  <c:v>0.0408011219565121</c:v>
                </c:pt>
                <c:pt idx="47">
                  <c:v>0.206209873913841</c:v>
                </c:pt>
                <c:pt idx="48">
                  <c:v>0.241365716834572</c:v>
                </c:pt>
                <c:pt idx="49">
                  <c:v>0.096416865246004</c:v>
                </c:pt>
                <c:pt idx="50">
                  <c:v>0.157149191015239</c:v>
                </c:pt>
                <c:pt idx="51">
                  <c:v>0.0779718251751718</c:v>
                </c:pt>
                <c:pt idx="52">
                  <c:v>0.0430309703396812</c:v>
                </c:pt>
                <c:pt idx="53">
                  <c:v>0.0485184574973244</c:v>
                </c:pt>
                <c:pt idx="54">
                  <c:v>0.150495276289828</c:v>
                </c:pt>
                <c:pt idx="55">
                  <c:v>0.314144340723298</c:v>
                </c:pt>
                <c:pt idx="56">
                  <c:v>0.243876456192661</c:v>
                </c:pt>
                <c:pt idx="57">
                  <c:v>0.978782752195758</c:v>
                </c:pt>
                <c:pt idx="58">
                  <c:v>0.402243645126334</c:v>
                </c:pt>
                <c:pt idx="59">
                  <c:v>0.0201102129803172</c:v>
                </c:pt>
                <c:pt idx="60">
                  <c:v>0.0360448829017399</c:v>
                </c:pt>
                <c:pt idx="61">
                  <c:v>0.221611987301753</c:v>
                </c:pt>
                <c:pt idx="62">
                  <c:v>0.301116601224035</c:v>
                </c:pt>
                <c:pt idx="63">
                  <c:v>0.135149721950271</c:v>
                </c:pt>
                <c:pt idx="64">
                  <c:v>0.334803805515406</c:v>
                </c:pt>
                <c:pt idx="65">
                  <c:v>0.224151564380666</c:v>
                </c:pt>
                <c:pt idx="66">
                  <c:v>0.0455891613601454</c:v>
                </c:pt>
                <c:pt idx="67">
                  <c:v>0.0276579492027752</c:v>
                </c:pt>
                <c:pt idx="68">
                  <c:v>0.309628581368273</c:v>
                </c:pt>
                <c:pt idx="69">
                  <c:v>0.243861292665036</c:v>
                </c:pt>
                <c:pt idx="70">
                  <c:v>0.136153594252803</c:v>
                </c:pt>
                <c:pt idx="71">
                  <c:v>0.586186648865088</c:v>
                </c:pt>
                <c:pt idx="72">
                  <c:v>0.356796996714743</c:v>
                </c:pt>
                <c:pt idx="73">
                  <c:v>0.0824826237225279</c:v>
                </c:pt>
                <c:pt idx="74">
                  <c:v>0.11169378140343</c:v>
                </c:pt>
                <c:pt idx="75">
                  <c:v>0.281214052161232</c:v>
                </c:pt>
                <c:pt idx="76">
                  <c:v>0.30823150590972</c:v>
                </c:pt>
                <c:pt idx="77">
                  <c:v>0.0737033270452265</c:v>
                </c:pt>
                <c:pt idx="78">
                  <c:v>0.317294362555306</c:v>
                </c:pt>
                <c:pt idx="79">
                  <c:v>0.131349458256809</c:v>
                </c:pt>
                <c:pt idx="80">
                  <c:v>0.0407390956507698</c:v>
                </c:pt>
                <c:pt idx="81">
                  <c:v>0.0560425120724274</c:v>
                </c:pt>
                <c:pt idx="82">
                  <c:v>0.0926400918604967</c:v>
                </c:pt>
                <c:pt idx="83">
                  <c:v>0.189197652201346</c:v>
                </c:pt>
                <c:pt idx="84">
                  <c:v>0.232213209286384</c:v>
                </c:pt>
                <c:pt idx="85">
                  <c:v>0.162272477968462</c:v>
                </c:pt>
                <c:pt idx="86">
                  <c:v>0.373780348415168</c:v>
                </c:pt>
                <c:pt idx="87">
                  <c:v>0.231102914477237</c:v>
                </c:pt>
                <c:pt idx="88">
                  <c:v>0.187486210259436</c:v>
                </c:pt>
                <c:pt idx="89">
                  <c:v>0.431693376070972</c:v>
                </c:pt>
                <c:pt idx="90">
                  <c:v>0.306147895331843</c:v>
                </c:pt>
                <c:pt idx="91">
                  <c:v>0.203977160963729</c:v>
                </c:pt>
                <c:pt idx="92">
                  <c:v>0.296002626048286</c:v>
                </c:pt>
                <c:pt idx="93">
                  <c:v>0.0674585645784126</c:v>
                </c:pt>
                <c:pt idx="94">
                  <c:v>0.103347919347274</c:v>
                </c:pt>
                <c:pt idx="95">
                  <c:v>0.0234764554728173</c:v>
                </c:pt>
                <c:pt idx="96">
                  <c:v>0.335400405102406</c:v>
                </c:pt>
                <c:pt idx="97">
                  <c:v>0.148618736219529</c:v>
                </c:pt>
                <c:pt idx="98">
                  <c:v>0.0539215155843747</c:v>
                </c:pt>
                <c:pt idx="99">
                  <c:v>0.220084521076475</c:v>
                </c:pt>
                <c:pt idx="100">
                  <c:v>0.223506701072734</c:v>
                </c:pt>
                <c:pt idx="101">
                  <c:v>0.0363830289748586</c:v>
                </c:pt>
                <c:pt idx="102">
                  <c:v>0.0717149350251673</c:v>
                </c:pt>
                <c:pt idx="103">
                  <c:v>0.230268947249864</c:v>
                </c:pt>
                <c:pt idx="104">
                  <c:v>0.29217417266764</c:v>
                </c:pt>
                <c:pt idx="105">
                  <c:v>0.120755222114902</c:v>
                </c:pt>
                <c:pt idx="106">
                  <c:v>0.197581535624319</c:v>
                </c:pt>
                <c:pt idx="107">
                  <c:v>0.117147996900866</c:v>
                </c:pt>
                <c:pt idx="108">
                  <c:v>0.0500770359661178</c:v>
                </c:pt>
                <c:pt idx="109">
                  <c:v>0.0219604064386033</c:v>
                </c:pt>
                <c:pt idx="110">
                  <c:v>0.0743371248924309</c:v>
                </c:pt>
                <c:pt idx="111">
                  <c:v>0.277482738908776</c:v>
                </c:pt>
                <c:pt idx="112">
                  <c:v>0.215425512062112</c:v>
                </c:pt>
                <c:pt idx="113">
                  <c:v>0.289675070913987</c:v>
                </c:pt>
                <c:pt idx="114">
                  <c:v>0.494713928814711</c:v>
                </c:pt>
                <c:pt idx="115">
                  <c:v>0.100149611020736</c:v>
                </c:pt>
                <c:pt idx="116">
                  <c:v>0.0971945049804183</c:v>
                </c:pt>
                <c:pt idx="117">
                  <c:v>0.427414635298742</c:v>
                </c:pt>
                <c:pt idx="118">
                  <c:v>1.00790924875488</c:v>
                </c:pt>
                <c:pt idx="119">
                  <c:v>0.483691842592992</c:v>
                </c:pt>
                <c:pt idx="120">
                  <c:v>0.125615066336553</c:v>
                </c:pt>
                <c:pt idx="121">
                  <c:v>0.374320674410333</c:v>
                </c:pt>
                <c:pt idx="122">
                  <c:v>0.0650718777384282</c:v>
                </c:pt>
                <c:pt idx="123">
                  <c:v>0.0458819327660516</c:v>
                </c:pt>
                <c:pt idx="124">
                  <c:v>0.111566641954966</c:v>
                </c:pt>
                <c:pt idx="125">
                  <c:v>0.17114027078625</c:v>
                </c:pt>
                <c:pt idx="126">
                  <c:v>0.280164042114191</c:v>
                </c:pt>
                <c:pt idx="127">
                  <c:v>0.208187016051597</c:v>
                </c:pt>
                <c:pt idx="128">
                  <c:v>0.265185344408914</c:v>
                </c:pt>
                <c:pt idx="129">
                  <c:v>0.102676231057755</c:v>
                </c:pt>
                <c:pt idx="130">
                  <c:v>0.0741403748236999</c:v>
                </c:pt>
                <c:pt idx="131">
                  <c:v>0.28489194317142</c:v>
                </c:pt>
                <c:pt idx="132">
                  <c:v>0.178255379205185</c:v>
                </c:pt>
                <c:pt idx="133">
                  <c:v>0.149505856608139</c:v>
                </c:pt>
                <c:pt idx="134">
                  <c:v>0.271024384679059</c:v>
                </c:pt>
                <c:pt idx="135">
                  <c:v>0.184730044475381</c:v>
                </c:pt>
                <c:pt idx="136">
                  <c:v>0.0913615501166192</c:v>
                </c:pt>
                <c:pt idx="137">
                  <c:v>0.0720478157856321</c:v>
                </c:pt>
                <c:pt idx="138">
                  <c:v>0.3084836375975</c:v>
                </c:pt>
                <c:pt idx="139">
                  <c:v>0.360682719234318</c:v>
                </c:pt>
                <c:pt idx="140">
                  <c:v>0.147092705368879</c:v>
                </c:pt>
                <c:pt idx="141">
                  <c:v>0.307196821270867</c:v>
                </c:pt>
                <c:pt idx="142">
                  <c:v>0.0742969646560739</c:v>
                </c:pt>
                <c:pt idx="143">
                  <c:v>0.0974114770485888</c:v>
                </c:pt>
                <c:pt idx="144">
                  <c:v>0.0416452975616319</c:v>
                </c:pt>
                <c:pt idx="145">
                  <c:v>0.196954799578397</c:v>
                </c:pt>
                <c:pt idx="146">
                  <c:v>0.291799315256519</c:v>
                </c:pt>
                <c:pt idx="147">
                  <c:v>0.300617824550225</c:v>
                </c:pt>
                <c:pt idx="148">
                  <c:v>0.945245350111864</c:v>
                </c:pt>
                <c:pt idx="149">
                  <c:v>0.505443440637997</c:v>
                </c:pt>
                <c:pt idx="150">
                  <c:v>0.218463200636965</c:v>
                </c:pt>
                <c:pt idx="151">
                  <c:v>0.0366095780685283</c:v>
                </c:pt>
                <c:pt idx="152">
                  <c:v>0.144476258044346</c:v>
                </c:pt>
                <c:pt idx="153">
                  <c:v>0.330450813333509</c:v>
                </c:pt>
                <c:pt idx="154">
                  <c:v>0.197255062217141</c:v>
                </c:pt>
                <c:pt idx="155">
                  <c:v>0.129214058983394</c:v>
                </c:pt>
                <c:pt idx="156">
                  <c:v>0.137130467094694</c:v>
                </c:pt>
                <c:pt idx="157">
                  <c:v>0.0572302578522421</c:v>
                </c:pt>
                <c:pt idx="158">
                  <c:v>0.0689811998199498</c:v>
                </c:pt>
                <c:pt idx="159">
                  <c:v>0.239974065989532</c:v>
                </c:pt>
                <c:pt idx="160">
                  <c:v>0.57522183504312</c:v>
                </c:pt>
                <c:pt idx="161">
                  <c:v>0.153421763851718</c:v>
                </c:pt>
                <c:pt idx="162">
                  <c:v>0.223048170211484</c:v>
                </c:pt>
                <c:pt idx="163">
                  <c:v>0.188209205914536</c:v>
                </c:pt>
                <c:pt idx="164">
                  <c:v>0.14163546348804</c:v>
                </c:pt>
                <c:pt idx="165">
                  <c:v>0.0505670523181465</c:v>
                </c:pt>
                <c:pt idx="166">
                  <c:v>0.613699851778749</c:v>
                </c:pt>
                <c:pt idx="167">
                  <c:v>0.355436402913197</c:v>
                </c:pt>
                <c:pt idx="168">
                  <c:v>0.215336504050188</c:v>
                </c:pt>
                <c:pt idx="169">
                  <c:v>0.225927859003358</c:v>
                </c:pt>
                <c:pt idx="170">
                  <c:v>0.31858453564561</c:v>
                </c:pt>
                <c:pt idx="171">
                  <c:v>0.0459891502797747</c:v>
                </c:pt>
                <c:pt idx="172">
                  <c:v>0.0236285006676548</c:v>
                </c:pt>
                <c:pt idx="173">
                  <c:v>0.270839251699271</c:v>
                </c:pt>
                <c:pt idx="174">
                  <c:v>0.21972077677729</c:v>
                </c:pt>
                <c:pt idx="175">
                  <c:v>0.319052276712313</c:v>
                </c:pt>
                <c:pt idx="176">
                  <c:v>0.238635161395427</c:v>
                </c:pt>
                <c:pt idx="177">
                  <c:v>0.400489229192995</c:v>
                </c:pt>
                <c:pt idx="178">
                  <c:v>0.141712241719291</c:v>
                </c:pt>
                <c:pt idx="179">
                  <c:v>0.167513600006027</c:v>
                </c:pt>
                <c:pt idx="180">
                  <c:v>1.10080940592847</c:v>
                </c:pt>
                <c:pt idx="181">
                  <c:v>0.19808389522322</c:v>
                </c:pt>
                <c:pt idx="182">
                  <c:v>0.243068938352517</c:v>
                </c:pt>
                <c:pt idx="183">
                  <c:v>0.419595507673565</c:v>
                </c:pt>
                <c:pt idx="184">
                  <c:v>0.204105665509755</c:v>
                </c:pt>
                <c:pt idx="185">
                  <c:v>0.105951644007811</c:v>
                </c:pt>
                <c:pt idx="186">
                  <c:v>0.0689775851698152</c:v>
                </c:pt>
                <c:pt idx="187">
                  <c:v>0.297387957139437</c:v>
                </c:pt>
                <c:pt idx="188">
                  <c:v>0.424105023011738</c:v>
                </c:pt>
                <c:pt idx="189">
                  <c:v>0.240037569736364</c:v>
                </c:pt>
                <c:pt idx="190">
                  <c:v>0.334722376803569</c:v>
                </c:pt>
                <c:pt idx="191">
                  <c:v>0.265474891755742</c:v>
                </c:pt>
                <c:pt idx="192">
                  <c:v>0.0455991765742495</c:v>
                </c:pt>
                <c:pt idx="193">
                  <c:v>0.0232267752849798</c:v>
                </c:pt>
                <c:pt idx="194">
                  <c:v>0.344866978949203</c:v>
                </c:pt>
                <c:pt idx="195">
                  <c:v>0.34240099125883</c:v>
                </c:pt>
                <c:pt idx="196">
                  <c:v>0.301893950432498</c:v>
                </c:pt>
                <c:pt idx="197">
                  <c:v>0.136647935490911</c:v>
                </c:pt>
                <c:pt idx="198">
                  <c:v>0.0703307919757782</c:v>
                </c:pt>
                <c:pt idx="199">
                  <c:v>0.036636683990482</c:v>
                </c:pt>
                <c:pt idx="200">
                  <c:v>0.0762897215626939</c:v>
                </c:pt>
                <c:pt idx="201">
                  <c:v>0.128446019280413</c:v>
                </c:pt>
                <c:pt idx="202">
                  <c:v>0.406094581907552</c:v>
                </c:pt>
                <c:pt idx="203">
                  <c:v>0.283721124511597</c:v>
                </c:pt>
                <c:pt idx="204">
                  <c:v>0.465566167321671</c:v>
                </c:pt>
                <c:pt idx="205">
                  <c:v>0.0930572514841423</c:v>
                </c:pt>
                <c:pt idx="206">
                  <c:v>0.166886917221914</c:v>
                </c:pt>
                <c:pt idx="207">
                  <c:v>0.103694754574578</c:v>
                </c:pt>
                <c:pt idx="208">
                  <c:v>0.4637441577743</c:v>
                </c:pt>
                <c:pt idx="209">
                  <c:v>0.90504992225619</c:v>
                </c:pt>
                <c:pt idx="210">
                  <c:v>0.860020946248398</c:v>
                </c:pt>
                <c:pt idx="211">
                  <c:v>0.480514097516087</c:v>
                </c:pt>
                <c:pt idx="212">
                  <c:v>0.384539301313683</c:v>
                </c:pt>
                <c:pt idx="213">
                  <c:v>0.0612653404045294</c:v>
                </c:pt>
                <c:pt idx="214">
                  <c:v>0.053363461465569</c:v>
                </c:pt>
                <c:pt idx="215">
                  <c:v>0.192051505100759</c:v>
                </c:pt>
                <c:pt idx="216">
                  <c:v>0.531586186540988</c:v>
                </c:pt>
                <c:pt idx="217">
                  <c:v>0.10152255849393</c:v>
                </c:pt>
                <c:pt idx="218">
                  <c:v>0.330397373933932</c:v>
                </c:pt>
                <c:pt idx="219">
                  <c:v>0.425824746171333</c:v>
                </c:pt>
                <c:pt idx="220">
                  <c:v>0.147922142592235</c:v>
                </c:pt>
                <c:pt idx="221">
                  <c:v>0.0377591231595411</c:v>
                </c:pt>
                <c:pt idx="222">
                  <c:v>0.171126312144186</c:v>
                </c:pt>
                <c:pt idx="223">
                  <c:v>0.360365271697454</c:v>
                </c:pt>
                <c:pt idx="224">
                  <c:v>0.0807403639620804</c:v>
                </c:pt>
                <c:pt idx="225">
                  <c:v>0.261270281699421</c:v>
                </c:pt>
                <c:pt idx="226">
                  <c:v>0.262093981809179</c:v>
                </c:pt>
                <c:pt idx="227">
                  <c:v>0.0938629013764398</c:v>
                </c:pt>
                <c:pt idx="228">
                  <c:v>0.0545753001567188</c:v>
                </c:pt>
                <c:pt idx="229">
                  <c:v>0.463198162695481</c:v>
                </c:pt>
                <c:pt idx="230">
                  <c:v>0.378010255890986</c:v>
                </c:pt>
                <c:pt idx="231">
                  <c:v>0.263966580228174</c:v>
                </c:pt>
                <c:pt idx="232">
                  <c:v>0.327338472256773</c:v>
                </c:pt>
                <c:pt idx="233">
                  <c:v>0.1925342463815</c:v>
                </c:pt>
                <c:pt idx="234">
                  <c:v>0.116487538196901</c:v>
                </c:pt>
                <c:pt idx="235">
                  <c:v>0.0992165872979674</c:v>
                </c:pt>
                <c:pt idx="236">
                  <c:v>0.319154973971164</c:v>
                </c:pt>
                <c:pt idx="237">
                  <c:v>0.284990266997694</c:v>
                </c:pt>
                <c:pt idx="238">
                  <c:v>0.484326423142945</c:v>
                </c:pt>
                <c:pt idx="239">
                  <c:v>0.723049160710063</c:v>
                </c:pt>
                <c:pt idx="240">
                  <c:v>1.04077901432599</c:v>
                </c:pt>
                <c:pt idx="241">
                  <c:v>0.382227250252724</c:v>
                </c:pt>
                <c:pt idx="242">
                  <c:v>0.273504915629657</c:v>
                </c:pt>
                <c:pt idx="243">
                  <c:v>0.209527568003275</c:v>
                </c:pt>
                <c:pt idx="244">
                  <c:v>0.280164941881275</c:v>
                </c:pt>
                <c:pt idx="245">
                  <c:v>0.20757362269791</c:v>
                </c:pt>
                <c:pt idx="246">
                  <c:v>0.501247700206537</c:v>
                </c:pt>
                <c:pt idx="247">
                  <c:v>0.141593501967106</c:v>
                </c:pt>
                <c:pt idx="248">
                  <c:v>0.0891633366119686</c:v>
                </c:pt>
                <c:pt idx="249">
                  <c:v>0.0280497702868763</c:v>
                </c:pt>
                <c:pt idx="250">
                  <c:v>0.179195693650071</c:v>
                </c:pt>
                <c:pt idx="251">
                  <c:v>0.246738570431557</c:v>
                </c:pt>
                <c:pt idx="252">
                  <c:v>0.430567305515362</c:v>
                </c:pt>
                <c:pt idx="253">
                  <c:v>0.554303368175558</c:v>
                </c:pt>
                <c:pt idx="254">
                  <c:v>0.503918392269078</c:v>
                </c:pt>
                <c:pt idx="255">
                  <c:v>0.136265724424797</c:v>
                </c:pt>
                <c:pt idx="256">
                  <c:v>0.137058708064855</c:v>
                </c:pt>
                <c:pt idx="257">
                  <c:v>0.413620106576512</c:v>
                </c:pt>
                <c:pt idx="258">
                  <c:v>0.871668307160814</c:v>
                </c:pt>
                <c:pt idx="259">
                  <c:v>0.216598388817988</c:v>
                </c:pt>
                <c:pt idx="260">
                  <c:v>0.435321005322792</c:v>
                </c:pt>
                <c:pt idx="261">
                  <c:v>0.0989842879209918</c:v>
                </c:pt>
                <c:pt idx="262">
                  <c:v>0.125367852108762</c:v>
                </c:pt>
                <c:pt idx="263">
                  <c:v>0.0512029716472209</c:v>
                </c:pt>
                <c:pt idx="264">
                  <c:v>0.253072434711743</c:v>
                </c:pt>
                <c:pt idx="265">
                  <c:v>0.295630223878852</c:v>
                </c:pt>
                <c:pt idx="266">
                  <c:v>0.248186671012706</c:v>
                </c:pt>
                <c:pt idx="267">
                  <c:v>0.578170915131412</c:v>
                </c:pt>
                <c:pt idx="268">
                  <c:v>0.314740069091167</c:v>
                </c:pt>
                <c:pt idx="269">
                  <c:v>0.160654523558887</c:v>
                </c:pt>
                <c:pt idx="270">
                  <c:v>0.272825190960017</c:v>
                </c:pt>
                <c:pt idx="271">
                  <c:v>0.876079641334093</c:v>
                </c:pt>
                <c:pt idx="272">
                  <c:v>0.428709206579815</c:v>
                </c:pt>
                <c:pt idx="273">
                  <c:v>0.195906665146689</c:v>
                </c:pt>
                <c:pt idx="274">
                  <c:v>0.268786305062855</c:v>
                </c:pt>
                <c:pt idx="275">
                  <c:v>0.339757001851081</c:v>
                </c:pt>
                <c:pt idx="276">
                  <c:v>0.0689126174784131</c:v>
                </c:pt>
                <c:pt idx="277">
                  <c:v>0.0241896592591056</c:v>
                </c:pt>
                <c:pt idx="278">
                  <c:v>0.145318525054836</c:v>
                </c:pt>
                <c:pt idx="279">
                  <c:v>0.375306937683957</c:v>
                </c:pt>
                <c:pt idx="280">
                  <c:v>0.383356391020204</c:v>
                </c:pt>
                <c:pt idx="281">
                  <c:v>0.510713642651404</c:v>
                </c:pt>
                <c:pt idx="282">
                  <c:v>0.436125590411842</c:v>
                </c:pt>
                <c:pt idx="283">
                  <c:v>0.0519464265482722</c:v>
                </c:pt>
                <c:pt idx="284">
                  <c:v>0.096152226376909</c:v>
                </c:pt>
                <c:pt idx="285">
                  <c:v>0.115648914152972</c:v>
                </c:pt>
                <c:pt idx="286">
                  <c:v>0.360945352810114</c:v>
                </c:pt>
                <c:pt idx="287">
                  <c:v>0.152494040365323</c:v>
                </c:pt>
                <c:pt idx="288">
                  <c:v>0.289393024912594</c:v>
                </c:pt>
                <c:pt idx="289">
                  <c:v>0.395425179178</c:v>
                </c:pt>
                <c:pt idx="290">
                  <c:v>0.031578095149247</c:v>
                </c:pt>
                <c:pt idx="291">
                  <c:v>0.0825794571850202</c:v>
                </c:pt>
                <c:pt idx="292">
                  <c:v>0.465403546756087</c:v>
                </c:pt>
                <c:pt idx="293">
                  <c:v>0.430490078259377</c:v>
                </c:pt>
                <c:pt idx="294">
                  <c:v>0.337290518843223</c:v>
                </c:pt>
                <c:pt idx="295">
                  <c:v>0.530858958098463</c:v>
                </c:pt>
                <c:pt idx="296">
                  <c:v>0.0987026845271734</c:v>
                </c:pt>
                <c:pt idx="297">
                  <c:v>0.143628009073265</c:v>
                </c:pt>
                <c:pt idx="298">
                  <c:v>0.114195409980434</c:v>
                </c:pt>
                <c:pt idx="299">
                  <c:v>0.577199240850086</c:v>
                </c:pt>
                <c:pt idx="300">
                  <c:v>0.563017537155606</c:v>
                </c:pt>
                <c:pt idx="301">
                  <c:v>1.05487646593383</c:v>
                </c:pt>
                <c:pt idx="302">
                  <c:v>1.44764105562726</c:v>
                </c:pt>
                <c:pt idx="303">
                  <c:v>0.704060442596357</c:v>
                </c:pt>
                <c:pt idx="304">
                  <c:v>0.177714463484965</c:v>
                </c:pt>
                <c:pt idx="305">
                  <c:v>0.0443030229600732</c:v>
                </c:pt>
                <c:pt idx="306">
                  <c:v>0.476653548665448</c:v>
                </c:pt>
                <c:pt idx="307">
                  <c:v>0.210148638651023</c:v>
                </c:pt>
                <c:pt idx="308">
                  <c:v>0.26722359232791</c:v>
                </c:pt>
                <c:pt idx="309">
                  <c:v>0.569851819254314</c:v>
                </c:pt>
                <c:pt idx="310">
                  <c:v>0.557173359596738</c:v>
                </c:pt>
                <c:pt idx="311">
                  <c:v>0.14368280861463</c:v>
                </c:pt>
                <c:pt idx="312">
                  <c:v>0.0763890113707179</c:v>
                </c:pt>
                <c:pt idx="313">
                  <c:v>0.78971495309834</c:v>
                </c:pt>
                <c:pt idx="314">
                  <c:v>0.369114953815919</c:v>
                </c:pt>
                <c:pt idx="315">
                  <c:v>0.403586572161463</c:v>
                </c:pt>
                <c:pt idx="316">
                  <c:v>1.14511535868766</c:v>
                </c:pt>
                <c:pt idx="317">
                  <c:v>0.774773420725531</c:v>
                </c:pt>
                <c:pt idx="318">
                  <c:v>0.317087719727849</c:v>
                </c:pt>
                <c:pt idx="319">
                  <c:v>0.111980023307875</c:v>
                </c:pt>
                <c:pt idx="320">
                  <c:v>0.327181182176136</c:v>
                </c:pt>
                <c:pt idx="321">
                  <c:v>0.609244646510311</c:v>
                </c:pt>
                <c:pt idx="322">
                  <c:v>0.103636531113681</c:v>
                </c:pt>
                <c:pt idx="323">
                  <c:v>0.342432213887089</c:v>
                </c:pt>
                <c:pt idx="324">
                  <c:v>0.548732725274513</c:v>
                </c:pt>
                <c:pt idx="325">
                  <c:v>0.142290061592977</c:v>
                </c:pt>
                <c:pt idx="326">
                  <c:v>0.117113589428441</c:v>
                </c:pt>
                <c:pt idx="327">
                  <c:v>0.492827148202789</c:v>
                </c:pt>
                <c:pt idx="328">
                  <c:v>0.335240025344006</c:v>
                </c:pt>
                <c:pt idx="329">
                  <c:v>0.322507629214181</c:v>
                </c:pt>
                <c:pt idx="330">
                  <c:v>0.553780727253239</c:v>
                </c:pt>
                <c:pt idx="331">
                  <c:v>0.739381493672856</c:v>
                </c:pt>
                <c:pt idx="332">
                  <c:v>0.173273035026619</c:v>
                </c:pt>
                <c:pt idx="333">
                  <c:v>0.0915457248527112</c:v>
                </c:pt>
                <c:pt idx="334">
                  <c:v>0.492968726241696</c:v>
                </c:pt>
                <c:pt idx="335">
                  <c:v>0.48275784157493</c:v>
                </c:pt>
                <c:pt idx="336">
                  <c:v>0.316360256200649</c:v>
                </c:pt>
                <c:pt idx="337">
                  <c:v>0.303657164119775</c:v>
                </c:pt>
                <c:pt idx="338">
                  <c:v>0.252954820800978</c:v>
                </c:pt>
                <c:pt idx="339">
                  <c:v>0.0785084831599446</c:v>
                </c:pt>
                <c:pt idx="340">
                  <c:v>0.031012381324205</c:v>
                </c:pt>
                <c:pt idx="341">
                  <c:v>0.521182804946415</c:v>
                </c:pt>
                <c:pt idx="342">
                  <c:v>0.4618119018344</c:v>
                </c:pt>
                <c:pt idx="343">
                  <c:v>0.102203073210147</c:v>
                </c:pt>
                <c:pt idx="344">
                  <c:v>0.549090788445757</c:v>
                </c:pt>
                <c:pt idx="345">
                  <c:v>0.157850053086231</c:v>
                </c:pt>
                <c:pt idx="346">
                  <c:v>0.137296253747061</c:v>
                </c:pt>
                <c:pt idx="347">
                  <c:v>0.0559558962354279</c:v>
                </c:pt>
                <c:pt idx="348">
                  <c:v>0.462757270528613</c:v>
                </c:pt>
                <c:pt idx="349">
                  <c:v>0.121381277875196</c:v>
                </c:pt>
                <c:pt idx="350">
                  <c:v>0.127017097154302</c:v>
                </c:pt>
                <c:pt idx="351">
                  <c:v>0.275559034843083</c:v>
                </c:pt>
                <c:pt idx="352">
                  <c:v>0.451139476378696</c:v>
                </c:pt>
                <c:pt idx="353">
                  <c:v>0.147953727086742</c:v>
                </c:pt>
                <c:pt idx="354">
                  <c:v>0.0735556652561553</c:v>
                </c:pt>
                <c:pt idx="355">
                  <c:v>0.277488422040851</c:v>
                </c:pt>
                <c:pt idx="356">
                  <c:v>0.563345233092873</c:v>
                </c:pt>
                <c:pt idx="357">
                  <c:v>0.287520163430738</c:v>
                </c:pt>
                <c:pt idx="358">
                  <c:v>0.531736741935522</c:v>
                </c:pt>
                <c:pt idx="359">
                  <c:v>0.624930177837888</c:v>
                </c:pt>
                <c:pt idx="360">
                  <c:v>0.206714132480382</c:v>
                </c:pt>
                <c:pt idx="361">
                  <c:v>0.0539850380743507</c:v>
                </c:pt>
                <c:pt idx="362">
                  <c:v>1.78404670560051</c:v>
                </c:pt>
                <c:pt idx="363">
                  <c:v>1.85626373329951</c:v>
                </c:pt>
                <c:pt idx="364">
                  <c:v>1.10079565815698</c:v>
                </c:pt>
              </c:numCache>
            </c:numRef>
          </c:val>
          <c:smooth val="0"/>
        </c:ser>
        <c:ser>
          <c:idx val="1"/>
          <c:order val="1"/>
          <c:tx>
            <c:v>7 日移动均值</c:v>
          </c:tx>
          <c:spPr>
            <a:solidFill xmlns:a="http://schemas.openxmlformats.org/drawingml/2006/main">
              <a:srgbClr val="20263D"/>
            </a:solidFill>
            <a:ln xmlns:a="http://schemas.openxmlformats.org/drawingml/2006/main" w="24765">
              <a:solidFill>
                <a:srgbClr val="20263D"/>
              </a:solidFill>
              <a:prstDash val="solid"/>
            </a:ln>
          </c:spPr>
          <c:marker>
            <c:symbol val="none"/>
          </c:marker>
          <c:cat>
            <c:strRef>
              <c:f>'经营总览'!$I$104:$I$468</c:f>
              <c:strCache>
                <c:ptCount val="365"/>
                <c:pt idx="0">
                  <c:v>1/1</c:v>
                </c:pt>
                <c:pt idx="1">
                  <c:v>1/2</c:v>
                </c:pt>
                <c:pt idx="2">
                  <c:v>1/3</c:v>
                </c:pt>
                <c:pt idx="3">
                  <c:v>1/4</c:v>
                </c:pt>
                <c:pt idx="4">
                  <c:v>1/5</c:v>
                </c:pt>
                <c:pt idx="5">
                  <c:v>1/6</c:v>
                </c:pt>
                <c:pt idx="6">
                  <c:v>1/7</c:v>
                </c:pt>
                <c:pt idx="7">
                  <c:v>1/8</c:v>
                </c:pt>
                <c:pt idx="8">
                  <c:v>1/9</c:v>
                </c:pt>
                <c:pt idx="9">
                  <c:v>1/10</c:v>
                </c:pt>
                <c:pt idx="10">
                  <c:v>1/11</c:v>
                </c:pt>
                <c:pt idx="11">
                  <c:v>1/12</c:v>
                </c:pt>
                <c:pt idx="12">
                  <c:v>1/13</c:v>
                </c:pt>
                <c:pt idx="13">
                  <c:v>1/14</c:v>
                </c:pt>
                <c:pt idx="14">
                  <c:v>1/15</c:v>
                </c:pt>
                <c:pt idx="15">
                  <c:v>1/16</c:v>
                </c:pt>
                <c:pt idx="16">
                  <c:v>1/17</c:v>
                </c:pt>
                <c:pt idx="17">
                  <c:v>1/18</c:v>
                </c:pt>
                <c:pt idx="18">
                  <c:v>1/19</c:v>
                </c:pt>
                <c:pt idx="19">
                  <c:v>1/20</c:v>
                </c:pt>
                <c:pt idx="20">
                  <c:v>1/21</c:v>
                </c:pt>
                <c:pt idx="21">
                  <c:v>1/22</c:v>
                </c:pt>
                <c:pt idx="22">
                  <c:v>1/23</c:v>
                </c:pt>
                <c:pt idx="23">
                  <c:v>1/24</c:v>
                </c:pt>
                <c:pt idx="24">
                  <c:v>1/25</c:v>
                </c:pt>
                <c:pt idx="25">
                  <c:v>1/26</c:v>
                </c:pt>
                <c:pt idx="26">
                  <c:v>1/27</c:v>
                </c:pt>
                <c:pt idx="27">
                  <c:v>1/28</c:v>
                </c:pt>
                <c:pt idx="28">
                  <c:v>1/29</c:v>
                </c:pt>
                <c:pt idx="29">
                  <c:v>1/30</c:v>
                </c:pt>
                <c:pt idx="30">
                  <c:v>1/31</c:v>
                </c:pt>
                <c:pt idx="31">
                  <c:v>2/1</c:v>
                </c:pt>
                <c:pt idx="32">
                  <c:v>2/2</c:v>
                </c:pt>
                <c:pt idx="33">
                  <c:v>2/3</c:v>
                </c:pt>
                <c:pt idx="34">
                  <c:v>2/4</c:v>
                </c:pt>
                <c:pt idx="35">
                  <c:v>2/5</c:v>
                </c:pt>
                <c:pt idx="36">
                  <c:v>2/6</c:v>
                </c:pt>
                <c:pt idx="37">
                  <c:v>2/7</c:v>
                </c:pt>
                <c:pt idx="38">
                  <c:v>2/8</c:v>
                </c:pt>
                <c:pt idx="39">
                  <c:v>2/9</c:v>
                </c:pt>
                <c:pt idx="40">
                  <c:v>2/10</c:v>
                </c:pt>
                <c:pt idx="41">
                  <c:v>2/11</c:v>
                </c:pt>
                <c:pt idx="42">
                  <c:v>2/12</c:v>
                </c:pt>
                <c:pt idx="43">
                  <c:v>2/13</c:v>
                </c:pt>
                <c:pt idx="44">
                  <c:v>2/14</c:v>
                </c:pt>
                <c:pt idx="45">
                  <c:v>2/15</c:v>
                </c:pt>
                <c:pt idx="46">
                  <c:v>2/16</c:v>
                </c:pt>
                <c:pt idx="47">
                  <c:v>2/17</c:v>
                </c:pt>
                <c:pt idx="48">
                  <c:v>2/18</c:v>
                </c:pt>
                <c:pt idx="49">
                  <c:v>2/19</c:v>
                </c:pt>
                <c:pt idx="50">
                  <c:v>2/20</c:v>
                </c:pt>
                <c:pt idx="51">
                  <c:v>2/21</c:v>
                </c:pt>
                <c:pt idx="52">
                  <c:v>2/22</c:v>
                </c:pt>
                <c:pt idx="53">
                  <c:v>2/23</c:v>
                </c:pt>
                <c:pt idx="54">
                  <c:v>2/24</c:v>
                </c:pt>
                <c:pt idx="55">
                  <c:v>2/25</c:v>
                </c:pt>
                <c:pt idx="56">
                  <c:v>2/26</c:v>
                </c:pt>
                <c:pt idx="57">
                  <c:v>2/27</c:v>
                </c:pt>
                <c:pt idx="58">
                  <c:v>2/28</c:v>
                </c:pt>
                <c:pt idx="59">
                  <c:v>3/1</c:v>
                </c:pt>
                <c:pt idx="60">
                  <c:v>3/2</c:v>
                </c:pt>
                <c:pt idx="61">
                  <c:v>3/3</c:v>
                </c:pt>
                <c:pt idx="62">
                  <c:v>3/4</c:v>
                </c:pt>
                <c:pt idx="63">
                  <c:v>3/5</c:v>
                </c:pt>
                <c:pt idx="64">
                  <c:v>3/6</c:v>
                </c:pt>
                <c:pt idx="65">
                  <c:v>3/7</c:v>
                </c:pt>
                <c:pt idx="66">
                  <c:v>3/8</c:v>
                </c:pt>
                <c:pt idx="67">
                  <c:v>3/9</c:v>
                </c:pt>
                <c:pt idx="68">
                  <c:v>3/10</c:v>
                </c:pt>
                <c:pt idx="69">
                  <c:v>3/11</c:v>
                </c:pt>
                <c:pt idx="70">
                  <c:v>3/12</c:v>
                </c:pt>
                <c:pt idx="71">
                  <c:v>3/13</c:v>
                </c:pt>
                <c:pt idx="72">
                  <c:v>3/14</c:v>
                </c:pt>
                <c:pt idx="73">
                  <c:v>3/15</c:v>
                </c:pt>
                <c:pt idx="74">
                  <c:v>3/16</c:v>
                </c:pt>
                <c:pt idx="75">
                  <c:v>3/17</c:v>
                </c:pt>
                <c:pt idx="76">
                  <c:v>3/18</c:v>
                </c:pt>
                <c:pt idx="77">
                  <c:v>3/19</c:v>
                </c:pt>
                <c:pt idx="78">
                  <c:v>3/20</c:v>
                </c:pt>
                <c:pt idx="79">
                  <c:v>3/21</c:v>
                </c:pt>
                <c:pt idx="80">
                  <c:v>3/22</c:v>
                </c:pt>
                <c:pt idx="81">
                  <c:v>3/23</c:v>
                </c:pt>
                <c:pt idx="82">
                  <c:v>3/24</c:v>
                </c:pt>
                <c:pt idx="83">
                  <c:v>3/25</c:v>
                </c:pt>
                <c:pt idx="84">
                  <c:v>3/26</c:v>
                </c:pt>
                <c:pt idx="85">
                  <c:v>3/27</c:v>
                </c:pt>
                <c:pt idx="86">
                  <c:v>3/28</c:v>
                </c:pt>
                <c:pt idx="87">
                  <c:v>3/29</c:v>
                </c:pt>
                <c:pt idx="88">
                  <c:v>3/30</c:v>
                </c:pt>
                <c:pt idx="89">
                  <c:v>3/31</c:v>
                </c:pt>
                <c:pt idx="90">
                  <c:v>4/1</c:v>
                </c:pt>
                <c:pt idx="91">
                  <c:v>4/2</c:v>
                </c:pt>
                <c:pt idx="92">
                  <c:v>4/3</c:v>
                </c:pt>
                <c:pt idx="93">
                  <c:v>4/4</c:v>
                </c:pt>
                <c:pt idx="94">
                  <c:v>4/5</c:v>
                </c:pt>
                <c:pt idx="95">
                  <c:v>4/6</c:v>
                </c:pt>
                <c:pt idx="96">
                  <c:v>4/7</c:v>
                </c:pt>
                <c:pt idx="97">
                  <c:v>4/8</c:v>
                </c:pt>
                <c:pt idx="98">
                  <c:v>4/9</c:v>
                </c:pt>
                <c:pt idx="99">
                  <c:v>4/10</c:v>
                </c:pt>
                <c:pt idx="100">
                  <c:v>4/11</c:v>
                </c:pt>
                <c:pt idx="101">
                  <c:v>4/12</c:v>
                </c:pt>
                <c:pt idx="102">
                  <c:v>4/13</c:v>
                </c:pt>
                <c:pt idx="103">
                  <c:v>4/14</c:v>
                </c:pt>
                <c:pt idx="104">
                  <c:v>4/15</c:v>
                </c:pt>
                <c:pt idx="105">
                  <c:v>4/16</c:v>
                </c:pt>
                <c:pt idx="106">
                  <c:v>4/17</c:v>
                </c:pt>
                <c:pt idx="107">
                  <c:v>4/18</c:v>
                </c:pt>
                <c:pt idx="108">
                  <c:v>4/19</c:v>
                </c:pt>
                <c:pt idx="109">
                  <c:v>4/20</c:v>
                </c:pt>
                <c:pt idx="110">
                  <c:v>4/21</c:v>
                </c:pt>
                <c:pt idx="111">
                  <c:v>4/22</c:v>
                </c:pt>
                <c:pt idx="112">
                  <c:v>4/23</c:v>
                </c:pt>
                <c:pt idx="113">
                  <c:v>4/24</c:v>
                </c:pt>
                <c:pt idx="114">
                  <c:v>4/25</c:v>
                </c:pt>
                <c:pt idx="115">
                  <c:v>4/26</c:v>
                </c:pt>
                <c:pt idx="116">
                  <c:v>4/27</c:v>
                </c:pt>
                <c:pt idx="117">
                  <c:v>4/28</c:v>
                </c:pt>
                <c:pt idx="118">
                  <c:v>4/29</c:v>
                </c:pt>
                <c:pt idx="119">
                  <c:v>4/30</c:v>
                </c:pt>
                <c:pt idx="120">
                  <c:v>5/1</c:v>
                </c:pt>
                <c:pt idx="121">
                  <c:v>5/2</c:v>
                </c:pt>
                <c:pt idx="122">
                  <c:v>5/3</c:v>
                </c:pt>
                <c:pt idx="123">
                  <c:v>5/4</c:v>
                </c:pt>
                <c:pt idx="124">
                  <c:v>5/5</c:v>
                </c:pt>
                <c:pt idx="125">
                  <c:v>5/6</c:v>
                </c:pt>
                <c:pt idx="126">
                  <c:v>5/7</c:v>
                </c:pt>
                <c:pt idx="127">
                  <c:v>5/8</c:v>
                </c:pt>
                <c:pt idx="128">
                  <c:v>5/9</c:v>
                </c:pt>
                <c:pt idx="129">
                  <c:v>5/10</c:v>
                </c:pt>
                <c:pt idx="130">
                  <c:v>5/11</c:v>
                </c:pt>
                <c:pt idx="131">
                  <c:v>5/12</c:v>
                </c:pt>
                <c:pt idx="132">
                  <c:v>5/13</c:v>
                </c:pt>
                <c:pt idx="133">
                  <c:v>5/14</c:v>
                </c:pt>
                <c:pt idx="134">
                  <c:v>5/15</c:v>
                </c:pt>
                <c:pt idx="135">
                  <c:v>5/16</c:v>
                </c:pt>
                <c:pt idx="136">
                  <c:v>5/17</c:v>
                </c:pt>
                <c:pt idx="137">
                  <c:v>5/18</c:v>
                </c:pt>
                <c:pt idx="138">
                  <c:v>5/19</c:v>
                </c:pt>
                <c:pt idx="139">
                  <c:v>5/20</c:v>
                </c:pt>
                <c:pt idx="140">
                  <c:v>5/21</c:v>
                </c:pt>
                <c:pt idx="141">
                  <c:v>5/22</c:v>
                </c:pt>
                <c:pt idx="142">
                  <c:v>5/23</c:v>
                </c:pt>
                <c:pt idx="143">
                  <c:v>5/24</c:v>
                </c:pt>
                <c:pt idx="144">
                  <c:v>5/25</c:v>
                </c:pt>
                <c:pt idx="145">
                  <c:v>5/26</c:v>
                </c:pt>
                <c:pt idx="146">
                  <c:v>5/27</c:v>
                </c:pt>
                <c:pt idx="147">
                  <c:v>5/28</c:v>
                </c:pt>
                <c:pt idx="148">
                  <c:v>5/29</c:v>
                </c:pt>
                <c:pt idx="149">
                  <c:v>5/30</c:v>
                </c:pt>
                <c:pt idx="150">
                  <c:v>5/31</c:v>
                </c:pt>
                <c:pt idx="151">
                  <c:v>6/1</c:v>
                </c:pt>
                <c:pt idx="152">
                  <c:v>6/2</c:v>
                </c:pt>
                <c:pt idx="153">
                  <c:v>6/3</c:v>
                </c:pt>
                <c:pt idx="154">
                  <c:v>6/4</c:v>
                </c:pt>
                <c:pt idx="155">
                  <c:v>6/5</c:v>
                </c:pt>
                <c:pt idx="156">
                  <c:v>6/6</c:v>
                </c:pt>
                <c:pt idx="157">
                  <c:v>6/7</c:v>
                </c:pt>
                <c:pt idx="158">
                  <c:v>6/8</c:v>
                </c:pt>
                <c:pt idx="159">
                  <c:v>6/9</c:v>
                </c:pt>
                <c:pt idx="160">
                  <c:v>6/10</c:v>
                </c:pt>
                <c:pt idx="161">
                  <c:v>6/11</c:v>
                </c:pt>
                <c:pt idx="162">
                  <c:v>6/12</c:v>
                </c:pt>
                <c:pt idx="163">
                  <c:v>6/13</c:v>
                </c:pt>
                <c:pt idx="164">
                  <c:v>6/14</c:v>
                </c:pt>
                <c:pt idx="165">
                  <c:v>6/15</c:v>
                </c:pt>
                <c:pt idx="166">
                  <c:v>6/16</c:v>
                </c:pt>
                <c:pt idx="167">
                  <c:v>6/17</c:v>
                </c:pt>
                <c:pt idx="168">
                  <c:v>6/18</c:v>
                </c:pt>
                <c:pt idx="169">
                  <c:v>6/19</c:v>
                </c:pt>
                <c:pt idx="170">
                  <c:v>6/20</c:v>
                </c:pt>
                <c:pt idx="171">
                  <c:v>6/21</c:v>
                </c:pt>
                <c:pt idx="172">
                  <c:v>6/22</c:v>
                </c:pt>
                <c:pt idx="173">
                  <c:v>6/23</c:v>
                </c:pt>
                <c:pt idx="174">
                  <c:v>6/24</c:v>
                </c:pt>
                <c:pt idx="175">
                  <c:v>6/25</c:v>
                </c:pt>
                <c:pt idx="176">
                  <c:v>6/26</c:v>
                </c:pt>
                <c:pt idx="177">
                  <c:v>6/27</c:v>
                </c:pt>
                <c:pt idx="178">
                  <c:v>6/28</c:v>
                </c:pt>
                <c:pt idx="179">
                  <c:v>6/29</c:v>
                </c:pt>
                <c:pt idx="180">
                  <c:v>6/30</c:v>
                </c:pt>
                <c:pt idx="181">
                  <c:v>7/1</c:v>
                </c:pt>
                <c:pt idx="182">
                  <c:v>7/2</c:v>
                </c:pt>
                <c:pt idx="183">
                  <c:v>7/3</c:v>
                </c:pt>
                <c:pt idx="184">
                  <c:v>7/4</c:v>
                </c:pt>
                <c:pt idx="185">
                  <c:v>7/5</c:v>
                </c:pt>
                <c:pt idx="186">
                  <c:v>7/6</c:v>
                </c:pt>
                <c:pt idx="187">
                  <c:v>7/7</c:v>
                </c:pt>
                <c:pt idx="188">
                  <c:v>7/8</c:v>
                </c:pt>
                <c:pt idx="189">
                  <c:v>7/9</c:v>
                </c:pt>
                <c:pt idx="190">
                  <c:v>7/10</c:v>
                </c:pt>
                <c:pt idx="191">
                  <c:v>7/11</c:v>
                </c:pt>
                <c:pt idx="192">
                  <c:v>7/12</c:v>
                </c:pt>
                <c:pt idx="193">
                  <c:v>7/13</c:v>
                </c:pt>
                <c:pt idx="194">
                  <c:v>7/14</c:v>
                </c:pt>
                <c:pt idx="195">
                  <c:v>7/15</c:v>
                </c:pt>
                <c:pt idx="196">
                  <c:v>7/16</c:v>
                </c:pt>
                <c:pt idx="197">
                  <c:v>7/17</c:v>
                </c:pt>
                <c:pt idx="198">
                  <c:v>7/18</c:v>
                </c:pt>
                <c:pt idx="199">
                  <c:v>7/19</c:v>
                </c:pt>
                <c:pt idx="200">
                  <c:v>7/20</c:v>
                </c:pt>
                <c:pt idx="201">
                  <c:v>7/21</c:v>
                </c:pt>
                <c:pt idx="202">
                  <c:v>7/22</c:v>
                </c:pt>
                <c:pt idx="203">
                  <c:v>7/23</c:v>
                </c:pt>
                <c:pt idx="204">
                  <c:v>7/24</c:v>
                </c:pt>
                <c:pt idx="205">
                  <c:v>7/25</c:v>
                </c:pt>
                <c:pt idx="206">
                  <c:v>7/26</c:v>
                </c:pt>
                <c:pt idx="207">
                  <c:v>7/27</c:v>
                </c:pt>
                <c:pt idx="208">
                  <c:v>7/28</c:v>
                </c:pt>
                <c:pt idx="209">
                  <c:v>7/29</c:v>
                </c:pt>
                <c:pt idx="210">
                  <c:v>7/30</c:v>
                </c:pt>
                <c:pt idx="211">
                  <c:v>7/31</c:v>
                </c:pt>
                <c:pt idx="212">
                  <c:v>8/1</c:v>
                </c:pt>
                <c:pt idx="213">
                  <c:v>8/2</c:v>
                </c:pt>
                <c:pt idx="214">
                  <c:v>8/3</c:v>
                </c:pt>
                <c:pt idx="215">
                  <c:v>8/4</c:v>
                </c:pt>
                <c:pt idx="216">
                  <c:v>8/5</c:v>
                </c:pt>
                <c:pt idx="217">
                  <c:v>8/6</c:v>
                </c:pt>
                <c:pt idx="218">
                  <c:v>8/7</c:v>
                </c:pt>
                <c:pt idx="219">
                  <c:v>8/8</c:v>
                </c:pt>
                <c:pt idx="220">
                  <c:v>8/9</c:v>
                </c:pt>
                <c:pt idx="221">
                  <c:v>8/10</c:v>
                </c:pt>
                <c:pt idx="222">
                  <c:v>8/11</c:v>
                </c:pt>
                <c:pt idx="223">
                  <c:v>8/12</c:v>
                </c:pt>
                <c:pt idx="224">
                  <c:v>8/13</c:v>
                </c:pt>
                <c:pt idx="225">
                  <c:v>8/14</c:v>
                </c:pt>
                <c:pt idx="226">
                  <c:v>8/15</c:v>
                </c:pt>
                <c:pt idx="227">
                  <c:v>8/16</c:v>
                </c:pt>
                <c:pt idx="228">
                  <c:v>8/17</c:v>
                </c:pt>
                <c:pt idx="229">
                  <c:v>8/18</c:v>
                </c:pt>
                <c:pt idx="230">
                  <c:v>8/19</c:v>
                </c:pt>
                <c:pt idx="231">
                  <c:v>8/20</c:v>
                </c:pt>
                <c:pt idx="232">
                  <c:v>8/21</c:v>
                </c:pt>
                <c:pt idx="233">
                  <c:v>8/22</c:v>
                </c:pt>
                <c:pt idx="234">
                  <c:v>8/23</c:v>
                </c:pt>
                <c:pt idx="235">
                  <c:v>8/24</c:v>
                </c:pt>
                <c:pt idx="236">
                  <c:v>8/25</c:v>
                </c:pt>
                <c:pt idx="237">
                  <c:v>8/26</c:v>
                </c:pt>
                <c:pt idx="238">
                  <c:v>8/27</c:v>
                </c:pt>
                <c:pt idx="239">
                  <c:v>8/28</c:v>
                </c:pt>
                <c:pt idx="240">
                  <c:v>8/29</c:v>
                </c:pt>
                <c:pt idx="241">
                  <c:v>8/30</c:v>
                </c:pt>
                <c:pt idx="242">
                  <c:v>8/31</c:v>
                </c:pt>
                <c:pt idx="243">
                  <c:v>9/1</c:v>
                </c:pt>
                <c:pt idx="244">
                  <c:v>9/2</c:v>
                </c:pt>
                <c:pt idx="245">
                  <c:v>9/3</c:v>
                </c:pt>
                <c:pt idx="246">
                  <c:v>9/4</c:v>
                </c:pt>
                <c:pt idx="247">
                  <c:v>9/5</c:v>
                </c:pt>
                <c:pt idx="248">
                  <c:v>9/6</c:v>
                </c:pt>
                <c:pt idx="249">
                  <c:v>9/7</c:v>
                </c:pt>
                <c:pt idx="250">
                  <c:v>9/8</c:v>
                </c:pt>
                <c:pt idx="251">
                  <c:v>9/9</c:v>
                </c:pt>
                <c:pt idx="252">
                  <c:v>9/10</c:v>
                </c:pt>
                <c:pt idx="253">
                  <c:v>9/11</c:v>
                </c:pt>
                <c:pt idx="254">
                  <c:v>9/12</c:v>
                </c:pt>
                <c:pt idx="255">
                  <c:v>9/13</c:v>
                </c:pt>
                <c:pt idx="256">
                  <c:v>9/14</c:v>
                </c:pt>
                <c:pt idx="257">
                  <c:v>9/15</c:v>
                </c:pt>
                <c:pt idx="258">
                  <c:v>9/16</c:v>
                </c:pt>
                <c:pt idx="259">
                  <c:v>9/17</c:v>
                </c:pt>
                <c:pt idx="260">
                  <c:v>9/18</c:v>
                </c:pt>
                <c:pt idx="261">
                  <c:v>9/19</c:v>
                </c:pt>
                <c:pt idx="262">
                  <c:v>9/20</c:v>
                </c:pt>
                <c:pt idx="263">
                  <c:v>9/21</c:v>
                </c:pt>
                <c:pt idx="264">
                  <c:v>9/22</c:v>
                </c:pt>
                <c:pt idx="265">
                  <c:v>9/23</c:v>
                </c:pt>
                <c:pt idx="266">
                  <c:v>9/24</c:v>
                </c:pt>
                <c:pt idx="267">
                  <c:v>9/25</c:v>
                </c:pt>
                <c:pt idx="268">
                  <c:v>9/26</c:v>
                </c:pt>
                <c:pt idx="269">
                  <c:v>9/27</c:v>
                </c:pt>
                <c:pt idx="270">
                  <c:v>9/28</c:v>
                </c:pt>
                <c:pt idx="271">
                  <c:v>9/29</c:v>
                </c:pt>
                <c:pt idx="272">
                  <c:v>9/30</c:v>
                </c:pt>
                <c:pt idx="273">
                  <c:v>10/1</c:v>
                </c:pt>
                <c:pt idx="274">
                  <c:v>10/2</c:v>
                </c:pt>
                <c:pt idx="275">
                  <c:v>10/3</c:v>
                </c:pt>
                <c:pt idx="276">
                  <c:v>10/4</c:v>
                </c:pt>
                <c:pt idx="277">
                  <c:v>10/5</c:v>
                </c:pt>
                <c:pt idx="278">
                  <c:v>10/6</c:v>
                </c:pt>
                <c:pt idx="279">
                  <c:v>10/7</c:v>
                </c:pt>
                <c:pt idx="280">
                  <c:v>10/8</c:v>
                </c:pt>
                <c:pt idx="281">
                  <c:v>10/9</c:v>
                </c:pt>
                <c:pt idx="282">
                  <c:v>10/10</c:v>
                </c:pt>
                <c:pt idx="283">
                  <c:v>10/11</c:v>
                </c:pt>
                <c:pt idx="284">
                  <c:v>10/12</c:v>
                </c:pt>
                <c:pt idx="285">
                  <c:v>10/13</c:v>
                </c:pt>
                <c:pt idx="286">
                  <c:v>10/14</c:v>
                </c:pt>
                <c:pt idx="287">
                  <c:v>10/15</c:v>
                </c:pt>
                <c:pt idx="288">
                  <c:v>10/16</c:v>
                </c:pt>
                <c:pt idx="289">
                  <c:v>10/17</c:v>
                </c:pt>
                <c:pt idx="290">
                  <c:v>10/18</c:v>
                </c:pt>
                <c:pt idx="291">
                  <c:v>10/19</c:v>
                </c:pt>
                <c:pt idx="292">
                  <c:v>10/20</c:v>
                </c:pt>
                <c:pt idx="293">
                  <c:v>10/21</c:v>
                </c:pt>
                <c:pt idx="294">
                  <c:v>10/22</c:v>
                </c:pt>
                <c:pt idx="295">
                  <c:v>10/23</c:v>
                </c:pt>
                <c:pt idx="296">
                  <c:v>10/24</c:v>
                </c:pt>
                <c:pt idx="297">
                  <c:v>10/25</c:v>
                </c:pt>
                <c:pt idx="298">
                  <c:v>10/26</c:v>
                </c:pt>
                <c:pt idx="299">
                  <c:v>10/27</c:v>
                </c:pt>
                <c:pt idx="300">
                  <c:v>10/28</c:v>
                </c:pt>
                <c:pt idx="301">
                  <c:v>10/29</c:v>
                </c:pt>
                <c:pt idx="302">
                  <c:v>10/30</c:v>
                </c:pt>
                <c:pt idx="303">
                  <c:v>10/31</c:v>
                </c:pt>
                <c:pt idx="304">
                  <c:v>11/1</c:v>
                </c:pt>
                <c:pt idx="305">
                  <c:v>11/2</c:v>
                </c:pt>
                <c:pt idx="306">
                  <c:v>11/3</c:v>
                </c:pt>
                <c:pt idx="307">
                  <c:v>11/4</c:v>
                </c:pt>
                <c:pt idx="308">
                  <c:v>11/5</c:v>
                </c:pt>
                <c:pt idx="309">
                  <c:v>11/6</c:v>
                </c:pt>
                <c:pt idx="310">
                  <c:v>11/7</c:v>
                </c:pt>
                <c:pt idx="311">
                  <c:v>11/8</c:v>
                </c:pt>
                <c:pt idx="312">
                  <c:v>11/9</c:v>
                </c:pt>
                <c:pt idx="313">
                  <c:v>11/10</c:v>
                </c:pt>
                <c:pt idx="314">
                  <c:v>11/11</c:v>
                </c:pt>
                <c:pt idx="315">
                  <c:v>11/12</c:v>
                </c:pt>
                <c:pt idx="316">
                  <c:v>11/13</c:v>
                </c:pt>
                <c:pt idx="317">
                  <c:v>11/14</c:v>
                </c:pt>
                <c:pt idx="318">
                  <c:v>11/15</c:v>
                </c:pt>
                <c:pt idx="319">
                  <c:v>11/16</c:v>
                </c:pt>
                <c:pt idx="320">
                  <c:v>11/17</c:v>
                </c:pt>
                <c:pt idx="321">
                  <c:v>11/18</c:v>
                </c:pt>
                <c:pt idx="322">
                  <c:v>11/19</c:v>
                </c:pt>
                <c:pt idx="323">
                  <c:v>11/20</c:v>
                </c:pt>
                <c:pt idx="324">
                  <c:v>11/21</c:v>
                </c:pt>
                <c:pt idx="325">
                  <c:v>11/22</c:v>
                </c:pt>
                <c:pt idx="326">
                  <c:v>11/23</c:v>
                </c:pt>
                <c:pt idx="327">
                  <c:v>11/24</c:v>
                </c:pt>
                <c:pt idx="328">
                  <c:v>11/25</c:v>
                </c:pt>
                <c:pt idx="329">
                  <c:v>11/26</c:v>
                </c:pt>
                <c:pt idx="330">
                  <c:v>11/27</c:v>
                </c:pt>
                <c:pt idx="331">
                  <c:v>11/28</c:v>
                </c:pt>
                <c:pt idx="332">
                  <c:v>11/29</c:v>
                </c:pt>
                <c:pt idx="333">
                  <c:v>11/30</c:v>
                </c:pt>
                <c:pt idx="334">
                  <c:v>12/1</c:v>
                </c:pt>
                <c:pt idx="335">
                  <c:v>12/2</c:v>
                </c:pt>
                <c:pt idx="336">
                  <c:v>12/3</c:v>
                </c:pt>
                <c:pt idx="337">
                  <c:v>12/4</c:v>
                </c:pt>
                <c:pt idx="338">
                  <c:v>12/5</c:v>
                </c:pt>
                <c:pt idx="339">
                  <c:v>12/6</c:v>
                </c:pt>
                <c:pt idx="340">
                  <c:v>12/7</c:v>
                </c:pt>
                <c:pt idx="341">
                  <c:v>12/8</c:v>
                </c:pt>
                <c:pt idx="342">
                  <c:v>12/9</c:v>
                </c:pt>
                <c:pt idx="343">
                  <c:v>12/10</c:v>
                </c:pt>
                <c:pt idx="344">
                  <c:v>12/11</c:v>
                </c:pt>
                <c:pt idx="345">
                  <c:v>12/12</c:v>
                </c:pt>
                <c:pt idx="346">
                  <c:v>12/13</c:v>
                </c:pt>
                <c:pt idx="347">
                  <c:v>12/14</c:v>
                </c:pt>
                <c:pt idx="348">
                  <c:v>12/15</c:v>
                </c:pt>
                <c:pt idx="349">
                  <c:v>12/16</c:v>
                </c:pt>
                <c:pt idx="350">
                  <c:v>12/17</c:v>
                </c:pt>
                <c:pt idx="351">
                  <c:v>12/18</c:v>
                </c:pt>
                <c:pt idx="352">
                  <c:v>12/19</c:v>
                </c:pt>
                <c:pt idx="353">
                  <c:v>12/20</c:v>
                </c:pt>
                <c:pt idx="354">
                  <c:v>12/21</c:v>
                </c:pt>
                <c:pt idx="355">
                  <c:v>12/22</c:v>
                </c:pt>
                <c:pt idx="356">
                  <c:v>12/23</c:v>
                </c:pt>
                <c:pt idx="357">
                  <c:v>12/24</c:v>
                </c:pt>
                <c:pt idx="358">
                  <c:v>12/25</c:v>
                </c:pt>
                <c:pt idx="359">
                  <c:v>12/26</c:v>
                </c:pt>
                <c:pt idx="360">
                  <c:v>12/27</c:v>
                </c:pt>
                <c:pt idx="361">
                  <c:v>12/28</c:v>
                </c:pt>
                <c:pt idx="362">
                  <c:v>12/29</c:v>
                </c:pt>
                <c:pt idx="363">
                  <c:v>12/30</c:v>
                </c:pt>
                <c:pt idx="364">
                  <c:v>12/31</c:v>
                </c:pt>
              </c:strCache>
            </c:strRef>
          </c:cat>
          <c:val>
            <c:numRef>
              <c:f>'经营总览'!$H$104:$H$468</c:f>
              <c:numCache>
                <c:formatCode>0.00</c:formatCode>
                <c:ptCount val="365"/>
                <c:pt idx="0">
                  <c:v>0.122406317031912</c:v>
                </c:pt>
                <c:pt idx="1">
                  <c:v>0.103746162227339</c:v>
                </c:pt>
                <c:pt idx="2">
                  <c:v>0.0895347766811051</c:v>
                </c:pt>
                <c:pt idx="3">
                  <c:v>0.0820670693868968</c:v>
                </c:pt>
                <c:pt idx="4">
                  <c:v>0.0694390265718964</c:v>
                </c:pt>
                <c:pt idx="5">
                  <c:v>0.0909865955684347</c:v>
                </c:pt>
                <c:pt idx="6">
                  <c:v>0.113229250318591</c:v>
                </c:pt>
                <c:pt idx="7">
                  <c:v>0.118105118064756</c:v>
                </c:pt>
                <c:pt idx="8">
                  <c:v>0.126222787328317</c:v>
                </c:pt>
                <c:pt idx="9">
                  <c:v>0.148564845367036</c:v>
                </c:pt>
                <c:pt idx="10">
                  <c:v>0.14620840176415</c:v>
                </c:pt>
                <c:pt idx="11">
                  <c:v>0.144959198131348</c:v>
                </c:pt>
                <c:pt idx="12">
                  <c:v>0.138367733990856</c:v>
                </c:pt>
                <c:pt idx="13">
                  <c:v>0.13611062984395</c:v>
                </c:pt>
                <c:pt idx="14">
                  <c:v>0.125197524351866</c:v>
                </c:pt>
                <c:pt idx="15">
                  <c:v>0.125852717933265</c:v>
                </c:pt>
                <c:pt idx="16">
                  <c:v>0.101473044081385</c:v>
                </c:pt>
                <c:pt idx="17">
                  <c:v>0.101037243084857</c:v>
                </c:pt>
                <c:pt idx="18">
                  <c:v>0.10488412960666</c:v>
                </c:pt>
                <c:pt idx="19">
                  <c:v>0.0952734162464599</c:v>
                </c:pt>
                <c:pt idx="20">
                  <c:v>0.0856791716924558</c:v>
                </c:pt>
                <c:pt idx="21">
                  <c:v>0.0847541099118447</c:v>
                </c:pt>
                <c:pt idx="22">
                  <c:v>0.103907985802179</c:v>
                </c:pt>
                <c:pt idx="23">
                  <c:v>0.110530951321965</c:v>
                </c:pt>
                <c:pt idx="24">
                  <c:v>0.113455855985246</c:v>
                </c:pt>
                <c:pt idx="25">
                  <c:v>0.112428470575438</c:v>
                </c:pt>
                <c:pt idx="26">
                  <c:v>0.135214883176694</c:v>
                </c:pt>
                <c:pt idx="27">
                  <c:v>0.158757807625377</c:v>
                </c:pt>
                <c:pt idx="28">
                  <c:v>0.174030119943651</c:v>
                </c:pt>
                <c:pt idx="29">
                  <c:v>0.215137664526574</c:v>
                </c:pt>
                <c:pt idx="30">
                  <c:v>0.30048768350914</c:v>
                </c:pt>
                <c:pt idx="31">
                  <c:v>0.295179484477481</c:v>
                </c:pt>
                <c:pt idx="32">
                  <c:v>0.295570142289058</c:v>
                </c:pt>
                <c:pt idx="33">
                  <c:v>0.298605197969541</c:v>
                </c:pt>
                <c:pt idx="34">
                  <c:v>0.262480554451199</c:v>
                </c:pt>
                <c:pt idx="35">
                  <c:v>0.255234095811648</c:v>
                </c:pt>
                <c:pt idx="36">
                  <c:v>0.192895803630699</c:v>
                </c:pt>
                <c:pt idx="37">
                  <c:v>0.120688589519336</c:v>
                </c:pt>
                <c:pt idx="38">
                  <c:v>0.119487928423798</c:v>
                </c:pt>
                <c:pt idx="39">
                  <c:v>0.120851337509097</c:v>
                </c:pt>
                <c:pt idx="40">
                  <c:v>0.116887309311692</c:v>
                </c:pt>
                <c:pt idx="41">
                  <c:v>0.142905881144024</c:v>
                </c:pt>
                <c:pt idx="42">
                  <c:v>0.145444941139955</c:v>
                </c:pt>
                <c:pt idx="43">
                  <c:v>0.139101749737029</c:v>
                </c:pt>
                <c:pt idx="44">
                  <c:v>0.130298126379316</c:v>
                </c:pt>
                <c:pt idx="45">
                  <c:v>0.134163261971067</c:v>
                </c:pt>
                <c:pt idx="46">
                  <c:v>0.133963792829942</c:v>
                </c:pt>
                <c:pt idx="47">
                  <c:v>0.129377877869546</c:v>
                </c:pt>
                <c:pt idx="48">
                  <c:v>0.127032450667075</c:v>
                </c:pt>
                <c:pt idx="49">
                  <c:v>0.119717057692392</c:v>
                </c:pt>
                <c:pt idx="50">
                  <c:v>0.12965899847126</c:v>
                </c:pt>
                <c:pt idx="51">
                  <c:v>0.123143012906365</c:v>
                </c:pt>
                <c:pt idx="52">
                  <c:v>0.123277937783003</c:v>
                </c:pt>
                <c:pt idx="53">
                  <c:v>0.124380414288833</c:v>
                </c:pt>
                <c:pt idx="54">
                  <c:v>0.116421186056831</c:v>
                </c:pt>
                <c:pt idx="55">
                  <c:v>0.126818132326649</c:v>
                </c:pt>
                <c:pt idx="56">
                  <c:v>0.147883788176172</c:v>
                </c:pt>
                <c:pt idx="57">
                  <c:v>0.26526001120196</c:v>
                </c:pt>
                <c:pt idx="58">
                  <c:v>0.311584556909269</c:v>
                </c:pt>
                <c:pt idx="59">
                  <c:v>0.308310163000789</c:v>
                </c:pt>
                <c:pt idx="60">
                  <c:v>0.306528223772848</c:v>
                </c:pt>
                <c:pt idx="61">
                  <c:v>0.316687753917409</c:v>
                </c:pt>
                <c:pt idx="62">
                  <c:v>0.314826648274657</c:v>
                </c:pt>
                <c:pt idx="63">
                  <c:v>0.299294257668601</c:v>
                </c:pt>
                <c:pt idx="64">
                  <c:v>0.207297265285694</c:v>
                </c:pt>
                <c:pt idx="65">
                  <c:v>0.181855539464884</c:v>
                </c:pt>
                <c:pt idx="66">
                  <c:v>0.185495389233431</c:v>
                </c:pt>
                <c:pt idx="67">
                  <c:v>0.184297255847864</c:v>
                </c:pt>
                <c:pt idx="68">
                  <c:v>0.196871055000224</c:v>
                </c:pt>
                <c:pt idx="69">
                  <c:v>0.188691725206082</c:v>
                </c:pt>
                <c:pt idx="70">
                  <c:v>0.188835135535015</c:v>
                </c:pt>
                <c:pt idx="71">
                  <c:v>0.224746970299255</c:v>
                </c:pt>
                <c:pt idx="72">
                  <c:v>0.243696317775552</c:v>
                </c:pt>
                <c:pt idx="73">
                  <c:v>0.248966812398749</c:v>
                </c:pt>
                <c:pt idx="74">
                  <c:v>0.260971931284557</c:v>
                </c:pt>
                <c:pt idx="75">
                  <c:v>0.256912712826409</c:v>
                </c:pt>
                <c:pt idx="76">
                  <c:v>0.266108457575649</c:v>
                </c:pt>
                <c:pt idx="77">
                  <c:v>0.25718699083171</c:v>
                </c:pt>
                <c:pt idx="78">
                  <c:v>0.218773807073169</c:v>
                </c:pt>
                <c:pt idx="79">
                  <c:v>0.186567015864893</c:v>
                </c:pt>
                <c:pt idx="80">
                  <c:v>0.180603654711785</c:v>
                </c:pt>
                <c:pt idx="81">
                  <c:v>0.172653473378784</c:v>
                </c:pt>
                <c:pt idx="82">
                  <c:v>0.145714336192965</c:v>
                </c:pt>
                <c:pt idx="83">
                  <c:v>0.128709499948912</c:v>
                </c:pt>
                <c:pt idx="84">
                  <c:v>0.151353768840505</c:v>
                </c:pt>
                <c:pt idx="85">
                  <c:v>0.129207785328099</c:v>
                </c:pt>
                <c:pt idx="86">
                  <c:v>0.163840769636436</c:v>
                </c:pt>
                <c:pt idx="87">
                  <c:v>0.19103560089736</c:v>
                </c:pt>
                <c:pt idx="88">
                  <c:v>0.209813272066933</c:v>
                </c:pt>
                <c:pt idx="89">
                  <c:v>0.258249455525572</c:v>
                </c:pt>
                <c:pt idx="90">
                  <c:v>0.274956633115643</c:v>
                </c:pt>
                <c:pt idx="91">
                  <c:v>0.270922911926692</c:v>
                </c:pt>
                <c:pt idx="92">
                  <c:v>0.290027218795239</c:v>
                </c:pt>
                <c:pt idx="93">
                  <c:v>0.246266963961416</c:v>
                </c:pt>
                <c:pt idx="94">
                  <c:v>0.228016250371422</c:v>
                </c:pt>
                <c:pt idx="95">
                  <c:v>0.204586285401905</c:v>
                </c:pt>
                <c:pt idx="96">
                  <c:v>0.19083014669211</c:v>
                </c:pt>
                <c:pt idx="97">
                  <c:v>0.168325981104636</c:v>
                </c:pt>
                <c:pt idx="98">
                  <c:v>0.146889460336157</c:v>
                </c:pt>
                <c:pt idx="99">
                  <c:v>0.136044016768756</c:v>
                </c:pt>
                <c:pt idx="100">
                  <c:v>0.158336607696516</c:v>
                </c:pt>
                <c:pt idx="101">
                  <c:v>0.148770194786171</c:v>
                </c:pt>
                <c:pt idx="102">
                  <c:v>0.155661406150792</c:v>
                </c:pt>
                <c:pt idx="103">
                  <c:v>0.140642626457572</c:v>
                </c:pt>
                <c:pt idx="104">
                  <c:v>0.161150545950159</c:v>
                </c:pt>
                <c:pt idx="105">
                  <c:v>0.170698218311663</c:v>
                </c:pt>
                <c:pt idx="106">
                  <c:v>0.167483506104212</c:v>
                </c:pt>
                <c:pt idx="107">
                  <c:v>0.152289405508231</c:v>
                </c:pt>
                <c:pt idx="108">
                  <c:v>0.154245692221268</c:v>
                </c:pt>
                <c:pt idx="109">
                  <c:v>0.147137902423188</c:v>
                </c:pt>
                <c:pt idx="110">
                  <c:v>0.124861927800697</c:v>
                </c:pt>
                <c:pt idx="111">
                  <c:v>0.122763151549431</c:v>
                </c:pt>
                <c:pt idx="112">
                  <c:v>0.136287478684746</c:v>
                </c:pt>
                <c:pt idx="113">
                  <c:v>0.149443698011842</c:v>
                </c:pt>
                <c:pt idx="114">
                  <c:v>0.203381688285248</c:v>
                </c:pt>
                <c:pt idx="115">
                  <c:v>0.210534913293051</c:v>
                </c:pt>
                <c:pt idx="116">
                  <c:v>0.221282641656167</c:v>
                </c:pt>
                <c:pt idx="117">
                  <c:v>0.271722285999926</c:v>
                </c:pt>
                <c:pt idx="118">
                  <c:v>0.376068930263655</c:v>
                </c:pt>
                <c:pt idx="119">
                  <c:v>0.414392691768066</c:v>
                </c:pt>
                <c:pt idx="120">
                  <c:v>0.390955548257004</c:v>
                </c:pt>
                <c:pt idx="121">
                  <c:v>0.373756511913522</c:v>
                </c:pt>
                <c:pt idx="122">
                  <c:v>0.368745407158906</c:v>
                </c:pt>
                <c:pt idx="123">
                  <c:v>0.361415039699711</c:v>
                </c:pt>
                <c:pt idx="124">
                  <c:v>0.316293897793457</c:v>
                </c:pt>
                <c:pt idx="125">
                  <c:v>0.196755472369368</c:v>
                </c:pt>
                <c:pt idx="126">
                  <c:v>0.167680072300968</c:v>
                </c:pt>
                <c:pt idx="127">
                  <c:v>0.179476065117402</c:v>
                </c:pt>
                <c:pt idx="128">
                  <c:v>0.163885303688628</c:v>
                </c:pt>
                <c:pt idx="129">
                  <c:v>0.169257354162818</c:v>
                </c:pt>
                <c:pt idx="130">
                  <c:v>0.173294274456768</c:v>
                </c:pt>
                <c:pt idx="131">
                  <c:v>0.198055031773404</c:v>
                </c:pt>
                <c:pt idx="132">
                  <c:v>0.199071475833252</c:v>
                </c:pt>
                <c:pt idx="133">
                  <c:v>0.180406020760959</c:v>
                </c:pt>
                <c:pt idx="134">
                  <c:v>0.189382787707739</c:v>
                </c:pt>
                <c:pt idx="135">
                  <c:v>0.17788917343152</c:v>
                </c:pt>
                <c:pt idx="136">
                  <c:v>0.176272790439929</c:v>
                </c:pt>
                <c:pt idx="137">
                  <c:v>0.175973853434491</c:v>
                </c:pt>
                <c:pt idx="138">
                  <c:v>0.179344095495359</c:v>
                </c:pt>
                <c:pt idx="139">
                  <c:v>0.20540514407095</c:v>
                </c:pt>
                <c:pt idx="140">
                  <c:v>0.205060408179627</c:v>
                </c:pt>
                <c:pt idx="141">
                  <c:v>0.210227899121314</c:v>
                </c:pt>
                <c:pt idx="142">
                  <c:v>0.194451744861413</c:v>
                </c:pt>
                <c:pt idx="143">
                  <c:v>0.195316020137408</c:v>
                </c:pt>
                <c:pt idx="144">
                  <c:v>0.190972803248266</c:v>
                </c:pt>
                <c:pt idx="145">
                  <c:v>0.175040112102679</c:v>
                </c:pt>
                <c:pt idx="146">
                  <c:v>0.165199625820137</c:v>
                </c:pt>
                <c:pt idx="147">
                  <c:v>0.187131785703186</c:v>
                </c:pt>
                <c:pt idx="148">
                  <c:v>0.278281575537614</c:v>
                </c:pt>
                <c:pt idx="149">
                  <c:v>0.339873929249318</c:v>
                </c:pt>
                <c:pt idx="150">
                  <c:v>0.357167032619086</c:v>
                </c:pt>
                <c:pt idx="151">
                  <c:v>0.356447644120071</c:v>
                </c:pt>
                <c:pt idx="152">
                  <c:v>0.348950709615206</c:v>
                </c:pt>
                <c:pt idx="153">
                  <c:v>0.354472352197633</c:v>
                </c:pt>
                <c:pt idx="154">
                  <c:v>0.339706243292907</c:v>
                </c:pt>
                <c:pt idx="155">
                  <c:v>0.223130344560269</c:v>
                </c:pt>
                <c:pt idx="156">
                  <c:v>0.170514205482654</c:v>
                </c:pt>
                <c:pt idx="157">
                  <c:v>0.147480927941979</c:v>
                </c:pt>
                <c:pt idx="158">
                  <c:v>0.152105445335039</c:v>
                </c:pt>
                <c:pt idx="159">
                  <c:v>0.165747989327209</c:v>
                </c:pt>
                <c:pt idx="160">
                  <c:v>0.200715278142868</c:v>
                </c:pt>
                <c:pt idx="161">
                  <c:v>0.194453378376379</c:v>
                </c:pt>
                <c:pt idx="162">
                  <c:v>0.207858251408963</c:v>
                </c:pt>
                <c:pt idx="163">
                  <c:v>0.215155214097512</c:v>
                </c:pt>
                <c:pt idx="164">
                  <c:v>0.227213100616911</c:v>
                </c:pt>
                <c:pt idx="165">
                  <c:v>0.224582508116654</c:v>
                </c:pt>
                <c:pt idx="166">
                  <c:v>0.277971906086542</c:v>
                </c:pt>
                <c:pt idx="167">
                  <c:v>0.246573987210839</c:v>
                </c:pt>
                <c:pt idx="168">
                  <c:v>0.255418950096334</c:v>
                </c:pt>
                <c:pt idx="169">
                  <c:v>0.255830334209459</c:v>
                </c:pt>
                <c:pt idx="170">
                  <c:v>0.274455381313898</c:v>
                </c:pt>
                <c:pt idx="171">
                  <c:v>0.260791622284146</c:v>
                </c:pt>
                <c:pt idx="172">
                  <c:v>0.256943257762647</c:v>
                </c:pt>
                <c:pt idx="173">
                  <c:v>0.207963172037008</c:v>
                </c:pt>
                <c:pt idx="174">
                  <c:v>0.188575225446164</c:v>
                </c:pt>
                <c:pt idx="175">
                  <c:v>0.203391764397896</c:v>
                </c:pt>
                <c:pt idx="176">
                  <c:v>0.205207093311049</c:v>
                </c:pt>
                <c:pt idx="177">
                  <c:v>0.216907763817818</c:v>
                </c:pt>
                <c:pt idx="178">
                  <c:v>0.23058249116632</c:v>
                </c:pt>
                <c:pt idx="179">
                  <c:v>0.251137505357516</c:v>
                </c:pt>
                <c:pt idx="180">
                  <c:v>0.369704670247402</c:v>
                </c:pt>
                <c:pt idx="181">
                  <c:v>0.366613687168249</c:v>
                </c:pt>
                <c:pt idx="182">
                  <c:v>0.355758924545421</c:v>
                </c:pt>
                <c:pt idx="183">
                  <c:v>0.381610402585155</c:v>
                </c:pt>
                <c:pt idx="184">
                  <c:v>0.353555607773264</c:v>
                </c:pt>
                <c:pt idx="185">
                  <c:v>0.348446950957338</c:v>
                </c:pt>
                <c:pt idx="186">
                  <c:v>0.334370377409308</c:v>
                </c:pt>
                <c:pt idx="187">
                  <c:v>0.21959588472516</c:v>
                </c:pt>
                <c:pt idx="188">
                  <c:v>0.251884617266377</c:v>
                </c:pt>
                <c:pt idx="189">
                  <c:v>0.251451564606927</c:v>
                </c:pt>
                <c:pt idx="190">
                  <c:v>0.239326831625498</c:v>
                </c:pt>
                <c:pt idx="191">
                  <c:v>0.248093863946354</c:v>
                </c:pt>
                <c:pt idx="192">
                  <c:v>0.239472082884416</c:v>
                </c:pt>
                <c:pt idx="193">
                  <c:v>0.232936252900869</c:v>
                </c:pt>
                <c:pt idx="194">
                  <c:v>0.239718970302264</c:v>
                </c:pt>
                <c:pt idx="195">
                  <c:v>0.228046965766134</c:v>
                </c:pt>
                <c:pt idx="196">
                  <c:v>0.236883591579867</c:v>
                </c:pt>
                <c:pt idx="197">
                  <c:v>0.208587242820916</c:v>
                </c:pt>
                <c:pt idx="198">
                  <c:v>0.180709514280921</c:v>
                </c:pt>
                <c:pt idx="199">
                  <c:v>0.179429158197526</c:v>
                </c:pt>
                <c:pt idx="200">
                  <c:v>0.187009579094342</c:v>
                </c:pt>
                <c:pt idx="201">
                  <c:v>0.156092299141658</c:v>
                </c:pt>
                <c:pt idx="202">
                  <c:v>0.165191383520047</c:v>
                </c:pt>
                <c:pt idx="203">
                  <c:v>0.162595265531347</c:v>
                </c:pt>
                <c:pt idx="204">
                  <c:v>0.209583584364313</c:v>
                </c:pt>
                <c:pt idx="205">
                  <c:v>0.212830221436936</c:v>
                </c:pt>
                <c:pt idx="206">
                  <c:v>0.231437397612855</c:v>
                </c:pt>
                <c:pt idx="207">
                  <c:v>0.235352402328838</c:v>
                </c:pt>
                <c:pt idx="208">
                  <c:v>0.283252136399393</c:v>
                </c:pt>
                <c:pt idx="209">
                  <c:v>0.354531470734913</c:v>
                </c:pt>
                <c:pt idx="210">
                  <c:v>0.436860016697313</c:v>
                </c:pt>
                <c:pt idx="211">
                  <c:v>0.438995435296516</c:v>
                </c:pt>
                <c:pt idx="212">
                  <c:v>0.480635728129307</c:v>
                </c:pt>
                <c:pt idx="213">
                  <c:v>0.465546931441109</c:v>
                </c:pt>
                <c:pt idx="214">
                  <c:v>0.458356746711251</c:v>
                </c:pt>
                <c:pt idx="215">
                  <c:v>0.419543510615031</c:v>
                </c:pt>
                <c:pt idx="216">
                  <c:v>0.366191548370002</c:v>
                </c:pt>
                <c:pt idx="217">
                  <c:v>0.25783463583365</c:v>
                </c:pt>
                <c:pt idx="218">
                  <c:v>0.236389389607627</c:v>
                </c:pt>
                <c:pt idx="219">
                  <c:v>0.242287310301577</c:v>
                </c:pt>
                <c:pt idx="220">
                  <c:v>0.25466685347125</c:v>
                </c:pt>
                <c:pt idx="221">
                  <c:v>0.252437662284674</c:v>
                </c:pt>
                <c:pt idx="222">
                  <c:v>0.249448349005164</c:v>
                </c:pt>
                <c:pt idx="223">
                  <c:v>0.22498821831323</c:v>
                </c:pt>
                <c:pt idx="224">
                  <c:v>0.222019333380109</c:v>
                </c:pt>
                <c:pt idx="225">
                  <c:v>0.212144034489464</c:v>
                </c:pt>
                <c:pt idx="226">
                  <c:v>0.188753925294871</c:v>
                </c:pt>
                <c:pt idx="227">
                  <c:v>0.181031176549757</c:v>
                </c:pt>
                <c:pt idx="228">
                  <c:v>0.183433487549354</c:v>
                </c:pt>
                <c:pt idx="229">
                  <c:v>0.22515803762811</c:v>
                </c:pt>
                <c:pt idx="230">
                  <c:v>0.227678749655758</c:v>
                </c:pt>
                <c:pt idx="231">
                  <c:v>0.253853923408057</c:v>
                </c:pt>
                <c:pt idx="232">
                  <c:v>0.263292236344822</c:v>
                </c:pt>
                <c:pt idx="233">
                  <c:v>0.253355131283725</c:v>
                </c:pt>
                <c:pt idx="234">
                  <c:v>0.256587222258076</c:v>
                </c:pt>
                <c:pt idx="235">
                  <c:v>0.26296454899254</c:v>
                </c:pt>
                <c:pt idx="236">
                  <c:v>0.242386950603352</c:v>
                </c:pt>
                <c:pt idx="237">
                  <c:v>0.229098380761453</c:v>
                </c:pt>
                <c:pt idx="238">
                  <c:v>0.260578358320706</c:v>
                </c:pt>
                <c:pt idx="239">
                  <c:v>0.317108456671176</c:v>
                </c:pt>
                <c:pt idx="240">
                  <c:v>0.438286280663247</c:v>
                </c:pt>
                <c:pt idx="241">
                  <c:v>0.476249096671221</c:v>
                </c:pt>
                <c:pt idx="242">
                  <c:v>0.501147429290034</c:v>
                </c:pt>
                <c:pt idx="243">
                  <c:v>0.485486371294621</c:v>
                </c:pt>
                <c:pt idx="244">
                  <c:v>0.484797039135133</c:v>
                </c:pt>
                <c:pt idx="245">
                  <c:v>0.445260924785842</c:v>
                </c:pt>
                <c:pt idx="246">
                  <c:v>0.413575001856767</c:v>
                </c:pt>
                <c:pt idx="247">
                  <c:v>0.285119928662641</c:v>
                </c:pt>
                <c:pt idx="248">
                  <c:v>0.24325365528539</c:v>
                </c:pt>
                <c:pt idx="249">
                  <c:v>0.208188634522135</c:v>
                </c:pt>
                <c:pt idx="250">
                  <c:v>0.203855509614535</c:v>
                </c:pt>
                <c:pt idx="251">
                  <c:v>0.199080313693147</c:v>
                </c:pt>
                <c:pt idx="252">
                  <c:v>0.23093655409564</c:v>
                </c:pt>
                <c:pt idx="253">
                  <c:v>0.238515935234071</c:v>
                </c:pt>
                <c:pt idx="254">
                  <c:v>0.290276633848639</c:v>
                </c:pt>
                <c:pt idx="255">
                  <c:v>0.297005546393328</c:v>
                </c:pt>
                <c:pt idx="256">
                  <c:v>0.312578251790182</c:v>
                </c:pt>
                <c:pt idx="257">
                  <c:v>0.346067453636817</c:v>
                </c:pt>
                <c:pt idx="258">
                  <c:v>0.435343130312425</c:v>
                </c:pt>
                <c:pt idx="259">
                  <c:v>0.4047761422128</c:v>
                </c:pt>
                <c:pt idx="260">
                  <c:v>0.387778661805262</c:v>
                </c:pt>
                <c:pt idx="261">
                  <c:v>0.329930932612679</c:v>
                </c:pt>
                <c:pt idx="262">
                  <c:v>0.328374093710388</c:v>
                </c:pt>
                <c:pt idx="263">
                  <c:v>0.316108988507869</c:v>
                </c:pt>
                <c:pt idx="264">
                  <c:v>0.293173606812902</c:v>
                </c:pt>
                <c:pt idx="265">
                  <c:v>0.210882452058336</c:v>
                </c:pt>
                <c:pt idx="266">
                  <c:v>0.215395063800438</c:v>
                </c:pt>
                <c:pt idx="267">
                  <c:v>0.235802193773098</c:v>
                </c:pt>
                <c:pt idx="268">
                  <c:v>0.26662444822598</c:v>
                </c:pt>
                <c:pt idx="269">
                  <c:v>0.271665401290284</c:v>
                </c:pt>
                <c:pt idx="270">
                  <c:v>0.303325718334969</c:v>
                </c:pt>
                <c:pt idx="271">
                  <c:v>0.392326747852448</c:v>
                </c:pt>
                <c:pt idx="272">
                  <c:v>0.411338031095443</c:v>
                </c:pt>
                <c:pt idx="273">
                  <c:v>0.403869458828869</c:v>
                </c:pt>
                <c:pt idx="274">
                  <c:v>0.359671657390503</c:v>
                </c:pt>
                <c:pt idx="275">
                  <c:v>0.363245504927634</c:v>
                </c:pt>
                <c:pt idx="276">
                  <c:v>0.350139518344709</c:v>
                </c:pt>
                <c:pt idx="277">
                  <c:v>0.31462015667315</c:v>
                </c:pt>
                <c:pt idx="278">
                  <c:v>0.210225711490399</c:v>
                </c:pt>
                <c:pt idx="279">
                  <c:v>0.202596815933848</c:v>
                </c:pt>
                <c:pt idx="280">
                  <c:v>0.229375348201493</c:v>
                </c:pt>
                <c:pt idx="281">
                  <c:v>0.263936396428429</c:v>
                </c:pt>
                <c:pt idx="282">
                  <c:v>0.277703337651395</c:v>
                </c:pt>
                <c:pt idx="283">
                  <c:v>0.275279596089946</c:v>
                </c:pt>
                <c:pt idx="284">
                  <c:v>0.285559962821061</c:v>
                </c:pt>
                <c:pt idx="285">
                  <c:v>0.281321446977937</c:v>
                </c:pt>
                <c:pt idx="286">
                  <c:v>0.27926979199596</c:v>
                </c:pt>
                <c:pt idx="287">
                  <c:v>0.246289456188119</c:v>
                </c:pt>
                <c:pt idx="288">
                  <c:v>0.214672225082575</c:v>
                </c:pt>
                <c:pt idx="289">
                  <c:v>0.208857880620597</c:v>
                </c:pt>
                <c:pt idx="290">
                  <c:v>0.205948118992165</c:v>
                </c:pt>
                <c:pt idx="291">
                  <c:v>0.204009151964753</c:v>
                </c:pt>
                <c:pt idx="292">
                  <c:v>0.253974099479483</c:v>
                </c:pt>
                <c:pt idx="293">
                  <c:v>0.26390906025795</c:v>
                </c:pt>
                <c:pt idx="294">
                  <c:v>0.290308557183364</c:v>
                </c:pt>
                <c:pt idx="295">
                  <c:v>0.324803690495631</c:v>
                </c:pt>
                <c:pt idx="296">
                  <c:v>0.28241476268837</c:v>
                </c:pt>
                <c:pt idx="297">
                  <c:v>0.298421893248944</c:v>
                </c:pt>
                <c:pt idx="298">
                  <c:v>0.302938457934003</c:v>
                </c:pt>
                <c:pt idx="299">
                  <c:v>0.318909271376003</c:v>
                </c:pt>
                <c:pt idx="300">
                  <c:v>0.337841765504036</c:v>
                </c:pt>
                <c:pt idx="301">
                  <c:v>0.440354043659837</c:v>
                </c:pt>
                <c:pt idx="302">
                  <c:v>0.571322914735379</c:v>
                </c:pt>
                <c:pt idx="303">
                  <c:v>0.657802594459548</c:v>
                </c:pt>
                <c:pt idx="304">
                  <c:v>0.662672087946934</c:v>
                </c:pt>
                <c:pt idx="305">
                  <c:v>0.65268746122974</c:v>
                </c:pt>
                <c:pt idx="306">
                  <c:v>0.638323790917649</c:v>
                </c:pt>
                <c:pt idx="307">
                  <c:v>0.587913948274137</c:v>
                </c:pt>
                <c:pt idx="308">
                  <c:v>0.475392109187577</c:v>
                </c:pt>
                <c:pt idx="309">
                  <c:v>0.349993646848584</c:v>
                </c:pt>
                <c:pt idx="310">
                  <c:v>0.329009777848639</c:v>
                </c:pt>
                <c:pt idx="311">
                  <c:v>0.324148112867162</c:v>
                </c:pt>
                <c:pt idx="312">
                  <c:v>0.328731825497255</c:v>
                </c:pt>
                <c:pt idx="313">
                  <c:v>0.373454883273382</c:v>
                </c:pt>
                <c:pt idx="314">
                  <c:v>0.396164356868367</c:v>
                </c:pt>
                <c:pt idx="315">
                  <c:v>0.415644782558875</c:v>
                </c:pt>
                <c:pt idx="316">
                  <c:v>0.497825288192209</c:v>
                </c:pt>
                <c:pt idx="317">
                  <c:v>0.528911011210608</c:v>
                </c:pt>
                <c:pt idx="318">
                  <c:v>0.553683141369639</c:v>
                </c:pt>
                <c:pt idx="319">
                  <c:v>0.558767571646376</c:v>
                </c:pt>
                <c:pt idx="320">
                  <c:v>0.49269131865749</c:v>
                </c:pt>
                <c:pt idx="321">
                  <c:v>0.526995560470974</c:v>
                </c:pt>
                <c:pt idx="322">
                  <c:v>0.484145554607005</c:v>
                </c:pt>
                <c:pt idx="323">
                  <c:v>0.36947653392121</c:v>
                </c:pt>
                <c:pt idx="324">
                  <c:v>0.337185005999636</c:v>
                </c:pt>
                <c:pt idx="325">
                  <c:v>0.312213911980369</c:v>
                </c:pt>
                <c:pt idx="326">
                  <c:v>0.312947278569021</c:v>
                </c:pt>
                <c:pt idx="327">
                  <c:v>0.3366109880014</c:v>
                </c:pt>
                <c:pt idx="328">
                  <c:v>0.297467470691928</c:v>
                </c:pt>
                <c:pt idx="329">
                  <c:v>0.328734770420571</c:v>
                </c:pt>
                <c:pt idx="330">
                  <c:v>0.358927415187164</c:v>
                </c:pt>
                <c:pt idx="331">
                  <c:v>0.386162953529784</c:v>
                </c:pt>
                <c:pt idx="332">
                  <c:v>0.390589092591733</c:v>
                </c:pt>
                <c:pt idx="333">
                  <c:v>0.386936540509486</c:v>
                </c:pt>
                <c:pt idx="334">
                  <c:v>0.386956765943615</c:v>
                </c:pt>
                <c:pt idx="335">
                  <c:v>0.40803073969089</c:v>
                </c:pt>
                <c:pt idx="336">
                  <c:v>0.4071525435461</c:v>
                </c:pt>
                <c:pt idx="337">
                  <c:v>0.371420605955605</c:v>
                </c:pt>
                <c:pt idx="338">
                  <c:v>0.301931081259622</c:v>
                </c:pt>
                <c:pt idx="339">
                  <c:v>0.288393288135812</c:v>
                </c:pt>
                <c:pt idx="340">
                  <c:v>0.27974566763174</c:v>
                </c:pt>
                <c:pt idx="341">
                  <c:v>0.283776250303842</c:v>
                </c:pt>
                <c:pt idx="342">
                  <c:v>0.280783973198052</c:v>
                </c:pt>
                <c:pt idx="343">
                  <c:v>0.250190089913695</c:v>
                </c:pt>
                <c:pt idx="344">
                  <c:v>0.285252036245978</c:v>
                </c:pt>
                <c:pt idx="345">
                  <c:v>0.271665640858157</c:v>
                </c:pt>
                <c:pt idx="346">
                  <c:v>0.280063893799174</c:v>
                </c:pt>
                <c:pt idx="347">
                  <c:v>0.283627253072206</c:v>
                </c:pt>
                <c:pt idx="348">
                  <c:v>0.275280748155377</c:v>
                </c:pt>
                <c:pt idx="349">
                  <c:v>0.22664780187549</c:v>
                </c:pt>
                <c:pt idx="350">
                  <c:v>0.230192662438941</c:v>
                </c:pt>
                <c:pt idx="351">
                  <c:v>0.191116697638559</c:v>
                </c:pt>
                <c:pt idx="352">
                  <c:v>0.23301518668034</c:v>
                </c:pt>
                <c:pt idx="353">
                  <c:v>0.234537682871723</c:v>
                </c:pt>
                <c:pt idx="354">
                  <c:v>0.23705193558897</c:v>
                </c:pt>
                <c:pt idx="355">
                  <c:v>0.210584957233575</c:v>
                </c:pt>
                <c:pt idx="356">
                  <c:v>0.273722665121815</c:v>
                </c:pt>
                <c:pt idx="357">
                  <c:v>0.296651674589877</c:v>
                </c:pt>
                <c:pt idx="358">
                  <c:v>0.333248489888797</c:v>
                </c:pt>
                <c:pt idx="359">
                  <c:v>0.358075732954396</c:v>
                </c:pt>
                <c:pt idx="360">
                  <c:v>0.366470076582058</c:v>
                </c:pt>
                <c:pt idx="361">
                  <c:v>0.363674272698943</c:v>
                </c:pt>
                <c:pt idx="362">
                  <c:v>0.578896884636037</c:v>
                </c:pt>
                <c:pt idx="363">
                  <c:v>0.763599527522699</c:v>
                </c:pt>
                <c:pt idx="364">
                  <c:v>0.87978174105502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low"/>
        <c:tickLblSkip val="30"/>
        <c:spPr>
          <a:ln xmlns:a="http://schemas.openxmlformats.org/drawingml/2006/main" w="4763">
            <a:solidFill>
              <a:srgbClr val="D9D4CC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solidFill>
                  <a:srgbClr val="777A82"/>
                </a:solidFill>
                <a:latin typeface="Hiragino Sans GB"/>
                <a:ea typeface="Hiragino Sans GB"/>
                <a:cs typeface="Hiragino Sans GB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4763">
              <a:solidFill>
                <a:srgbClr val="D9D4CC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xmlns:a="http://schemas.openxmlformats.org/drawingml/2006/main" w="4763">
            <a:solidFill>
              <a:srgbClr val="D9D4CC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solidFill>
                  <a:srgbClr val="777A82"/>
                </a:solidFill>
                <a:latin typeface="Hiragino Sans GB"/>
                <a:ea typeface="Hiragino Sans GB"/>
                <a:cs typeface="Hiragino Sans GB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Hiragino Sans GB"/>
              <a:ea typeface="Hiragino Sans GB"/>
              <a:cs typeface="Hiragino Sans GB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Hiragino Sans GB"/>
                <a:ea typeface="Hiragino Sans GB"/>
                <a:cs typeface="Hiragino Sans GB"/>
              </a:rPr>
              <a:t>B. 季度产品收入结构（万元）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Hiragino Sans GB"/>
              <a:ea typeface="Hiragino Sans GB"/>
              <a:cs typeface="Hiragino Sans GB"/>
            </a:defRPr>
          </a:pPr>
        </a:p>
      </c:txPr>
    </c:title>
    <c:plotArea>
      <c:barChart>
        <c:barDir val="col"/>
        <c:grouping val="stacked"/>
        <c:varyColors val="0"/>
        <c:ser>
          <c:idx val="0"/>
          <c:order val="0"/>
          <c:tx>
            <c:v>企业版</c:v>
          </c:tx>
          <c:spPr>
            <a:solidFill xmlns:a="http://schemas.openxmlformats.org/drawingml/2006/main">
              <a:srgbClr val="20263D"/>
            </a:solidFill>
          </c:spPr>
          <c:cat>
            <c:strRef>
              <c:f>'经营总览'!$B$73:$B$76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'经营总览'!$C$73:$C$76</c:f>
              <c:numCache>
                <c:formatCode>#,##0.0;\(#,##0.0\);\—</c:formatCode>
                <c:ptCount val="4"/>
                <c:pt idx="0">
                  <c:v>122.6154</c:v>
                </c:pt>
                <c:pt idx="1">
                  <c:v>152.99745</c:v>
                </c:pt>
                <c:pt idx="2">
                  <c:v>189.8034</c:v>
                </c:pt>
                <c:pt idx="3">
                  <c:v>242.38185</c:v>
                </c:pt>
              </c:numCache>
            </c:numRef>
          </c:val>
        </c:ser>
        <c:ser>
          <c:idx val="1"/>
          <c:order val="1"/>
          <c:tx>
            <c:v>专业版</c:v>
          </c:tx>
          <c:spPr>
            <a:solidFill xmlns:a="http://schemas.openxmlformats.org/drawingml/2006/main">
              <a:srgbClr val="5275A7"/>
            </a:solidFill>
          </c:spPr>
          <c:cat>
            <c:strRef>
              <c:f>'经营总览'!$B$73:$B$76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'经营总览'!$D$73:$D$76</c:f>
              <c:numCache>
                <c:formatCode>#,##0.0;\(#,##0.0\);\—</c:formatCode>
                <c:ptCount val="4"/>
                <c:pt idx="0">
                  <c:v>87.62235</c:v>
                </c:pt>
                <c:pt idx="1">
                  <c:v>103.6391</c:v>
                </c:pt>
                <c:pt idx="2">
                  <c:v>124.237225</c:v>
                </c:pt>
                <c:pt idx="3">
                  <c:v>152.80885</c:v>
                </c:pt>
              </c:numCache>
            </c:numRef>
          </c:val>
        </c:ser>
        <c:ser>
          <c:idx val="2"/>
          <c:order val="2"/>
          <c:tx>
            <c:v>基础版</c:v>
          </c:tx>
          <c:spPr>
            <a:solidFill xmlns:a="http://schemas.openxmlformats.org/drawingml/2006/main">
              <a:srgbClr val="839A89"/>
            </a:solidFill>
          </c:spPr>
          <c:cat>
            <c:strRef>
              <c:f>'经营总览'!$B$73:$B$76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'经营总览'!$E$73:$E$76</c:f>
              <c:numCache>
                <c:formatCode>#,##0.0;\(#,##0.0\);\—</c:formatCode>
                <c:ptCount val="4"/>
                <c:pt idx="0">
                  <c:v>43.26125</c:v>
                </c:pt>
                <c:pt idx="1">
                  <c:v>51.175</c:v>
                </c:pt>
                <c:pt idx="2">
                  <c:v>60.93225</c:v>
                </c:pt>
                <c:pt idx="3">
                  <c:v>73.23425</c:v>
                </c:pt>
              </c:numCache>
            </c:numRef>
          </c:val>
        </c:ser>
        <c:gapWidth val="10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low"/>
        <c:tickLblSkip val="1"/>
        <c:spPr>
          <a:ln xmlns:a="http://schemas.openxmlformats.org/drawingml/2006/main" w="4763">
            <a:solidFill>
              <a:srgbClr val="D9D4CC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solidFill>
                  <a:srgbClr val="777A82"/>
                </a:solidFill>
                <a:latin typeface="Hiragino Sans GB"/>
                <a:ea typeface="Hiragino Sans GB"/>
                <a:cs typeface="Hiragino Sans GB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4763">
              <a:solidFill>
                <a:srgbClr val="D9D4CC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xmlns:a="http://schemas.openxmlformats.org/drawingml/2006/main" w="4763">
            <a:solidFill>
              <a:srgbClr val="D9D4CC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solidFill>
                  <a:srgbClr val="777A82"/>
                </a:solidFill>
                <a:latin typeface="Hiragino Sans GB"/>
                <a:ea typeface="Hiragino Sans GB"/>
                <a:cs typeface="Hiragino Sans GB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Hiragino Sans GB"/>
              <a:ea typeface="Hiragino Sans GB"/>
              <a:cs typeface="Hiragino Sans GB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Hiragino Sans GB"/>
                <a:ea typeface="Hiragino Sans GB"/>
                <a:cs typeface="Hiragino Sans GB"/>
              </a:rPr>
              <a:t>C. 月度 MRR 增减（万元）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Hiragino Sans GB"/>
              <a:ea typeface="Hiragino Sans GB"/>
              <a:cs typeface="Hiragino Sans GB"/>
            </a:defRPr>
          </a:pPr>
        </a:p>
      </c:txPr>
    </c:title>
    <c:plotArea>
      <c:barChart>
        <c:barDir val="col"/>
        <c:grouping val="stacked"/>
        <c:varyColors val="0"/>
        <c:ser>
          <c:idx val="0"/>
          <c:order val="0"/>
          <c:tx>
            <c:v>新增 MRR</c:v>
          </c:tx>
          <c:spPr>
            <a:solidFill xmlns:a="http://schemas.openxmlformats.org/drawingml/2006/main">
              <a:srgbClr val="20263D"/>
            </a:solidFill>
          </c:spPr>
          <c:cat>
            <c:strRef>
              <c:f>'经营总览'!$B$80:$B$91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'经营总览'!$C$80:$C$91</c:f>
              <c:numCache>
                <c:formatCode>#,##0.0;\(#,##0.0\);\—</c:formatCode>
                <c:ptCount val="12"/>
                <c:pt idx="0">
                  <c:v>4.896</c:v>
                </c:pt>
                <c:pt idx="1">
                  <c:v>4.8</c:v>
                </c:pt>
                <c:pt idx="2">
                  <c:v>6.282</c:v>
                </c:pt>
                <c:pt idx="3">
                  <c:v>6.588</c:v>
                </c:pt>
                <c:pt idx="4">
                  <c:v>6.8511</c:v>
                </c:pt>
                <c:pt idx="5">
                  <c:v>7.3308</c:v>
                </c:pt>
                <c:pt idx="6">
                  <c:v>8.5362</c:v>
                </c:pt>
                <c:pt idx="7">
                  <c:v>8.89905</c:v>
                </c:pt>
                <c:pt idx="8">
                  <c:v>9.2862</c:v>
                </c:pt>
                <c:pt idx="9">
                  <c:v>10.7919</c:v>
                </c:pt>
                <c:pt idx="10">
                  <c:v>11.3337</c:v>
                </c:pt>
                <c:pt idx="11">
                  <c:v>12.8898</c:v>
                </c:pt>
              </c:numCache>
            </c:numRef>
          </c:val>
        </c:ser>
        <c:ser>
          <c:idx val="1"/>
          <c:order val="1"/>
          <c:tx>
            <c:v>扩展 MRR</c:v>
          </c:tx>
          <c:spPr>
            <a:solidFill xmlns:a="http://schemas.openxmlformats.org/drawingml/2006/main">
              <a:srgbClr val="5275A7"/>
            </a:solidFill>
          </c:spPr>
          <c:cat>
            <c:strRef>
              <c:f>'经营总览'!$B$80:$B$91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'经营总览'!$D$80:$D$91</c:f>
              <c:numCache>
                <c:formatCode>#,##0.0;\(#,##0.0\);\—</c:formatCode>
                <c:ptCount val="12"/>
                <c:pt idx="0">
                  <c:v>0.8612</c:v>
                </c:pt>
                <c:pt idx="1">
                  <c:v>0.8952</c:v>
                </c:pt>
                <c:pt idx="2">
                  <c:v>0.9471</c:v>
                </c:pt>
                <c:pt idx="3">
                  <c:v>1.0159</c:v>
                </c:pt>
                <c:pt idx="4">
                  <c:v>1.0888</c:v>
                </c:pt>
                <c:pt idx="5">
                  <c:v>1.1649</c:v>
                </c:pt>
                <c:pt idx="6">
                  <c:v>1.2462</c:v>
                </c:pt>
                <c:pt idx="7">
                  <c:v>1.3219</c:v>
                </c:pt>
                <c:pt idx="8">
                  <c:v>1.6793</c:v>
                </c:pt>
                <c:pt idx="9">
                  <c:v>1.8058</c:v>
                </c:pt>
                <c:pt idx="10">
                  <c:v>1.954</c:v>
                </c:pt>
                <c:pt idx="11">
                  <c:v>2.1096</c:v>
                </c:pt>
              </c:numCache>
            </c:numRef>
          </c:val>
        </c:ser>
        <c:ser>
          <c:idx val="2"/>
          <c:order val="2"/>
          <c:tx>
            <c:v>流失与降配</c:v>
          </c:tx>
          <c:spPr>
            <a:solidFill xmlns:a="http://schemas.openxmlformats.org/drawingml/2006/main">
              <a:srgbClr val="C77D63"/>
            </a:solidFill>
          </c:spPr>
          <c:cat>
            <c:strRef>
              <c:f>'经营总览'!$B$80:$B$91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'经营总览'!$E$80:$E$91</c:f>
              <c:numCache>
                <c:formatCode>#,##0.0;\(#,##0.0\);\—</c:formatCode>
                <c:ptCount val="12"/>
                <c:pt idx="0">
                  <c:v>-2.6444</c:v>
                </c:pt>
                <c:pt idx="1">
                  <c:v>-1.0138</c:v>
                </c:pt>
                <c:pt idx="2">
                  <c:v>-1.0793</c:v>
                </c:pt>
                <c:pt idx="3">
                  <c:v>-1.0511</c:v>
                </c:pt>
                <c:pt idx="4">
                  <c:v>-1.072</c:v>
                </c:pt>
                <c:pt idx="5">
                  <c:v>-1.1443</c:v>
                </c:pt>
                <c:pt idx="6">
                  <c:v>-2.9884</c:v>
                </c:pt>
                <c:pt idx="7">
                  <c:v>-1.2904</c:v>
                </c:pt>
                <c:pt idx="8">
                  <c:v>-1.318</c:v>
                </c:pt>
                <c:pt idx="9">
                  <c:v>-1.3507</c:v>
                </c:pt>
                <c:pt idx="10">
                  <c:v>-1.4379</c:v>
                </c:pt>
                <c:pt idx="11">
                  <c:v>-1.7028</c:v>
                </c:pt>
              </c:numCache>
            </c:numRef>
          </c:val>
        </c:ser>
        <c:gapWidth val="10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low"/>
        <c:tickLblSkip val="2"/>
        <c:spPr>
          <a:ln xmlns:a="http://schemas.openxmlformats.org/drawingml/2006/main" w="4763">
            <a:solidFill>
              <a:srgbClr val="D9D4CC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solidFill>
                  <a:srgbClr val="777A82"/>
                </a:solidFill>
                <a:latin typeface="Hiragino Sans GB"/>
                <a:ea typeface="Hiragino Sans GB"/>
                <a:cs typeface="Hiragino Sans GB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4763">
              <a:solidFill>
                <a:srgbClr val="D9D4CC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xmlns:a="http://schemas.openxmlformats.org/drawingml/2006/main" w="4763">
            <a:solidFill>
              <a:srgbClr val="D9D4CC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solidFill>
                  <a:srgbClr val="777A82"/>
                </a:solidFill>
                <a:latin typeface="Hiragino Sans GB"/>
                <a:ea typeface="Hiragino Sans GB"/>
                <a:cs typeface="Hiragino Sans GB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Hiragino Sans GB"/>
              <a:ea typeface="Hiragino Sans GB"/>
              <a:cs typeface="Hiragino Sans GB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Hiragino Sans GB"/>
                <a:ea typeface="Hiragino Sans GB"/>
                <a:cs typeface="Hiragino Sans GB"/>
              </a:rPr>
              <a:t>A. 当前情景收入与经营利润（万元）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Hiragino Sans GB"/>
              <a:ea typeface="Hiragino Sans GB"/>
              <a:cs typeface="Hiragino Sans GB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订阅收入</c:v>
          </c:tx>
          <c:spPr>
            <a:solidFill xmlns:a="http://schemas.openxmlformats.org/drawingml/2006/main">
              <a:srgbClr val="20263D"/>
            </a:solidFill>
            <a:ln xmlns:a="http://schemas.openxmlformats.org/drawingml/2006/main" w="22860">
              <a:solidFill>
                <a:srgbClr val="20263D"/>
              </a:solidFill>
              <a:prstDash val="solid"/>
            </a:ln>
          </c:spPr>
          <c:marker>
            <c:symbol val="none"/>
          </c:marker>
          <c:cat>
            <c:strRef>
              <c:f>'增长测算'!$B$125:$B$136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'增长测算'!$C$125:$C$136</c:f>
              <c:numCache>
                <c:formatCode>0.0</c:formatCode>
                <c:ptCount val="12"/>
                <c:pt idx="0">
                  <c:v>181.319017675</c:v>
                </c:pt>
                <c:pt idx="1">
                  <c:v>194.133060621975</c:v>
                </c:pt>
                <c:pt idx="2">
                  <c:v>207.386661440109</c:v>
                </c:pt>
                <c:pt idx="3">
                  <c:v>221.296625142775</c:v>
                </c:pt>
                <c:pt idx="4">
                  <c:v>235.879328517632</c:v>
                </c:pt>
                <c:pt idx="5">
                  <c:v>250.937449189115</c:v>
                </c:pt>
                <c:pt idx="6">
                  <c:v>266.733097544568</c:v>
                </c:pt>
                <c:pt idx="7">
                  <c:v>283.285830642112</c:v>
                </c:pt>
                <c:pt idx="8">
                  <c:v>300.357116472754</c:v>
                </c:pt>
                <c:pt idx="9">
                  <c:v>318.260496551335</c:v>
                </c:pt>
                <c:pt idx="10">
                  <c:v>337.019278040989</c:v>
                </c:pt>
                <c:pt idx="11">
                  <c:v>356.348335875112</c:v>
                </c:pt>
              </c:numCache>
            </c:numRef>
          </c:val>
          <c:smooth val="0"/>
        </c:ser>
        <c:ser>
          <c:idx val="1"/>
          <c:order val="1"/>
          <c:tx>
            <c:v>经营利润</c:v>
          </c:tx>
          <c:spPr>
            <a:solidFill xmlns:a="http://schemas.openxmlformats.org/drawingml/2006/main">
              <a:srgbClr val="C77D63"/>
            </a:solidFill>
            <a:ln xmlns:a="http://schemas.openxmlformats.org/drawingml/2006/main" w="22860">
              <a:solidFill>
                <a:srgbClr val="C77D63"/>
              </a:solidFill>
              <a:prstDash val="dash"/>
            </a:ln>
          </c:spPr>
          <c:marker>
            <c:symbol val="none"/>
          </c:marker>
          <c:cat>
            <c:strRef>
              <c:f>'增长测算'!$B$125:$B$136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'增长测算'!$D$125:$D$136</c:f>
              <c:numCache>
                <c:formatCode>0.0</c:formatCode>
                <c:ptCount val="12"/>
                <c:pt idx="0">
                  <c:v>89.86840431675</c:v>
                </c:pt>
                <c:pt idx="1">
                  <c:v>99.6419121644217</c:v>
                </c:pt>
                <c:pt idx="2">
                  <c:v>109.797969089369</c:v>
                </c:pt>
                <c:pt idx="3">
                  <c:v>120.514156241076</c:v>
                </c:pt>
                <c:pt idx="4">
                  <c:v>131.805773413353</c:v>
                </c:pt>
                <c:pt idx="5">
                  <c:v>143.514021089128</c:v>
                </c:pt>
                <c:pt idx="6">
                  <c:v>155.854207596367</c:v>
                </c:pt>
                <c:pt idx="7">
                  <c:v>168.844523634606</c:v>
                </c:pt>
                <c:pt idx="8">
                  <c:v>182.292121274713</c:v>
                </c:pt>
                <c:pt idx="9">
                  <c:v>196.455346675544</c:v>
                </c:pt>
                <c:pt idx="10">
                  <c:v>211.355807993611</c:v>
                </c:pt>
                <c:pt idx="11">
                  <c:v>226.761983753467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low"/>
        <c:tickLblSkip val="1"/>
        <c:spPr>
          <a:ln xmlns:a="http://schemas.openxmlformats.org/drawingml/2006/main" w="4763">
            <a:solidFill>
              <a:srgbClr val="D9D4CC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solidFill>
                  <a:srgbClr val="777A82"/>
                </a:solidFill>
                <a:latin typeface="Hiragino Sans GB"/>
                <a:ea typeface="Hiragino Sans GB"/>
                <a:cs typeface="Hiragino Sans GB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4763">
              <a:solidFill>
                <a:srgbClr val="D9D4CC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xmlns:a="http://schemas.openxmlformats.org/drawingml/2006/main" w="4763">
            <a:solidFill>
              <a:srgbClr val="D9D4CC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solidFill>
                  <a:srgbClr val="777A82"/>
                </a:solidFill>
                <a:latin typeface="Hiragino Sans GB"/>
                <a:ea typeface="Hiragino Sans GB"/>
                <a:cs typeface="Hiragino Sans GB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Hiragino Sans GB"/>
              <a:ea typeface="Hiragino Sans GB"/>
              <a:cs typeface="Hiragino Sans GB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Hiragino Sans GB"/>
                <a:ea typeface="Hiragino Sans GB"/>
                <a:cs typeface="Hiragino Sans GB"/>
              </a:rPr>
              <a:t>B. 预测月末 MRR（万元）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Hiragino Sans GB"/>
              <a:ea typeface="Hiragino Sans GB"/>
              <a:cs typeface="Hiragino Sans GB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期末 MRR</c:v>
          </c:tx>
          <c:spPr>
            <a:solidFill xmlns:a="http://schemas.openxmlformats.org/drawingml/2006/main">
              <a:srgbClr val="5275A7"/>
            </a:solidFill>
            <a:ln xmlns:a="http://schemas.openxmlformats.org/drawingml/2006/main" w="22860">
              <a:solidFill>
                <a:srgbClr val="5275A7"/>
              </a:solidFill>
              <a:prstDash val="solid"/>
            </a:ln>
          </c:spPr>
          <c:marker>
            <c:symbol val="none"/>
          </c:marker>
          <c:cat>
            <c:strRef>
              <c:f>'增长测算'!$B$125:$B$136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'增长测算'!$E$125:$E$136</c:f>
              <c:numCache>
                <c:formatCode>0.0</c:formatCode>
                <c:ptCount val="12"/>
                <c:pt idx="0">
                  <c:v>187.61648535</c:v>
                </c:pt>
                <c:pt idx="1">
                  <c:v>200.64963589395</c:v>
                </c:pt>
                <c:pt idx="2">
                  <c:v>214.123686986268</c:v>
                </c:pt>
                <c:pt idx="3">
                  <c:v>228.469563299282</c:v>
                </c:pt>
                <c:pt idx="4">
                  <c:v>243.289093735983</c:v>
                </c:pt>
                <c:pt idx="5">
                  <c:v>258.585804642247</c:v>
                </c:pt>
                <c:pt idx="6">
                  <c:v>274.880390446889</c:v>
                </c:pt>
                <c:pt idx="7">
                  <c:v>291.691270837336</c:v>
                </c:pt>
                <c:pt idx="8">
                  <c:v>309.022962108173</c:v>
                </c:pt>
                <c:pt idx="9">
                  <c:v>327.498030994497</c:v>
                </c:pt>
                <c:pt idx="10">
                  <c:v>346.540525087481</c:v>
                </c:pt>
                <c:pt idx="11">
                  <c:v>366.156146662743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low"/>
        <c:tickLblSkip val="2"/>
        <c:spPr>
          <a:ln xmlns:a="http://schemas.openxmlformats.org/drawingml/2006/main" w="4763">
            <a:solidFill>
              <a:srgbClr val="D9D4CC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solidFill>
                  <a:srgbClr val="777A82"/>
                </a:solidFill>
                <a:latin typeface="Hiragino Sans GB"/>
                <a:ea typeface="Hiragino Sans GB"/>
                <a:cs typeface="Hiragino Sans GB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4763">
              <a:solidFill>
                <a:srgbClr val="D9D4CC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xmlns:a="http://schemas.openxmlformats.org/drawingml/2006/main" w="4763">
            <a:solidFill>
              <a:srgbClr val="D9D4CC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solidFill>
                  <a:srgbClr val="777A82"/>
                </a:solidFill>
                <a:latin typeface="Hiragino Sans GB"/>
                <a:ea typeface="Hiragino Sans GB"/>
                <a:cs typeface="Hiragino Sans GB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Hiragino Sans GB"/>
                <a:ea typeface="Hiragino Sans GB"/>
                <a:cs typeface="Hiragino Sans GB"/>
              </a:rPr>
              <a:t>C. 预测月末客户（家）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Hiragino Sans GB"/>
              <a:ea typeface="Hiragino Sans GB"/>
              <a:cs typeface="Hiragino Sans GB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期末客户</c:v>
          </c:tx>
          <c:spPr>
            <a:solidFill xmlns:a="http://schemas.openxmlformats.org/drawingml/2006/main">
              <a:srgbClr val="839A89"/>
            </a:solidFill>
            <a:ln xmlns:a="http://schemas.openxmlformats.org/drawingml/2006/main" w="22860">
              <a:solidFill>
                <a:srgbClr val="839A89"/>
              </a:solidFill>
              <a:prstDash val="solid"/>
            </a:ln>
          </c:spPr>
          <c:marker>
            <c:symbol val="none"/>
          </c:marker>
          <c:cat>
            <c:strRef>
              <c:f>'增长测算'!$B$125:$B$136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'增长测算'!$F$125:$F$136</c:f>
              <c:numCache>
                <c:formatCode>#,##0;\(#,##0\);\—</c:formatCode>
                <c:ptCount val="12"/>
                <c:pt idx="0">
                  <c:v>888</c:v>
                </c:pt>
                <c:pt idx="1">
                  <c:v>934</c:v>
                </c:pt>
                <c:pt idx="2">
                  <c:v>981</c:v>
                </c:pt>
                <c:pt idx="3">
                  <c:v>1028</c:v>
                </c:pt>
                <c:pt idx="4">
                  <c:v>1076</c:v>
                </c:pt>
                <c:pt idx="5">
                  <c:v>1125</c:v>
                </c:pt>
                <c:pt idx="6">
                  <c:v>1175</c:v>
                </c:pt>
                <c:pt idx="7">
                  <c:v>1226</c:v>
                </c:pt>
                <c:pt idx="8">
                  <c:v>1278</c:v>
                </c:pt>
                <c:pt idx="9">
                  <c:v>1331</c:v>
                </c:pt>
                <c:pt idx="10">
                  <c:v>1384</c:v>
                </c:pt>
                <c:pt idx="11">
                  <c:v>1438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low"/>
        <c:tickLblSkip val="2"/>
        <c:spPr>
          <a:ln xmlns:a="http://schemas.openxmlformats.org/drawingml/2006/main" w="4763">
            <a:solidFill>
              <a:srgbClr val="D9D4CC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solidFill>
                  <a:srgbClr val="777A82"/>
                </a:solidFill>
                <a:latin typeface="Hiragino Sans GB"/>
                <a:ea typeface="Hiragino Sans GB"/>
                <a:cs typeface="Hiragino Sans GB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4763">
              <a:solidFill>
                <a:srgbClr val="D9D4CC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xmlns:a="http://schemas.openxmlformats.org/drawingml/2006/main" w="4763">
            <a:solidFill>
              <a:srgbClr val="D9D4CC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solidFill>
                  <a:srgbClr val="777A82"/>
                </a:solidFill>
                <a:latin typeface="Hiragino Sans GB"/>
                <a:ea typeface="Hiragino Sans GB"/>
                <a:cs typeface="Hiragino Sans GB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Hiragino Sans GB"/>
                <a:ea typeface="Hiragino Sans GB"/>
                <a:cs typeface="Hiragino Sans GB"/>
              </a:rPr>
              <a:t>A. 新增与流失客户（家）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Hiragino Sans GB"/>
              <a:ea typeface="Hiragino Sans GB"/>
              <a:cs typeface="Hiragino Sans GB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新增客户</c:v>
          </c:tx>
          <c:spPr>
            <a:solidFill xmlns:a="http://schemas.openxmlformats.org/drawingml/2006/main">
              <a:srgbClr val="20263D"/>
            </a:solidFill>
          </c:spPr>
          <c:cat>
            <c:strRef>
              <c:f>'增长质量'!$B$121:$B$132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'增长质量'!$G$121:$G$132</c:f>
              <c:numCache>
                <c:formatCode>0</c:formatCode>
                <c:ptCount val="12"/>
                <c:pt idx="0">
                  <c:v>32</c:v>
                </c:pt>
                <c:pt idx="1">
                  <c:v>30</c:v>
                </c:pt>
                <c:pt idx="2">
                  <c:v>36</c:v>
                </c:pt>
                <c:pt idx="3">
                  <c:v>39</c:v>
                </c:pt>
                <c:pt idx="4">
                  <c:v>41</c:v>
                </c:pt>
                <c:pt idx="5">
                  <c:v>44</c:v>
                </c:pt>
                <c:pt idx="6">
                  <c:v>47</c:v>
                </c:pt>
                <c:pt idx="7">
                  <c:v>51</c:v>
                </c:pt>
                <c:pt idx="8">
                  <c:v>51</c:v>
                </c:pt>
                <c:pt idx="9">
                  <c:v>56</c:v>
                </c:pt>
                <c:pt idx="10">
                  <c:v>60</c:v>
                </c:pt>
                <c:pt idx="11">
                  <c:v>66</c:v>
                </c:pt>
              </c:numCache>
            </c:numRef>
          </c:val>
        </c:ser>
        <c:ser>
          <c:idx val="1"/>
          <c:order val="1"/>
          <c:tx>
            <c:v>流失客户</c:v>
          </c:tx>
          <c:spPr>
            <a:solidFill xmlns:a="http://schemas.openxmlformats.org/drawingml/2006/main">
              <a:srgbClr val="C77D63"/>
            </a:solidFill>
          </c:spPr>
          <c:cat>
            <c:strRef>
              <c:f>'增长质量'!$B$121:$B$132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'增长质量'!$H$121:$H$132</c:f>
              <c:numCache>
                <c:formatCode>0</c:formatCode>
                <c:ptCount val="12"/>
                <c:pt idx="0">
                  <c:v>16</c:v>
                </c:pt>
                <c:pt idx="1">
                  <c:v>10</c:v>
                </c:pt>
                <c:pt idx="2">
                  <c:v>11</c:v>
                </c:pt>
                <c:pt idx="3">
                  <c:v>10</c:v>
                </c:pt>
                <c:pt idx="4">
                  <c:v>10</c:v>
                </c:pt>
                <c:pt idx="5">
                  <c:v>11</c:v>
                </c:pt>
                <c:pt idx="6">
                  <c:v>19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</c:numCache>
            </c:numRef>
          </c:val>
        </c:ser>
        <c:gapWidth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low"/>
        <c:tickLblSkip val="1"/>
        <c:spPr>
          <a:ln xmlns:a="http://schemas.openxmlformats.org/drawingml/2006/main" w="4763">
            <a:solidFill>
              <a:srgbClr val="D9D4CC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solidFill>
                  <a:srgbClr val="777A82"/>
                </a:solidFill>
                <a:latin typeface="Hiragino Sans GB"/>
                <a:ea typeface="Hiragino Sans GB"/>
                <a:cs typeface="Hiragino Sans GB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4763">
              <a:solidFill>
                <a:srgbClr val="D9D4CC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xmlns:a="http://schemas.openxmlformats.org/drawingml/2006/main" w="4763">
            <a:solidFill>
              <a:srgbClr val="D9D4CC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solidFill>
                  <a:srgbClr val="777A82"/>
                </a:solidFill>
                <a:latin typeface="Hiragino Sans GB"/>
                <a:ea typeface="Hiragino Sans GB"/>
                <a:cs typeface="Hiragino Sans GB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Hiragino Sans GB"/>
              <a:ea typeface="Hiragino Sans GB"/>
              <a:cs typeface="Hiragino Sans GB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Hiragino Sans GB"/>
                <a:ea typeface="Hiragino Sans GB"/>
                <a:cs typeface="Hiragino Sans GB"/>
              </a:rPr>
              <a:t>B. 月度收入留存率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Hiragino Sans GB"/>
              <a:ea typeface="Hiragino Sans GB"/>
              <a:cs typeface="Hiragino Sans GB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月度 NRR</c:v>
          </c:tx>
          <c:spPr>
            <a:solidFill xmlns:a="http://schemas.openxmlformats.org/drawingml/2006/main">
              <a:srgbClr val="20263D"/>
            </a:solidFill>
            <a:ln xmlns:a="http://schemas.openxmlformats.org/drawingml/2006/main" w="22860">
              <a:solidFill>
                <a:srgbClr val="20263D"/>
              </a:solidFill>
              <a:prstDash val="solid"/>
            </a:ln>
          </c:spPr>
          <c:marker>
            <c:symbol val="none"/>
          </c:marker>
          <c:cat>
            <c:strRef>
              <c:f>'增长质量'!$B$121:$B$132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'增长质量'!$I$121:$I$132</c:f>
              <c:numCache>
                <c:formatCode>0.0%;\(0.0%\);\—</c:formatCode>
                <c:ptCount val="12"/>
                <c:pt idx="0">
                  <c:v>0.97729564553094</c:v>
                </c:pt>
                <c:pt idx="1">
                  <c:v>0.998547508474908</c:v>
                </c:pt>
                <c:pt idx="2">
                  <c:v>0.998468741240435</c:v>
                </c:pt>
                <c:pt idx="3">
                  <c:v>0.999619393624843</c:v>
                </c:pt>
                <c:pt idx="4">
                  <c:v>1.00016963391386</c:v>
                </c:pt>
                <c:pt idx="5">
                  <c:v>1.00019451450219</c:v>
                </c:pt>
                <c:pt idx="6">
                  <c:v>0.9846171641086</c:v>
                </c:pt>
                <c:pt idx="7">
                  <c:v>1.00026239045199</c:v>
                </c:pt>
                <c:pt idx="8">
                  <c:v>1.0028011953731</c:v>
                </c:pt>
                <c:pt idx="9">
                  <c:v>1.00328288302195</c:v>
                </c:pt>
                <c:pt idx="10">
                  <c:v>1.00344353283383</c:v>
                </c:pt>
                <c:pt idx="11">
                  <c:v>1.00251538182575</c:v>
                </c:pt>
              </c:numCache>
            </c:numRef>
          </c:val>
          <c:smooth val="0"/>
        </c:ser>
        <c:ser>
          <c:idx val="1"/>
          <c:order val="1"/>
          <c:tx>
            <c:v>月度 GRR</c:v>
          </c:tx>
          <c:spPr>
            <a:solidFill xmlns:a="http://schemas.openxmlformats.org/drawingml/2006/main">
              <a:srgbClr val="C77D63"/>
            </a:solidFill>
            <a:ln xmlns:a="http://schemas.openxmlformats.org/drawingml/2006/main" w="22860">
              <a:solidFill>
                <a:srgbClr val="C77D63"/>
              </a:solidFill>
              <a:prstDash val="dash"/>
            </a:ln>
          </c:spPr>
          <c:marker>
            <c:symbol val="none"/>
          </c:marker>
          <c:cat>
            <c:strRef>
              <c:f>'增长质量'!$B$121:$B$132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'增长质量'!$J$121:$J$132</c:f>
              <c:numCache>
                <c:formatCode>0.0%;\(0.0%\);\—</c:formatCode>
                <c:ptCount val="12"/>
                <c:pt idx="0">
                  <c:v>0.966330532212885</c:v>
                </c:pt>
                <c:pt idx="1">
                  <c:v>0.987584014265279</c:v>
                </c:pt>
                <c:pt idx="2">
                  <c:v>0.987498581095325</c:v>
                </c:pt>
                <c:pt idx="3">
                  <c:v>0.988634790882747</c:v>
                </c:pt>
                <c:pt idx="4">
                  <c:v>0.989175740734757</c:v>
                </c:pt>
                <c:pt idx="5">
                  <c:v>0.989195002676935</c:v>
                </c:pt>
                <c:pt idx="6">
                  <c:v>0.97361378327525</c:v>
                </c:pt>
                <c:pt idx="7">
                  <c:v>0.989251154309742</c:v>
                </c:pt>
                <c:pt idx="8">
                  <c:v>0.989781412948376</c:v>
                </c:pt>
                <c:pt idx="9">
                  <c:v>0.990256668649189</c:v>
                </c:pt>
                <c:pt idx="10">
                  <c:v>0.990406014606157</c:v>
                </c:pt>
                <c:pt idx="11">
                  <c:v>0.98947101235771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low"/>
        <c:tickLblSkip val="2"/>
        <c:spPr>
          <a:ln xmlns:a="http://schemas.openxmlformats.org/drawingml/2006/main" w="4763">
            <a:solidFill>
              <a:srgbClr val="D9D4CC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solidFill>
                  <a:srgbClr val="777A82"/>
                </a:solidFill>
                <a:latin typeface="Hiragino Sans GB"/>
                <a:ea typeface="Hiragino Sans GB"/>
                <a:cs typeface="Hiragino Sans GB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4763">
              <a:solidFill>
                <a:srgbClr val="D9D4CC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spPr>
          <a:ln xmlns:a="http://schemas.openxmlformats.org/drawingml/2006/main" w="4763">
            <a:solidFill>
              <a:srgbClr val="D9D4CC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solidFill>
                  <a:srgbClr val="777A82"/>
                </a:solidFill>
                <a:latin typeface="Hiragino Sans GB"/>
                <a:ea typeface="Hiragino Sans GB"/>
                <a:cs typeface="Hiragino Sans GB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Hiragino Sans GB"/>
              <a:ea typeface="Hiragino Sans GB"/>
              <a:cs typeface="Hiragino Sans GB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Hiragino Sans GB"/>
                <a:ea typeface="Hiragino Sans GB"/>
                <a:cs typeface="Hiragino Sans GB"/>
              </a:rPr>
              <a:t>C. CAC 回收期（月）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Hiragino Sans GB"/>
              <a:ea typeface="Hiragino Sans GB"/>
              <a:cs typeface="Hiragino Sans GB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CAC 回收</c:v>
          </c:tx>
          <c:spPr>
            <a:solidFill xmlns:a="http://schemas.openxmlformats.org/drawingml/2006/main">
              <a:srgbClr val="839A89"/>
            </a:solidFill>
            <a:ln xmlns:a="http://schemas.openxmlformats.org/drawingml/2006/main" w="22860">
              <a:solidFill>
                <a:srgbClr val="839A89"/>
              </a:solidFill>
              <a:prstDash val="solid"/>
            </a:ln>
          </c:spPr>
          <c:marker>
            <c:symbol val="none"/>
          </c:marker>
          <c:cat>
            <c:strRef>
              <c:f>'增长质量'!$B$121:$B$132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'增长质量'!$K$121:$K$132</c:f>
              <c:numCache>
                <c:formatCode>0.0</c:formatCode>
                <c:ptCount val="12"/>
                <c:pt idx="0">
                  <c:v>2.36336031663821</c:v>
                </c:pt>
                <c:pt idx="1">
                  <c:v>2.38926990278566</c:v>
                </c:pt>
                <c:pt idx="2">
                  <c:v>2.44884069137533</c:v>
                </c:pt>
                <c:pt idx="3">
                  <c:v>2.33041981857944</c:v>
                </c:pt>
                <c:pt idx="4">
                  <c:v>2.2019460195162</c:v>
                </c:pt>
                <c:pt idx="5">
                  <c:v>2.16488789147672</c:v>
                </c:pt>
                <c:pt idx="6">
                  <c:v>2.22918319120428</c:v>
                </c:pt>
                <c:pt idx="7">
                  <c:v>2.10256236967217</c:v>
                </c:pt>
                <c:pt idx="8">
                  <c:v>2.07836693542353</c:v>
                </c:pt>
                <c:pt idx="9">
                  <c:v>2.08949068566869</c:v>
                </c:pt>
                <c:pt idx="10">
                  <c:v>2.00354694289</c:v>
                </c:pt>
                <c:pt idx="11">
                  <c:v>1.98039902413425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low"/>
        <c:tickLblSkip val="2"/>
        <c:spPr>
          <a:ln xmlns:a="http://schemas.openxmlformats.org/drawingml/2006/main" w="4763">
            <a:solidFill>
              <a:srgbClr val="D9D4CC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solidFill>
                  <a:srgbClr val="777A82"/>
                </a:solidFill>
                <a:latin typeface="Hiragino Sans GB"/>
                <a:ea typeface="Hiragino Sans GB"/>
                <a:cs typeface="Hiragino Sans GB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4763">
              <a:solidFill>
                <a:srgbClr val="D9D4CC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xmlns:a="http://schemas.openxmlformats.org/drawingml/2006/main" w="4763">
            <a:solidFill>
              <a:srgbClr val="D9D4CC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solidFill>
                  <a:srgbClr val="777A82"/>
                </a:solidFill>
                <a:latin typeface="Hiragino Sans GB"/>
                <a:ea typeface="Hiragino Sans GB"/>
                <a:cs typeface="Hiragino Sans GB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Hiragino Sans GB"/>
                <a:ea typeface="Hiragino Sans GB"/>
                <a:cs typeface="Hiragino Sans GB"/>
              </a:rPr>
              <a:t>A. 三个批次的留存曲线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Hiragino Sans GB"/>
              <a:ea typeface="Hiragino Sans GB"/>
              <a:cs typeface="Hiragino Sans GB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1 月批次</c:v>
          </c:tx>
          <c:spPr>
            <a:solidFill xmlns:a="http://schemas.openxmlformats.org/drawingml/2006/main">
              <a:srgbClr val="20263D"/>
            </a:solidFill>
            <a:ln xmlns:a="http://schemas.openxmlformats.org/drawingml/2006/main" w="22860">
              <a:solidFill>
                <a:srgbClr val="20263D"/>
              </a:solidFill>
              <a:prstDash val="solid"/>
            </a:ln>
          </c:spPr>
          <c:marker>
            <c:symbol val="none"/>
          </c:marker>
          <c:cat>
            <c:strRef>
              <c:f>'客户留存'!$B$78:$B$83</c:f>
              <c:strCache>
                <c:ptCount val="6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</c:strCache>
            </c:strRef>
          </c:cat>
          <c:val>
            <c:numRef>
              <c:f>'客户留存'!$C$78:$C$83</c:f>
              <c:numCache>
                <c:formatCode>0.0%;\(0.0%\);\—</c:formatCode>
                <c:ptCount val="6"/>
                <c:pt idx="0">
                  <c:v>1</c:v>
                </c:pt>
                <c:pt idx="1">
                  <c:v>0.96875</c:v>
                </c:pt>
                <c:pt idx="2">
                  <c:v>0.9375</c:v>
                </c:pt>
                <c:pt idx="3">
                  <c:v>0.90625</c:v>
                </c:pt>
                <c:pt idx="4">
                  <c:v>0.90625</c:v>
                </c:pt>
                <c:pt idx="5">
                  <c:v>0.90625</c:v>
                </c:pt>
              </c:numCache>
            </c:numRef>
          </c:val>
          <c:smooth val="0"/>
        </c:ser>
        <c:ser>
          <c:idx val="1"/>
          <c:order val="1"/>
          <c:tx>
            <c:v>4 月批次</c:v>
          </c:tx>
          <c:spPr>
            <a:solidFill xmlns:a="http://schemas.openxmlformats.org/drawingml/2006/main">
              <a:srgbClr val="C77D63"/>
            </a:solidFill>
            <a:ln xmlns:a="http://schemas.openxmlformats.org/drawingml/2006/main" w="22860">
              <a:solidFill>
                <a:srgbClr val="C77D63"/>
              </a:solidFill>
              <a:prstDash val="dash"/>
            </a:ln>
          </c:spPr>
          <c:marker>
            <c:symbol val="none"/>
          </c:marker>
          <c:cat>
            <c:strRef>
              <c:f>'客户留存'!$B$78:$B$83</c:f>
              <c:strCache>
                <c:ptCount val="6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</c:strCache>
            </c:strRef>
          </c:cat>
          <c:val>
            <c:numRef>
              <c:f>'客户留存'!$D$78:$D$83</c:f>
              <c:numCache>
                <c:formatCode>0.0%;\(0.0%\);\—</c:formatCode>
                <c:ptCount val="6"/>
                <c:pt idx="0">
                  <c:v>1</c:v>
                </c:pt>
                <c:pt idx="1">
                  <c:v>0.974358974358974</c:v>
                </c:pt>
                <c:pt idx="2">
                  <c:v>0.948717948717949</c:v>
                </c:pt>
                <c:pt idx="3">
                  <c:v>0.923076923076923</c:v>
                </c:pt>
                <c:pt idx="4">
                  <c:v>0.897435897435898</c:v>
                </c:pt>
                <c:pt idx="5">
                  <c:v>0.871794871794872</c:v>
                </c:pt>
              </c:numCache>
            </c:numRef>
          </c:val>
          <c:smooth val="0"/>
        </c:ser>
        <c:ser>
          <c:idx val="2"/>
          <c:order val="2"/>
          <c:tx>
            <c:v>7 月批次</c:v>
          </c:tx>
          <c:spPr>
            <a:solidFill xmlns:a="http://schemas.openxmlformats.org/drawingml/2006/main">
              <a:srgbClr val="839A89"/>
            </a:solidFill>
            <a:ln xmlns:a="http://schemas.openxmlformats.org/drawingml/2006/main" w="22860">
              <a:solidFill>
                <a:srgbClr val="839A89"/>
              </a:solidFill>
              <a:prstDash val="solid"/>
            </a:ln>
          </c:spPr>
          <c:marker>
            <c:symbol val="none"/>
          </c:marker>
          <c:cat>
            <c:strRef>
              <c:f>'客户留存'!$B$78:$B$83</c:f>
              <c:strCache>
                <c:ptCount val="6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</c:strCache>
            </c:strRef>
          </c:cat>
          <c:val>
            <c:numRef>
              <c:f>'客户留存'!$E$78:$E$83</c:f>
              <c:numCache>
                <c:formatCode>0.0%;\(0.0%\);\—</c:formatCode>
                <c:ptCount val="6"/>
                <c:pt idx="0">
                  <c:v>1</c:v>
                </c:pt>
                <c:pt idx="1">
                  <c:v>0.978723404255319</c:v>
                </c:pt>
                <c:pt idx="2">
                  <c:v>0.957446808510638</c:v>
                </c:pt>
                <c:pt idx="3">
                  <c:v>0.936170212765958</c:v>
                </c:pt>
                <c:pt idx="4">
                  <c:v>0.914893617021277</c:v>
                </c:pt>
                <c:pt idx="5">
                  <c:v>0.893617021276596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low"/>
        <c:tickLblSkip val="1"/>
        <c:spPr>
          <a:ln xmlns:a="http://schemas.openxmlformats.org/drawingml/2006/main" w="4763">
            <a:solidFill>
              <a:srgbClr val="D9D4CC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solidFill>
                  <a:srgbClr val="777A82"/>
                </a:solidFill>
                <a:latin typeface="Hiragino Sans GB"/>
                <a:ea typeface="Hiragino Sans GB"/>
                <a:cs typeface="Hiragino Sans GB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4763">
              <a:solidFill>
                <a:srgbClr val="D9D4CC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spPr>
          <a:ln xmlns:a="http://schemas.openxmlformats.org/drawingml/2006/main" w="4763">
            <a:solidFill>
              <a:srgbClr val="D9D4CC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solidFill>
                  <a:srgbClr val="777A82"/>
                </a:solidFill>
                <a:latin typeface="Hiragino Sans GB"/>
                <a:ea typeface="Hiragino Sans GB"/>
                <a:cs typeface="Hiragino Sans GB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Hiragino Sans GB"/>
              <a:ea typeface="Hiragino Sans GB"/>
              <a:cs typeface="Hiragino Sans GB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Hiragino Sans GB"/>
                <a:ea typeface="Hiragino Sans GB"/>
                <a:cs typeface="Hiragino Sans GB"/>
              </a:rPr>
              <a:t>B. 各批次 M3 客户留存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Hiragino Sans GB"/>
              <a:ea typeface="Hiragino Sans GB"/>
              <a:cs typeface="Hiragino Sans GB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M3 留存</c:v>
          </c:tx>
          <c:spPr>
            <a:solidFill xmlns:a="http://schemas.openxmlformats.org/drawingml/2006/main">
              <a:srgbClr val="5275A7"/>
            </a:solidFill>
            <a:ln xmlns:a="http://schemas.openxmlformats.org/drawingml/2006/main" w="22860">
              <a:solidFill>
                <a:srgbClr val="5275A7"/>
              </a:solidFill>
              <a:prstDash val="solid"/>
            </a:ln>
          </c:spPr>
          <c:marker>
            <c:symbol val="none"/>
          </c:marker>
          <c:cat>
            <c:strRef>
              <c:f>'客户留存'!$H$78:$H$86</c:f>
              <c:strCache>
                <c:ptCount val="9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</c:strCache>
            </c:strRef>
          </c:cat>
          <c:val>
            <c:numRef>
              <c:f>'客户留存'!$I$78:$I$86</c:f>
              <c:numCache>
                <c:formatCode>0.0%;\(0.0%\);\—</c:formatCode>
                <c:ptCount val="9"/>
                <c:pt idx="0">
                  <c:v>0.90625</c:v>
                </c:pt>
                <c:pt idx="1">
                  <c:v>0.966666666666667</c:v>
                </c:pt>
                <c:pt idx="2">
                  <c:v>0.916666666666667</c:v>
                </c:pt>
                <c:pt idx="3">
                  <c:v>0.923076923076923</c:v>
                </c:pt>
                <c:pt idx="4">
                  <c:v>0.926829268292683</c:v>
                </c:pt>
                <c:pt idx="5">
                  <c:v>0.909090909090909</c:v>
                </c:pt>
                <c:pt idx="6">
                  <c:v>0.936170212765958</c:v>
                </c:pt>
                <c:pt idx="7">
                  <c:v>0.941176470588235</c:v>
                </c:pt>
                <c:pt idx="8">
                  <c:v>0.941176470588235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low"/>
        <c:tickLblSkip val="1"/>
        <c:spPr>
          <a:ln xmlns:a="http://schemas.openxmlformats.org/drawingml/2006/main" w="4763">
            <a:solidFill>
              <a:srgbClr val="D9D4CC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solidFill>
                  <a:srgbClr val="777A82"/>
                </a:solidFill>
                <a:latin typeface="Hiragino Sans GB"/>
                <a:ea typeface="Hiragino Sans GB"/>
                <a:cs typeface="Hiragino Sans GB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4763">
              <a:solidFill>
                <a:srgbClr val="D9D4CC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spPr>
          <a:ln xmlns:a="http://schemas.openxmlformats.org/drawingml/2006/main" w="4763">
            <a:solidFill>
              <a:srgbClr val="D9D4CC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solidFill>
                  <a:srgbClr val="777A82"/>
                </a:solidFill>
                <a:latin typeface="Hiragino Sans GB"/>
                <a:ea typeface="Hiragino Sans GB"/>
                <a:cs typeface="Hiragino Sans GB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11</xdr:row>
      <xdr:rowOff>0</xdr:rowOff>
    </xdr:from>
    <xdr:ext cx="7734300" cy="3905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e387cf0c054f2e"/>
        </a:graphicData>
      </a:graphic>
    </xdr:graphicFrame>
    <xdr:clientData/>
  </xdr:oneCellAnchor>
  <xdr:oneCellAnchor>
    <xdr:from>
      <xdr:col>1</xdr:col>
      <xdr:colOff>0</xdr:colOff>
      <xdr:row>28</xdr:row>
      <xdr:rowOff>0</xdr:rowOff>
    </xdr:from>
    <xdr:ext cx="5981700" cy="29527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496f51308f4bb7"/>
        </a:graphicData>
      </a:graphic>
    </xdr:graphicFrame>
    <xdr:clientData/>
  </xdr:oneCellAnchor>
  <xdr:oneCellAnchor>
    <xdr:from>
      <xdr:col>8</xdr:col>
      <xdr:colOff>0</xdr:colOff>
      <xdr:row>28</xdr:row>
      <xdr:rowOff>0</xdr:rowOff>
    </xdr:from>
    <xdr:ext cx="5505450" cy="295275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c6c3e31c9e465c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11</xdr:row>
      <xdr:rowOff>0</xdr:rowOff>
    </xdr:from>
    <xdr:ext cx="11763375" cy="4762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7ba9a1a0b3471d"/>
        </a:graphicData>
      </a:graphic>
    </xdr:graphicFrame>
    <xdr:clientData/>
  </xdr:oneCellAnchor>
  <xdr:oneCellAnchor>
    <xdr:from>
      <xdr:col>1</xdr:col>
      <xdr:colOff>0</xdr:colOff>
      <xdr:row>29</xdr:row>
      <xdr:rowOff>0</xdr:rowOff>
    </xdr:from>
    <xdr:ext cx="5981700" cy="37147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200a3a620d4121"/>
        </a:graphicData>
      </a:graphic>
    </xdr:graphicFrame>
    <xdr:clientData/>
  </xdr:oneCellAnchor>
  <xdr:oneCellAnchor>
    <xdr:from>
      <xdr:col>8</xdr:col>
      <xdr:colOff>0</xdr:colOff>
      <xdr:row>29</xdr:row>
      <xdr:rowOff>0</xdr:rowOff>
    </xdr:from>
    <xdr:ext cx="5505450" cy="371475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5b574fb9f04b85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0</xdr:colOff>
      <xdr:row>11</xdr:row>
      <xdr:rowOff>0</xdr:rowOff>
    </xdr:from>
    <xdr:ext cx="11763375" cy="4762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cfcc96d92540bf"/>
        </a:graphicData>
      </a:graphic>
    </xdr:graphicFrame>
    <xdr:clientData/>
  </xdr:oneCellAnchor>
  <xdr:oneCellAnchor>
    <xdr:from>
      <xdr:col>1</xdr:col>
      <xdr:colOff>0</xdr:colOff>
      <xdr:row>29</xdr:row>
      <xdr:rowOff>0</xdr:rowOff>
    </xdr:from>
    <xdr:ext cx="5981700" cy="37147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8164f389ee4d3c"/>
        </a:graphicData>
      </a:graphic>
    </xdr:graphicFrame>
    <xdr:clientData/>
  </xdr:oneCellAnchor>
  <xdr:oneCellAnchor>
    <xdr:from>
      <xdr:col>8</xdr:col>
      <xdr:colOff>0</xdr:colOff>
      <xdr:row>29</xdr:row>
      <xdr:rowOff>0</xdr:rowOff>
    </xdr:from>
    <xdr:ext cx="5505450" cy="371475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dbaa766b7c4b2b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0</xdr:colOff>
      <xdr:row>26</xdr:row>
      <xdr:rowOff>0</xdr:rowOff>
    </xdr:from>
    <xdr:ext cx="5981700" cy="3714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8947efecbe4737"/>
        </a:graphicData>
      </a:graphic>
    </xdr:graphicFrame>
    <xdr:clientData/>
  </xdr:oneCellAnchor>
  <xdr:oneCellAnchor>
    <xdr:from>
      <xdr:col>8</xdr:col>
      <xdr:colOff>0</xdr:colOff>
      <xdr:row>26</xdr:row>
      <xdr:rowOff>0</xdr:rowOff>
    </xdr:from>
    <xdr:ext cx="5505450" cy="37147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6953ca0fd54c8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e562b163c6147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d6b6ca221614a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0754adaae07d47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a465150899124148" /></Relationships>
</file>

<file path=xl/worksheets/sheet1.xml><?xml version="1.0" encoding="utf-8"?>
<x:worksheet xmlns:x="http://schemas.openxmlformats.org/spreadsheetml/2006/main">
  <x:sheetPr>
    <x:tabColor rgb="FF20263D"/>
  </x:sheetPr>
  <x:sheetViews>
    <x:sheetView showGridLines="0" workbookViewId="0"/>
  </x:sheetViews>
  <x:sheetFormatPr defaultRowHeight="15"/>
  <x:cols>
    <x:col min="1" max="1" width="2.890000104904175" hidden="0" customWidth="1"/>
    <x:col min="2" max="2" width="18.440000534057617" hidden="0" customWidth="1"/>
    <x:col min="3" max="3" width="9.329999923706055" hidden="0" customWidth="1"/>
    <x:col min="4" max="4" width="9.329999923706055" hidden="0" customWidth="1"/>
    <x:col min="5" max="5" width="9.329999923706055" hidden="0" customWidth="1"/>
    <x:col min="6" max="6" width="9.329999923706055" hidden="0" customWidth="1"/>
    <x:col min="7" max="7" width="9.329999923706055" hidden="0" customWidth="1"/>
    <x:col min="8" max="8" width="9.329999923706055" hidden="0" customWidth="1"/>
    <x:col min="9" max="9" width="9.329999923706055" hidden="0" customWidth="1"/>
    <x:col min="10" max="10" width="9.329999923706055" hidden="0" customWidth="1"/>
    <x:col min="11" max="11" width="9.329999923706055" hidden="0" customWidth="1"/>
    <x:col min="12" max="12" width="9.329999923706055" hidden="0" customWidth="1"/>
    <x:col min="13" max="13" width="9.329999923706055" hidden="0" customWidth="1"/>
    <x:col min="14" max="14" width="9.329999923706055" hidden="0" customWidth="1"/>
    <x:col min="15" max="15" width="9.329999923706055" hidden="0" customWidth="1"/>
    <x:col min="16" max="16" width="2.890000104904175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4" customHeight="1">
      <x:c r="A2" s="3"/>
      <x:c r="B2" s="20" t="str">
        <x:v>01  /  ANNUAL REVIEW</x:v>
      </x:c>
      <x:c r="C2" s="3"/>
      <x:c r="D2" s="3"/>
      <x:c r="E2" s="3"/>
      <x:c r="F2" s="3"/>
      <x:c r="G2" s="3"/>
      <x:c r="H2" s="3"/>
      <x:c r="I2" s="3"/>
      <x:c r="J2" s="3"/>
      <x:c r="K2" s="3"/>
      <x:c r="L2" s="20" t="str">
        <x:v>预测情景</x:v>
      </x:c>
      <x:c r="M2" s="3"/>
      <x:c r="N2" s="57" t="str">
        <x:f>'增长测算'!H6</x:f>
        <x:v>基准</x:v>
      </x:c>
      <x:c r="O2" s="57"/>
      <x:c r="P2" s="3"/>
    </x:row>
    <x:row r="3" ht="39" customHeight="1">
      <x:c r="A3" s="3"/>
      <x:c r="B3" s="21" t="str">
        <x:v>年度经营与客户分析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24" customHeight="1">
      <x:c r="A4" s="3"/>
      <x:c r="B4" s="69" t="str">
        <x:v>澄云软件    2025 年度复盘    月度经营数据与日度模拟拆分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24" customHeight="1">
      <x:c r="A5" s="3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3"/>
    </x:row>
    <x:row r="6" ht="24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7" ht="24" customHeight="1">
      <x:c r="A7" s="3"/>
      <x:c r="B7" s="20" t="str">
        <x:v>全年订阅收入（万元）</x:v>
      </x:c>
      <x:c r="C7" s="3"/>
      <x:c r="D7" s="3"/>
      <x:c r="E7" s="20" t="str">
        <x:v>全年毛利率</x:v>
      </x:c>
      <x:c r="F7" s="3"/>
      <x:c r="G7" s="3"/>
      <x:c r="H7" s="3"/>
      <x:c r="I7" s="20" t="str">
        <x:v>年末付费客户（家）</x:v>
      </x:c>
      <x:c r="J7" s="3"/>
      <x:c r="K7" s="3"/>
      <x:c r="L7" s="20" t="str">
        <x:v>年末 ARR（万元）</x:v>
      </x:c>
      <x:c r="M7" s="3"/>
      <x:c r="N7" s="3"/>
      <x:c r="O7" s="3"/>
      <x:c r="P7" s="3"/>
    </x:row>
    <x:row r="8" ht="24" customHeight="1">
      <x:c r="A8" s="3"/>
      <x:c r="B8" s="46">
        <x:f>SUM('增长质量'!C74:N74)/10000</x:f>
        <x:v>1404.708375</x:v>
      </x:c>
      <x:c r="C8" s="46"/>
      <x:c r="D8" s="46"/>
      <x:c r="E8" s="44">
        <x:f>SUM('增长质量'!C76:N76)/SUM('增长质量'!C74:N74)</x:f>
        <x:v>0.806752486970828</x:v>
      </x:c>
      <x:c r="F8" s="44"/>
      <x:c r="G8" s="44"/>
      <x:c r="H8" s="3"/>
      <x:c r="I8" s="43">
        <x:f>'增长质量'!N72</x:f>
        <x:v>843</x:v>
      </x:c>
      <x:c r="J8" s="43"/>
      <x:c r="K8" s="43"/>
      <x:c r="L8" s="46">
        <x:f>'增长质量'!N66*12/10000</x:f>
        <x:v>2100.2586</x:v>
      </x:c>
      <x:c r="M8" s="46"/>
      <x:c r="N8" s="46"/>
      <x:c r="O8" s="46"/>
      <x:c r="P8" s="3"/>
    </x:row>
    <x:row r="9" ht="24" customHeight="1">
      <x:c r="A9" s="3"/>
      <x:c r="B9" s="46"/>
      <x:c r="C9" s="46"/>
      <x:c r="D9" s="46"/>
      <x:c r="E9" s="44"/>
      <x:c r="F9" s="44"/>
      <x:c r="G9" s="44"/>
      <x:c r="H9" s="3"/>
      <x:c r="I9" s="43"/>
      <x:c r="J9" s="43"/>
      <x:c r="K9" s="43"/>
      <x:c r="L9" s="46"/>
      <x:c r="M9" s="46"/>
      <x:c r="N9" s="46"/>
      <x:c r="O9" s="46"/>
      <x:c r="P9" s="3"/>
    </x:row>
    <x:row r="10" ht="24" customHeight="1">
      <x:c r="A10" s="3"/>
      <x:c r="B10" s="68"/>
      <x:c r="C10" s="68"/>
      <x:c r="D10" s="68"/>
      <x:c r="E10" s="68"/>
      <x:c r="F10" s="68"/>
      <x:c r="G10" s="68"/>
      <x:c r="H10" s="68"/>
      <x:c r="I10" s="68"/>
      <x:c r="J10" s="68"/>
      <x:c r="K10" s="68"/>
      <x:c r="L10" s="68"/>
      <x:c r="M10" s="68"/>
      <x:c r="N10" s="68"/>
      <x:c r="O10" s="68"/>
      <x:c r="P10" s="3"/>
    </x:row>
    <x:row r="11" ht="24" customHeight="1">
      <x:c r="A11" s="3"/>
      <x:c r="B11" s="68"/>
      <x:c r="C11" s="68"/>
      <x:c r="D11" s="68"/>
      <x:c r="E11" s="68"/>
      <x:c r="F11" s="68"/>
      <x:c r="G11" s="68"/>
      <x:c r="H11" s="68"/>
      <x:c r="I11" s="68"/>
      <x:c r="J11" s="68"/>
      <x:c r="K11" s="68"/>
      <x:c r="L11" s="68"/>
      <x:c r="M11" s="68"/>
      <x:c r="N11" s="68"/>
      <x:c r="O11" s="68"/>
      <x:c r="P11" s="3"/>
    </x:row>
    <x:row r="12" ht="24" customHeight="1">
      <x:c r="A12" s="3"/>
      <x:c r="B12" s="68"/>
      <x:c r="C12" s="68"/>
      <x:c r="D12" s="68"/>
      <x:c r="E12" s="68"/>
      <x:c r="F12" s="68"/>
      <x:c r="G12" s="68"/>
      <x:c r="H12" s="68"/>
      <x:c r="I12" s="68"/>
      <x:c r="J12" s="68"/>
      <x:c r="K12" s="95" t="str">
        <x:v>季度经营概览</x:v>
      </x:c>
      <x:c r="L12" s="68"/>
      <x:c r="M12" s="68"/>
      <x:c r="N12" s="68"/>
      <x:c r="O12" s="68"/>
      <x:c r="P12" s="3"/>
    </x:row>
    <x:row r="13" ht="24" customHeight="1">
      <x:c r="A13" s="3"/>
      <x:c r="B13" s="68"/>
      <x:c r="C13" s="68"/>
      <x:c r="D13" s="68"/>
      <x:c r="E13" s="68"/>
      <x:c r="F13" s="68"/>
      <x:c r="G13" s="68"/>
      <x:c r="H13" s="68"/>
      <x:c r="I13" s="68"/>
      <x:c r="J13" s="68"/>
      <x:c r="K13" s="68"/>
      <x:c r="L13" s="68"/>
      <x:c r="M13" s="68"/>
      <x:c r="N13" s="68"/>
      <x:c r="O13" s="68"/>
      <x:c r="P13" s="3"/>
    </x:row>
    <x:row r="14" ht="32" customHeight="1">
      <x:c r="A14" s="3"/>
      <x:c r="B14" s="68"/>
      <x:c r="C14" s="68"/>
      <x:c r="D14" s="68"/>
      <x:c r="E14" s="68"/>
      <x:c r="F14" s="68"/>
      <x:c r="G14" s="68"/>
      <x:c r="H14" s="68"/>
      <x:c r="I14" s="68"/>
      <x:c r="J14" s="68"/>
      <x:c r="K14" s="73" t="str">
        <x:v>季度</x:v>
      </x:c>
      <x:c r="L14" s="73" t="str">
        <x:v>收入
万元</x:v>
      </x:c>
      <x:c r="M14" s="73" t="str">
        <x:v>毛利率</x:v>
      </x:c>
      <x:c r="N14" s="73" t="str">
        <x:v>利润
万元</x:v>
      </x:c>
      <x:c r="O14" s="73" t="str">
        <x:v>新增
客户</x:v>
      </x:c>
      <x:c r="P14" s="3"/>
    </x:row>
    <x:row r="15" ht="27" customHeight="1">
      <x:c r="A15" s="3"/>
      <x:c r="B15" s="68"/>
      <x:c r="C15" s="68"/>
      <x:c r="D15" s="68"/>
      <x:c r="E15" s="68"/>
      <x:c r="F15" s="68"/>
      <x:c r="G15" s="68"/>
      <x:c r="H15" s="68"/>
      <x:c r="I15" s="68"/>
      <x:c r="J15" s="68"/>
      <x:c r="K15" s="96" t="str">
        <x:f>B73</x:f>
        <x:v>Q1</x:v>
      </x:c>
      <x:c r="L15" s="97">
        <x:f>F73</x:f>
        <x:v>253.499</x:v>
      </x:c>
      <x:c r="M15" s="99">
        <x:f>J73</x:f>
        <x:v>0.795707675375445</x:v>
      </x:c>
      <x:c r="N15" s="97">
        <x:f>G73</x:f>
        <x:v>118.7615</x:v>
      </x:c>
      <x:c r="O15" s="96">
        <x:f>H73</x:f>
        <x:v>98</x:v>
      </x:c>
      <x:c r="P15" s="3"/>
    </x:row>
    <x:row r="16" ht="27" customHeight="1">
      <x:c r="A16" s="3"/>
      <x:c r="B16" s="68"/>
      <x:c r="C16" s="68"/>
      <x:c r="D16" s="68"/>
      <x:c r="E16" s="68"/>
      <x:c r="F16" s="68"/>
      <x:c r="G16" s="68"/>
      <x:c r="H16" s="68"/>
      <x:c r="I16" s="68"/>
      <x:c r="J16" s="68"/>
      <x:c r="K16" s="68" t="str">
        <x:f>B74</x:f>
        <x:v>Q2</x:v>
      </x:c>
      <x:c r="L16" s="98">
        <x:f>F74</x:f>
        <x:v>307.81155</x:v>
      </x:c>
      <x:c r="M16" s="100">
        <x:f>J74</x:f>
        <x:v>0.802043815444872</x:v>
      </x:c>
      <x:c r="N16" s="98">
        <x:f>G74</x:f>
        <x:v>154.27325</x:v>
      </x:c>
      <x:c r="O16" s="68">
        <x:f>H74</x:f>
        <x:v>124</x:v>
      </x:c>
      <x:c r="P16" s="3"/>
    </x:row>
    <x:row r="17" ht="27" customHeight="1">
      <x:c r="A17" s="3"/>
      <x:c r="B17" s="68"/>
      <x:c r="C17" s="68"/>
      <x:c r="D17" s="68"/>
      <x:c r="E17" s="68"/>
      <x:c r="F17" s="68"/>
      <x:c r="G17" s="68"/>
      <x:c r="H17" s="68"/>
      <x:c r="I17" s="68"/>
      <x:c r="J17" s="68"/>
      <x:c r="K17" s="96" t="str">
        <x:f>B75</x:f>
        <x:v>Q3</x:v>
      </x:c>
      <x:c r="L17" s="97">
        <x:f>F75</x:f>
        <x:v>374.972875</x:v>
      </x:c>
      <x:c r="M17" s="99">
        <x:f>J75</x:f>
        <x:v>0.808277598746309</x:v>
      </x:c>
      <x:c r="N17" s="97">
        <x:f>G75</x:f>
        <x:v>200.156775</x:v>
      </x:c>
      <x:c r="O17" s="96">
        <x:f>H75</x:f>
        <x:v>149</x:v>
      </x:c>
      <x:c r="P17" s="3"/>
    </x:row>
    <x:row r="18" ht="27" customHeight="1">
      <x:c r="A18" s="3"/>
      <x:c r="B18" s="68"/>
      <x:c r="C18" s="68"/>
      <x:c r="D18" s="68"/>
      <x:c r="E18" s="68"/>
      <x:c r="F18" s="68"/>
      <x:c r="G18" s="68"/>
      <x:c r="H18" s="68"/>
      <x:c r="I18" s="68"/>
      <x:c r="J18" s="68"/>
      <x:c r="K18" s="68" t="str">
        <x:f>B76</x:f>
        <x:v>Q4</x:v>
      </x:c>
      <x:c r="L18" s="98">
        <x:f>F76</x:f>
        <x:v>468.42495</x:v>
      </x:c>
      <x:c r="M18" s="100">
        <x:f>J76</x:f>
        <x:v>0.814602958275387</x:v>
      </x:c>
      <x:c r="N18" s="98">
        <x:f>G76</x:f>
        <x:v>265.42895</x:v>
      </x:c>
      <x:c r="O18" s="68">
        <x:f>H76</x:f>
        <x:v>182</x:v>
      </x:c>
      <x:c r="P18" s="3"/>
    </x:row>
    <x:row r="19" ht="24" customHeight="1">
      <x:c r="A19" s="3"/>
      <x:c r="B19" s="68"/>
      <x:c r="C19" s="68"/>
      <x:c r="D19" s="68"/>
      <x:c r="E19" s="68"/>
      <x:c r="F19" s="68"/>
      <x:c r="G19" s="68"/>
      <x:c r="H19" s="68"/>
      <x:c r="I19" s="68"/>
      <x:c r="J19" s="68"/>
      <x:c r="K19" s="68"/>
      <x:c r="L19" s="68"/>
      <x:c r="M19" s="68"/>
      <x:c r="N19" s="68"/>
      <x:c r="O19" s="68"/>
      <x:c r="P19" s="3"/>
    </x:row>
    <x:row r="20" ht="24" customHeight="1">
      <x:c r="A20" s="3"/>
      <x:c r="B20" s="68"/>
      <x:c r="C20" s="68"/>
      <x:c r="D20" s="68"/>
      <x:c r="E20" s="68"/>
      <x:c r="F20" s="68"/>
      <x:c r="G20" s="68"/>
      <x:c r="H20" s="68"/>
      <x:c r="I20" s="68"/>
      <x:c r="J20" s="68"/>
      <x:c r="K20" s="68"/>
      <x:c r="L20" s="68"/>
      <x:c r="M20" s="68"/>
      <x:c r="N20" s="68"/>
      <x:c r="O20" s="68"/>
      <x:c r="P20" s="3"/>
    </x:row>
    <x:row r="21" ht="24" customHeight="1">
      <x:c r="A21" s="3"/>
      <x:c r="B21" s="68"/>
      <x:c r="C21" s="68"/>
      <x:c r="D21" s="68"/>
      <x:c r="E21" s="68"/>
      <x:c r="F21" s="68"/>
      <x:c r="G21" s="68"/>
      <x:c r="H21" s="68"/>
      <x:c r="I21" s="68"/>
      <x:c r="J21" s="68"/>
      <x:c r="K21" s="101" t="str">
        <x:v>最高单日新增（万元）</x:v>
      </x:c>
      <x:c r="L21" s="68"/>
      <x:c r="M21" s="68"/>
      <x:c r="N21" s="103">
        <x:f>MAX(G104:G468)</x:f>
        <x:v>1.85626373329951</x:v>
      </x:c>
      <x:c r="O21" s="103"/>
      <x:c r="P21" s="3"/>
    </x:row>
    <x:row r="22" ht="24" customHeight="1">
      <x:c r="A22" s="3"/>
      <x:c r="B22" s="68"/>
      <x:c r="C22" s="68"/>
      <x:c r="D22" s="68"/>
      <x:c r="E22" s="68"/>
      <x:c r="F22" s="68"/>
      <x:c r="G22" s="68"/>
      <x:c r="H22" s="68"/>
      <x:c r="I22" s="68"/>
      <x:c r="J22" s="68"/>
      <x:c r="K22" s="68"/>
      <x:c r="L22" s="68"/>
      <x:c r="M22" s="68"/>
      <x:c r="N22" s="68"/>
      <x:c r="O22" s="68"/>
      <x:c r="P22" s="3"/>
    </x:row>
    <x:row r="23" ht="24" customHeight="1">
      <x:c r="A23" s="3"/>
      <x:c r="B23" s="68"/>
      <x:c r="C23" s="68"/>
      <x:c r="D23" s="68"/>
      <x:c r="E23" s="68"/>
      <x:c r="F23" s="68"/>
      <x:c r="G23" s="68"/>
      <x:c r="H23" s="68"/>
      <x:c r="I23" s="68"/>
      <x:c r="J23" s="68"/>
      <x:c r="K23" s="101" t="str">
        <x:v>7 日均值峰值（万元）</x:v>
      </x:c>
      <x:c r="L23" s="68"/>
      <x:c r="M23" s="68"/>
      <x:c r="N23" s="103">
        <x:f>MAX(H104:H468)</x:f>
        <x:v>0.87978174105502</x:v>
      </x:c>
      <x:c r="O23" s="103"/>
      <x:c r="P23" s="3"/>
    </x:row>
    <x:row r="24" ht="24" customHeight="1">
      <x:c r="A24" s="3"/>
      <x:c r="B24" s="68"/>
      <x:c r="C24" s="68"/>
      <x:c r="D24" s="68"/>
      <x:c r="E24" s="68"/>
      <x:c r="F24" s="68"/>
      <x:c r="G24" s="68"/>
      <x:c r="H24" s="68"/>
      <x:c r="I24" s="68"/>
      <x:c r="J24" s="68"/>
      <x:c r="K24" s="68"/>
      <x:c r="L24" s="68"/>
      <x:c r="M24" s="68"/>
      <x:c r="N24" s="68"/>
      <x:c r="O24" s="68"/>
      <x:c r="P24" s="3"/>
    </x:row>
    <x:row r="25" ht="24" customHeight="1">
      <x:c r="A25" s="3"/>
      <x:c r="B25" s="68"/>
      <x:c r="C25" s="68"/>
      <x:c r="D25" s="68"/>
      <x:c r="E25" s="68"/>
      <x:c r="F25" s="68"/>
      <x:c r="G25" s="68"/>
      <x:c r="H25" s="68"/>
      <x:c r="I25" s="68"/>
      <x:c r="J25" s="68"/>
      <x:c r="K25" s="101" t="str">
        <x:v>第四季度收入占比</x:v>
      </x:c>
      <x:c r="L25" s="68"/>
      <x:c r="M25" s="68"/>
      <x:c r="N25" s="104">
        <x:f>K76</x:f>
        <x:v>0.333467756252254</x:v>
      </x:c>
      <x:c r="O25" s="104"/>
      <x:c r="P25" s="3"/>
    </x:row>
    <x:row r="26" ht="24" customHeight="1">
      <x:c r="A26" s="3"/>
      <x:c r="B26" s="68"/>
      <x:c r="C26" s="68"/>
      <x:c r="D26" s="68"/>
      <x:c r="E26" s="68"/>
      <x:c r="F26" s="68"/>
      <x:c r="G26" s="68"/>
      <x:c r="H26" s="68"/>
      <x:c r="I26" s="68"/>
      <x:c r="J26" s="68"/>
      <x:c r="K26" s="68"/>
      <x:c r="L26" s="68"/>
      <x:c r="M26" s="68"/>
      <x:c r="N26" s="68"/>
      <x:c r="O26" s="68"/>
      <x:c r="P26" s="3"/>
    </x:row>
    <x:row r="27" ht="24" customHeight="1">
      <x:c r="A27" s="3"/>
      <x:c r="B27" s="68"/>
      <x:c r="C27" s="68"/>
      <x:c r="D27" s="68"/>
      <x:c r="E27" s="68"/>
      <x:c r="F27" s="68"/>
      <x:c r="G27" s="68"/>
      <x:c r="H27" s="68"/>
      <x:c r="I27" s="68"/>
      <x:c r="J27" s="68"/>
      <x:c r="K27" s="68"/>
      <x:c r="L27" s="68"/>
      <x:c r="M27" s="68"/>
      <x:c r="N27" s="68"/>
      <x:c r="O27" s="68"/>
      <x:c r="P27" s="3"/>
    </x:row>
    <x:row r="28" ht="24" customHeight="1">
      <x:c r="A28" s="3"/>
      <x:c r="B28" s="68"/>
      <x:c r="C28" s="68"/>
      <x:c r="D28" s="68"/>
      <x:c r="E28" s="68"/>
      <x:c r="F28" s="68"/>
      <x:c r="G28" s="68"/>
      <x:c r="H28" s="68"/>
      <x:c r="I28" s="68"/>
      <x:c r="J28" s="68"/>
      <x:c r="K28" s="68"/>
      <x:c r="L28" s="68"/>
      <x:c r="M28" s="68"/>
      <x:c r="N28" s="68"/>
      <x:c r="O28" s="68"/>
      <x:c r="P28" s="3"/>
    </x:row>
    <x:row r="29" ht="24" customHeight="1">
      <x:c r="A29" s="3"/>
      <x:c r="B29" s="68"/>
      <x:c r="C29" s="68"/>
      <x:c r="D29" s="68"/>
      <x:c r="E29" s="68"/>
      <x:c r="F29" s="68"/>
      <x:c r="G29" s="68"/>
      <x:c r="H29" s="68"/>
      <x:c r="I29" s="68"/>
      <x:c r="J29" s="68"/>
      <x:c r="K29" s="68"/>
      <x:c r="L29" s="68"/>
      <x:c r="M29" s="68"/>
      <x:c r="N29" s="68"/>
      <x:c r="O29" s="68"/>
      <x:c r="P29" s="3"/>
    </x:row>
    <x:row r="30" ht="24" customHeight="1">
      <x:c r="A30" s="3"/>
      <x:c r="B30" s="68"/>
      <x:c r="C30" s="68"/>
      <x:c r="D30" s="68"/>
      <x:c r="E30" s="68"/>
      <x:c r="F30" s="68"/>
      <x:c r="G30" s="68"/>
      <x:c r="H30" s="68"/>
      <x:c r="I30" s="68"/>
      <x:c r="J30" s="68"/>
      <x:c r="K30" s="68"/>
      <x:c r="L30" s="68"/>
      <x:c r="M30" s="68"/>
      <x:c r="N30" s="68"/>
      <x:c r="O30" s="68"/>
      <x:c r="P30" s="3"/>
    </x:row>
    <x:row r="31" ht="24" customHeight="1">
      <x:c r="A31" s="3"/>
      <x:c r="B31" s="68"/>
      <x:c r="C31" s="68"/>
      <x:c r="D31" s="68"/>
      <x:c r="E31" s="68"/>
      <x:c r="F31" s="68"/>
      <x:c r="G31" s="68"/>
      <x:c r="H31" s="68"/>
      <x:c r="I31" s="68"/>
      <x:c r="J31" s="68"/>
      <x:c r="K31" s="68"/>
      <x:c r="L31" s="68"/>
      <x:c r="M31" s="68"/>
      <x:c r="N31" s="68"/>
      <x:c r="O31" s="68"/>
      <x:c r="P31" s="3"/>
    </x:row>
    <x:row r="32" ht="24" customHeight="1">
      <x:c r="A32" s="3"/>
      <x:c r="B32" s="68"/>
      <x:c r="C32" s="68"/>
      <x:c r="D32" s="68"/>
      <x:c r="E32" s="68"/>
      <x:c r="F32" s="68"/>
      <x:c r="G32" s="68"/>
      <x:c r="H32" s="68"/>
      <x:c r="I32" s="68"/>
      <x:c r="J32" s="68"/>
      <x:c r="K32" s="68"/>
      <x:c r="L32" s="68"/>
      <x:c r="M32" s="68"/>
      <x:c r="N32" s="68"/>
      <x:c r="O32" s="68"/>
      <x:c r="P32" s="3"/>
    </x:row>
    <x:row r="33" ht="24" customHeight="1">
      <x:c r="A33" s="3"/>
      <x:c r="B33" s="68"/>
      <x:c r="C33" s="68"/>
      <x:c r="D33" s="68"/>
      <x:c r="E33" s="68"/>
      <x:c r="F33" s="68"/>
      <x:c r="G33" s="68"/>
      <x:c r="H33" s="68"/>
      <x:c r="I33" s="68"/>
      <x:c r="J33" s="68"/>
      <x:c r="K33" s="68"/>
      <x:c r="L33" s="68"/>
      <x:c r="M33" s="68"/>
      <x:c r="N33" s="68"/>
      <x:c r="O33" s="68"/>
      <x:c r="P33" s="3"/>
    </x:row>
    <x:row r="34" ht="24" customHeight="1">
      <x:c r="A34" s="3"/>
      <x:c r="B34" s="68"/>
      <x:c r="C34" s="68"/>
      <x:c r="D34" s="68"/>
      <x:c r="E34" s="68"/>
      <x:c r="F34" s="68"/>
      <x:c r="G34" s="68"/>
      <x:c r="H34" s="68"/>
      <x:c r="I34" s="68"/>
      <x:c r="J34" s="68"/>
      <x:c r="K34" s="68"/>
      <x:c r="L34" s="68"/>
      <x:c r="M34" s="68"/>
      <x:c r="N34" s="68"/>
      <x:c r="O34" s="68"/>
      <x:c r="P34" s="3"/>
    </x:row>
    <x:row r="35" ht="24" customHeight="1">
      <x:c r="A35" s="3"/>
      <x:c r="B35" s="68"/>
      <x:c r="C35" s="68"/>
      <x:c r="D35" s="68"/>
      <x:c r="E35" s="68"/>
      <x:c r="F35" s="68"/>
      <x:c r="G35" s="68"/>
      <x:c r="H35" s="68"/>
      <x:c r="I35" s="68"/>
      <x:c r="J35" s="68"/>
      <x:c r="K35" s="68"/>
      <x:c r="L35" s="68"/>
      <x:c r="M35" s="68"/>
      <x:c r="N35" s="68"/>
      <x:c r="O35" s="68"/>
      <x:c r="P35" s="3"/>
    </x:row>
    <x:row r="36" ht="24" customHeight="1">
      <x:c r="A36" s="3"/>
      <x:c r="B36" s="68"/>
      <x:c r="C36" s="68"/>
      <x:c r="D36" s="68"/>
      <x:c r="E36" s="68"/>
      <x:c r="F36" s="68"/>
      <x:c r="G36" s="68"/>
      <x:c r="H36" s="68"/>
      <x:c r="I36" s="68"/>
      <x:c r="J36" s="68"/>
      <x:c r="K36" s="68"/>
      <x:c r="L36" s="68"/>
      <x:c r="M36" s="68"/>
      <x:c r="N36" s="68"/>
      <x:c r="O36" s="68"/>
      <x:c r="P36" s="3"/>
    </x:row>
    <x:row r="37" ht="24" customHeight="1">
      <x:c r="A37" s="3"/>
      <x:c r="B37" s="68"/>
      <x:c r="C37" s="68"/>
      <x:c r="D37" s="68"/>
      <x:c r="E37" s="68"/>
      <x:c r="F37" s="68"/>
      <x:c r="G37" s="68"/>
      <x:c r="H37" s="68"/>
      <x:c r="I37" s="68"/>
      <x:c r="J37" s="68"/>
      <x:c r="K37" s="68"/>
      <x:c r="L37" s="68"/>
      <x:c r="M37" s="68"/>
      <x:c r="N37" s="68"/>
      <x:c r="O37" s="68"/>
      <x:c r="P37" s="3"/>
    </x:row>
    <x:row r="38" ht="24" customHeight="1">
      <x:c r="A38" s="3"/>
      <x:c r="B38" s="68"/>
      <x:c r="C38" s="68"/>
      <x:c r="D38" s="68"/>
      <x:c r="E38" s="68"/>
      <x:c r="F38" s="68"/>
      <x:c r="G38" s="68"/>
      <x:c r="H38" s="68"/>
      <x:c r="I38" s="68"/>
      <x:c r="J38" s="68"/>
      <x:c r="K38" s="68"/>
      <x:c r="L38" s="68"/>
      <x:c r="M38" s="68"/>
      <x:c r="N38" s="68"/>
      <x:c r="O38" s="68"/>
      <x:c r="P38" s="3"/>
    </x:row>
    <x:row r="39" ht="24" customHeight="1">
      <x:c r="A39" s="3"/>
      <x:c r="B39" s="68"/>
      <x:c r="C39" s="68"/>
      <x:c r="D39" s="68"/>
      <x:c r="E39" s="68"/>
      <x:c r="F39" s="68"/>
      <x:c r="G39" s="68"/>
      <x:c r="H39" s="68"/>
      <x:c r="I39" s="68"/>
      <x:c r="J39" s="68"/>
      <x:c r="K39" s="68"/>
      <x:c r="L39" s="68"/>
      <x:c r="M39" s="68"/>
      <x:c r="N39" s="68"/>
      <x:c r="O39" s="68"/>
      <x:c r="P39" s="3"/>
    </x:row>
    <x:row r="40" ht="32" customHeight="1">
      <x:c r="A40" s="3"/>
      <x:c r="B40" s="73" t="str">
        <x:v>产品版本</x:v>
      </x:c>
      <x:c r="C40" s="73" t="str">
        <x:v>收入
万元</x:v>
      </x:c>
      <x:c r="D40" s="73" t="str">
        <x:v>收入占比</x:v>
      </x:c>
      <x:c r="E40" s="73" t="str">
        <x:v>期末 MRR
万元</x:v>
      </x:c>
      <x:c r="F40" s="73" t="str">
        <x:v>年末客户</x:v>
      </x:c>
      <x:c r="G40" s="73" t="str">
        <x:v>全年新增</x:v>
      </x:c>
      <x:c r="H40" s="68"/>
      <x:c r="I40" s="73" t="str">
        <x:v>季度</x:v>
      </x:c>
      <x:c r="J40" s="73" t="str">
        <x:v>新增
万元</x:v>
      </x:c>
      <x:c r="K40" s="73" t="str">
        <x:v>扩展
万元</x:v>
      </x:c>
      <x:c r="L40" s="73" t="str">
        <x:v>流失降配
万元</x:v>
      </x:c>
      <x:c r="M40" s="73" t="str">
        <x:v>净增
万元</x:v>
      </x:c>
      <x:c r="N40" s="73" t="str">
        <x:v>新增
客户</x:v>
      </x:c>
      <x:c r="O40" s="73" t="str">
        <x:v>流失
客户</x:v>
      </x:c>
      <x:c r="P40" s="3"/>
    </x:row>
    <x:row r="41" ht="27" customHeight="1">
      <x:c r="A41" s="3"/>
      <x:c r="B41" s="96" t="str">
        <x:f>B61</x:f>
        <x:v>企业版</x:v>
      </x:c>
      <x:c r="C41" s="97">
        <x:f>C61</x:f>
        <x:v>707.7981</x:v>
      </x:c>
      <x:c r="D41" s="99">
        <x:f>D61</x:f>
        <x:v>0.503875475220969</x:v>
      </x:c>
      <x:c r="E41" s="97">
        <x:f>E61</x:f>
        <x:v>91.6278</x:v>
      </x:c>
      <x:c r="F41" s="96">
        <x:f>SUMIFS('月度经营数据'!$I$41:$I$43,'月度经营数据'!$C$41:$C$43,B41)+SUMIFS('月度经营数据'!$J$41:$J$43,'月度经营数据'!$C$41:$C$43,B41)-SUMIFS('月度经营数据'!$K$41:$K$43,'月度经营数据'!$C$41:$C$43,B41)</x:f>
        <x:v>77</x:v>
      </x:c>
      <x:c r="G41" s="96">
        <x:f>SUMIFS('月度经营数据'!$J$8:$J$43,'月度经营数据'!$C$8:$C$43,B41)</x:f>
        <x:v>44</x:v>
      </x:c>
      <x:c r="H41" s="68"/>
      <x:c r="I41" s="96" t="str">
        <x:v>Q1</x:v>
      </x:c>
      <x:c r="J41" s="97">
        <x:f>SUM('增长质量'!C62:E62)/10000</x:f>
        <x:v>15.978</x:v>
      </x:c>
      <x:c r="K41" s="97">
        <x:f>SUM('增长质量'!C63:E63)/10000</x:f>
        <x:v>2.7035</x:v>
      </x:c>
      <x:c r="L41" s="97">
        <x:f>(SUM('增长质量'!C64:E64)+SUM('增长质量'!C65:E65))/10000</x:f>
        <x:v>4.7375</x:v>
      </x:c>
      <x:c r="M41" s="97">
        <x:f>J41+K41-L41</x:f>
        <x:v>13.944</x:v>
      </x:c>
      <x:c r="N41" s="96">
        <x:f>SUM('增长质量'!C70:E70)</x:f>
        <x:v>98</x:v>
      </x:c>
      <x:c r="O41" s="96">
        <x:f>SUM('增长质量'!C71:E71)</x:f>
        <x:v>37</x:v>
      </x:c>
      <x:c r="P41" s="3"/>
    </x:row>
    <x:row r="42" ht="27" customHeight="1">
      <x:c r="A42" s="3"/>
      <x:c r="B42" s="68" t="str">
        <x:f>B62</x:f>
        <x:v>专业版</x:v>
      </x:c>
      <x:c r="C42" s="98">
        <x:f>C62</x:f>
        <x:v>468.307525</x:v>
      </x:c>
      <x:c r="D42" s="100">
        <x:f>D62</x:f>
        <x:v>0.333384162388866</x:v>
      </x:c>
      <x:c r="E42" s="98">
        <x:f>E62</x:f>
        <x:v>56.56105</x:v>
      </x:c>
      <x:c r="F42" s="68">
        <x:f>SUMIFS('月度经营数据'!$I$41:$I$43,'月度经营数据'!$C$41:$C$43,B42)+SUMIFS('月度经营数据'!$J$41:$J$43,'月度经营数据'!$C$41:$C$43,B42)-SUMIFS('月度经营数据'!$K$41:$K$43,'月度经营数据'!$C$41:$C$43,B42)</x:f>
        <x:v>247</x:v>
      </x:c>
      <x:c r="G42" s="68">
        <x:f>SUMIFS('月度经营数据'!$J$8:$J$43,'月度经营数据'!$C$8:$C$43,B42)</x:f>
        <x:v>146</x:v>
      </x:c>
      <x:c r="H42" s="68"/>
      <x:c r="I42" s="68" t="str">
        <x:v>Q2</x:v>
      </x:c>
      <x:c r="J42" s="98">
        <x:f>SUM('增长质量'!F62:H62)/10000</x:f>
        <x:v>20.7699</x:v>
      </x:c>
      <x:c r="K42" s="98">
        <x:f>SUM('增长质量'!F63:H63)/10000</x:f>
        <x:v>3.2696</x:v>
      </x:c>
      <x:c r="L42" s="98">
        <x:f>(SUM('增长质量'!F64:H64)+SUM('增长质量'!F65:H65))/10000</x:f>
        <x:v>3.2674</x:v>
      </x:c>
      <x:c r="M42" s="98">
        <x:f>J42+K42-L42</x:f>
        <x:v>20.7721</x:v>
      </x:c>
      <x:c r="N42" s="68">
        <x:f>SUM('增长质量'!F70:H70)</x:f>
        <x:v>124</x:v>
      </x:c>
      <x:c r="O42" s="68">
        <x:f>SUM('增长质量'!F71:H71)</x:f>
        <x:v>31</x:v>
      </x:c>
      <x:c r="P42" s="3"/>
    </x:row>
    <x:row r="43" ht="27" customHeight="1">
      <x:c r="A43" s="3"/>
      <x:c r="B43" s="96" t="str">
        <x:f>B63</x:f>
        <x:v>基础版</x:v>
      </x:c>
      <x:c r="C43" s="97">
        <x:f>C63</x:f>
        <x:v>228.60275</x:v>
      </x:c>
      <x:c r="D43" s="99">
        <x:f>D63</x:f>
        <x:v>0.162740362390165</x:v>
      </x:c>
      <x:c r="E43" s="97">
        <x:f>E63</x:f>
        <x:v>26.8327</x:v>
      </x:c>
      <x:c r="F43" s="96">
        <x:f>SUMIFS('月度经营数据'!$I$41:$I$43,'月度经营数据'!$C$41:$C$43,B43)+SUMIFS('月度经营数据'!$J$41:$J$43,'月度经营数据'!$C$41:$C$43,B43)-SUMIFS('月度经营数据'!$K$41:$K$43,'月度经营数据'!$C$41:$C$43,B43)</x:f>
        <x:v>519</x:v>
      </x:c>
      <x:c r="G43" s="96">
        <x:f>SUMIFS('月度经营数据'!$J$8:$J$43,'月度经营数据'!$C$8:$C$43,B43)</x:f>
        <x:v>363</x:v>
      </x:c>
      <x:c r="H43" s="68"/>
      <x:c r="I43" s="96" t="str">
        <x:v>Q3</x:v>
      </x:c>
      <x:c r="J43" s="97">
        <x:f>SUM('增长质量'!I62:K62)/10000</x:f>
        <x:v>26.72145</x:v>
      </x:c>
      <x:c r="K43" s="97">
        <x:f>SUM('增长质量'!I63:K63)/10000</x:f>
        <x:v>4.2474</x:v>
      </x:c>
      <x:c r="L43" s="97">
        <x:f>(SUM('增长质量'!I64:K64)+SUM('增长质量'!I65:K65))/10000</x:f>
        <x:v>5.5968</x:v>
      </x:c>
      <x:c r="M43" s="97">
        <x:f>J43+K43-L43</x:f>
        <x:v>25.37205</x:v>
      </x:c>
      <x:c r="N43" s="96">
        <x:f>SUM('增长质量'!I70:K70)</x:f>
        <x:v>149</x:v>
      </x:c>
      <x:c r="O43" s="96">
        <x:f>SUM('增长质量'!I71:K71)</x:f>
        <x:v>45</x:v>
      </x:c>
      <x:c r="P43" s="3"/>
    </x:row>
    <x:row r="44" ht="27" customHeight="1">
      <x:c r="A44" s="3"/>
      <x:c r="B44" s="68"/>
      <x:c r="C44" s="68"/>
      <x:c r="D44" s="68"/>
      <x:c r="E44" s="68"/>
      <x:c r="F44" s="68"/>
      <x:c r="G44" s="68"/>
      <x:c r="H44" s="68"/>
      <x:c r="I44" s="68" t="str">
        <x:v>Q4</x:v>
      </x:c>
      <x:c r="J44" s="98">
        <x:f>SUM('增长质量'!L62:N62)/10000</x:f>
        <x:v>35.0154</x:v>
      </x:c>
      <x:c r="K44" s="98">
        <x:f>SUM('增长质量'!L63:N63)/10000</x:f>
        <x:v>5.8694</x:v>
      </x:c>
      <x:c r="L44" s="98">
        <x:f>(SUM('增长质量'!L64:N64)+SUM('增长质量'!L65:N65))/10000</x:f>
        <x:v>4.4914</x:v>
      </x:c>
      <x:c r="M44" s="98">
        <x:f>J44+K44-L44</x:f>
        <x:v>36.3934</x:v>
      </x:c>
      <x:c r="N44" s="68">
        <x:f>SUM('增长质量'!L70:N70)</x:f>
        <x:v>182</x:v>
      </x:c>
      <x:c r="O44" s="68">
        <x:f>SUM('增长质量'!L71:N71)</x:f>
        <x:v>42</x:v>
      </x:c>
      <x:c r="P44" s="3"/>
    </x:row>
    <x:row r="45" ht="24" customHeight="1">
      <x:c r="A45" s="3"/>
      <x:c r="B45" s="68"/>
      <x:c r="C45" s="68"/>
      <x:c r="D45" s="68"/>
      <x:c r="E45" s="68"/>
      <x:c r="F45" s="68"/>
      <x:c r="G45" s="68"/>
      <x:c r="H45" s="68"/>
      <x:c r="I45" s="68"/>
      <x:c r="J45" s="68"/>
      <x:c r="K45" s="68"/>
      <x:c r="L45" s="68"/>
      <x:c r="M45" s="68"/>
      <x:c r="N45" s="68"/>
      <x:c r="O45" s="68"/>
      <x:c r="P45" s="3"/>
    </x:row>
    <x:row r="46" ht="24" customHeight="1">
      <x:c r="A46" s="3"/>
      <x:c r="B46" s="68"/>
      <x:c r="C46" s="68"/>
      <x:c r="D46" s="68"/>
      <x:c r="E46" s="68"/>
      <x:c r="F46" s="68"/>
      <x:c r="G46" s="68"/>
      <x:c r="H46" s="68"/>
      <x:c r="I46" s="68"/>
      <x:c r="J46" s="68"/>
      <x:c r="K46" s="68"/>
      <x:c r="L46" s="68"/>
      <x:c r="M46" s="68"/>
      <x:c r="N46" s="68"/>
      <x:c r="O46" s="68"/>
      <x:c r="P46" s="3"/>
    </x:row>
    <x:row r="47" ht="24" customHeight="1">
      <x:c r="A47" s="3"/>
      <x:c r="B47" s="101" t="str">
        <x:v>日度新增 MRR 为月度数据的模拟拆分，体现周内与月末波动；每月合计与原表一致。</x:v>
      </x:c>
      <x:c r="C47" s="68"/>
      <x:c r="D47" s="68"/>
      <x:c r="E47" s="68"/>
      <x:c r="F47" s="68"/>
      <x:c r="G47" s="68"/>
      <x:c r="H47" s="68"/>
      <x:c r="I47" s="68"/>
      <x:c r="J47" s="68"/>
      <x:c r="K47" s="68"/>
      <x:c r="L47" s="68"/>
      <x:c r="M47" s="68"/>
      <x:c r="N47" s="68"/>
      <x:c r="O47" s="68"/>
      <x:c r="P47" s="3"/>
    </x:row>
    <x:row r="48" ht="24" customHeight="1">
      <x:c r="A48" s="3"/>
      <x:c r="B48" s="68"/>
      <x:c r="C48" s="68"/>
      <x:c r="D48" s="68"/>
      <x:c r="E48" s="68"/>
      <x:c r="F48" s="68"/>
      <x:c r="G48" s="68"/>
      <x:c r="H48" s="68"/>
      <x:c r="I48" s="68"/>
      <x:c r="J48" s="68"/>
      <x:c r="K48" s="68"/>
      <x:c r="L48" s="68"/>
      <x:c r="M48" s="68"/>
      <x:c r="N48" s="68"/>
      <x:c r="O48" s="68"/>
      <x:c r="P48" s="3"/>
    </x:row>
    <x:row r="49" ht="24" customHeight="1">
      <x:c r="A49" s="3"/>
      <x:c r="B49" s="101" t="str">
        <x:v>7 日均值按截至当日最多 7 天计算。MRR 为经常性收入运行额；原始数据与计算过程可向下查看。</x:v>
      </x:c>
      <x:c r="C49" s="68"/>
      <x:c r="D49" s="68"/>
      <x:c r="E49" s="68"/>
      <x:c r="F49" s="68"/>
      <x:c r="G49" s="68"/>
      <x:c r="H49" s="68"/>
      <x:c r="I49" s="68"/>
      <x:c r="J49" s="68"/>
      <x:c r="K49" s="68"/>
      <x:c r="L49" s="68"/>
      <x:c r="M49" s="68"/>
      <x:c r="N49" s="68"/>
      <x:c r="O49" s="68"/>
      <x:c r="P49" s="3"/>
    </x:row>
    <x:row r="50" ht="24" customHeight="1">
      <x:c r="A50" s="3"/>
      <x:c r="B50" s="68"/>
      <x:c r="C50" s="68"/>
      <x:c r="D50" s="68"/>
      <x:c r="E50" s="68"/>
      <x:c r="F50" s="68"/>
      <x:c r="G50" s="68"/>
      <x:c r="H50" s="68"/>
      <x:c r="I50" s="68"/>
      <x:c r="J50" s="68"/>
      <x:c r="K50" s="68"/>
      <x:c r="L50" s="68"/>
      <x:c r="M50" s="68"/>
      <x:c r="N50" s="68"/>
      <x:c r="O50" s="68"/>
      <x:c r="P50" s="3"/>
    </x:row>
    <x:row r="51" ht="24" customHeight="1">
      <x:c r="A51" s="3"/>
      <x:c r="B51" s="68"/>
      <x:c r="C51" s="68"/>
      <x:c r="D51" s="68"/>
      <x:c r="E51" s="68"/>
      <x:c r="F51" s="68"/>
      <x:c r="G51" s="68"/>
      <x:c r="H51" s="68"/>
      <x:c r="I51" s="68"/>
      <x:c r="J51" s="68"/>
      <x:c r="K51" s="68"/>
      <x:c r="L51" s="68"/>
      <x:c r="M51" s="68"/>
      <x:c r="N51" s="68"/>
      <x:c r="O51" s="68"/>
      <x:c r="P51" s="3"/>
    </x:row>
    <x:row r="52" ht="24" customHeight="1">
      <x:c r="A52" s="3"/>
      <x:c r="B52" s="68"/>
      <x:c r="C52" s="68"/>
      <x:c r="D52" s="68"/>
      <x:c r="E52" s="68"/>
      <x:c r="F52" s="68"/>
      <x:c r="G52" s="68"/>
      <x:c r="H52" s="68"/>
      <x:c r="I52" s="68"/>
      <x:c r="J52" s="68"/>
      <x:c r="K52" s="68"/>
      <x:c r="L52" s="68"/>
      <x:c r="M52" s="68"/>
      <x:c r="N52" s="68"/>
      <x:c r="O52" s="68"/>
      <x:c r="P52" s="3"/>
    </x:row>
    <x:row r="53" ht="24" customHeight="1">
      <x:c r="A53" s="3"/>
      <x:c r="B53" s="68"/>
      <x:c r="C53" s="68"/>
      <x:c r="D53" s="68"/>
      <x:c r="E53" s="68"/>
      <x:c r="F53" s="68"/>
      <x:c r="G53" s="68"/>
      <x:c r="H53" s="68"/>
      <x:c r="I53" s="68"/>
      <x:c r="J53" s="68"/>
      <x:c r="K53" s="68"/>
      <x:c r="L53" s="68"/>
      <x:c r="M53" s="68"/>
      <x:c r="N53" s="68"/>
      <x:c r="O53" s="68"/>
      <x:c r="P53" s="3"/>
    </x:row>
    <x:row r="54" ht="24" customHeight="1">
      <x:c r="A54" s="3"/>
      <x:c r="B54" s="68"/>
      <x:c r="C54" s="68"/>
      <x:c r="D54" s="68"/>
      <x:c r="E54" s="68"/>
      <x:c r="F54" s="68"/>
      <x:c r="G54" s="68"/>
      <x:c r="H54" s="68"/>
      <x:c r="I54" s="68"/>
      <x:c r="J54" s="68"/>
      <x:c r="K54" s="68"/>
      <x:c r="L54" s="68"/>
      <x:c r="M54" s="68"/>
      <x:c r="N54" s="68"/>
      <x:c r="O54" s="68"/>
      <x:c r="P54" s="3"/>
    </x:row>
    <x:row r="55" ht="24" customHeight="1">
      <x:c r="A55" s="3"/>
      <x:c r="B55" s="68"/>
      <x:c r="C55" s="68"/>
      <x:c r="D55" s="68"/>
      <x:c r="E55" s="68"/>
      <x:c r="F55" s="68"/>
      <x:c r="G55" s="68"/>
      <x:c r="H55" s="68"/>
      <x:c r="I55" s="68"/>
      <x:c r="J55" s="68"/>
      <x:c r="K55" s="68"/>
      <x:c r="L55" s="68"/>
      <x:c r="M55" s="68"/>
      <x:c r="N55" s="68"/>
      <x:c r="O55" s="68"/>
      <x:c r="P55" s="3"/>
    </x:row>
    <x:row r="56" ht="24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 ht="24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 ht="28" customHeight="1">
      <x:c r="A58" s="3"/>
      <x:c r="B58" s="23" t="str">
        <x:v>产品版本收入结构</x:v>
      </x:c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  <x:row r="59" ht="24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 ht="30" customHeight="1">
      <x:c r="A60" s="3"/>
      <x:c r="B60" s="13" t="str">
        <x:v>产品版本</x:v>
      </x:c>
      <x:c r="C60" s="13" t="str">
        <x:v>全年收入（万元）</x:v>
      </x:c>
      <x:c r="D60" s="13" t="str">
        <x:v>收入占比</x:v>
      </x:c>
      <x:c r="E60" s="13" t="str">
        <x:v>年末 MRR（万元）</x:v>
      </x:c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</x:row>
    <x:row r="61" ht="24" customHeight="1">
      <x:c r="A61" s="3"/>
      <x:c r="B61" s="47" t="str">
        <x:v>企业版</x:v>
      </x:c>
      <x:c r="C61" s="48">
        <x:f>(2*SUMIFS('月度经营数据'!$D$8:$D$43,'月度经营数据'!$C$8:$C$43,B61)+SUMIFS('月度经营数据'!$E$8:$E$43,'月度经营数据'!$C$8:$C$43,B61)+SUMIFS('月度经营数据'!$F$8:$F$43,'月度经营数据'!$C$8:$C$43,B61)-SUMIFS('月度经营数据'!$G$8:$G$43,'月度经营数据'!$C$8:$C$43,B61)-SUMIFS('月度经营数据'!$H$8:$H$43,'月度经营数据'!$C$8:$C$43,B61))/2/10000</x:f>
        <x:v>707.7981</x:v>
      </x:c>
      <x:c r="D61" s="49">
        <x:f>C61/SUM($C$61:$C$63)</x:f>
        <x:v>0.503875475220969</x:v>
      </x:c>
      <x:c r="E61" s="48">
        <x:f>('月度经营数据'!D43+'月度经营数据'!E43+'月度经营数据'!F43-'月度经营数据'!G43-'月度经营数据'!H43)/10000</x:f>
        <x:v>91.6278</x:v>
      </x:c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</x:row>
    <x:row r="62" ht="24" customHeight="1">
      <x:c r="A62" s="3"/>
      <x:c r="B62" s="3" t="str">
        <x:v>专业版</x:v>
      </x:c>
      <x:c r="C62" s="39">
        <x:f>(2*SUMIFS('月度经营数据'!$D$8:$D$43,'月度经营数据'!$C$8:$C$43,B62)+SUMIFS('月度经营数据'!$E$8:$E$43,'月度经营数据'!$C$8:$C$43,B62)+SUMIFS('月度经营数据'!$F$8:$F$43,'月度经营数据'!$C$8:$C$43,B62)-SUMIFS('月度经营数据'!$G$8:$G$43,'月度经营数据'!$C$8:$C$43,B62)-SUMIFS('月度经营数据'!$H$8:$H$43,'月度经营数据'!$C$8:$C$43,B62))/2/10000</x:f>
        <x:v>468.307525</x:v>
      </x:c>
      <x:c r="D62" s="41">
        <x:f>C62/SUM($C$61:$C$63)</x:f>
        <x:v>0.333384162388866</x:v>
      </x:c>
      <x:c r="E62" s="39">
        <x:f>('月度经营数据'!D42+'月度经营数据'!E42+'月度经营数据'!F42-'月度经营数据'!G42-'月度经营数据'!H42)/10000</x:f>
        <x:v>56.56105</x:v>
      </x:c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</x:row>
    <x:row r="63" ht="24" customHeight="1">
      <x:c r="A63" s="3"/>
      <x:c r="B63" s="47" t="str">
        <x:v>基础版</x:v>
      </x:c>
      <x:c r="C63" s="48">
        <x:f>(2*SUMIFS('月度经营数据'!$D$8:$D$43,'月度经营数据'!$C$8:$C$43,B63)+SUMIFS('月度经营数据'!$E$8:$E$43,'月度经营数据'!$C$8:$C$43,B63)+SUMIFS('月度经营数据'!$F$8:$F$43,'月度经营数据'!$C$8:$C$43,B63)-SUMIFS('月度经营数据'!$G$8:$G$43,'月度经营数据'!$C$8:$C$43,B63)-SUMIFS('月度经营数据'!$H$8:$H$43,'月度经营数据'!$C$8:$C$43,B63))/2/10000</x:f>
        <x:v>228.60275</x:v>
      </x:c>
      <x:c r="D63" s="49">
        <x:f>C63/SUM($C$61:$C$63)</x:f>
        <x:v>0.162740362390165</x:v>
      </x:c>
      <x:c r="E63" s="48">
        <x:f>('月度经营数据'!D41+'月度经营数据'!E41+'月度经营数据'!F41-'月度经营数据'!G41-'月度经营数据'!H41)/10000</x:f>
        <x:v>26.8327</x:v>
      </x:c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</x:row>
    <x:row r="64" ht="24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</x:row>
    <x:row r="65" ht="24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</x:row>
    <x:row r="66" ht="24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</x:row>
    <x:row r="67" ht="24" customHeight="1">
      <x:c r="A67" s="3"/>
      <x:c r="B67" s="24" t="str">
        <x:v>收入合计核对差（元）</x:v>
      </x:c>
      <x:c r="C67" s="3"/>
      <x:c r="D67" s="3"/>
      <x:c r="E67" s="50">
        <x:f>SUM(C61:C63)*10000-SUM('增长质量'!C74:N74)</x:f>
        <x:v>0</x:v>
      </x:c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</x:row>
    <x:row r="68" ht="24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</x:row>
    <x:row r="69" ht="24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</x:row>
    <x:row r="70" ht="24" customHeight="1">
      <x:c r="A70" s="3"/>
      <x:c r="B70" s="23" t="str">
        <x:v>季度经营数据（金额：万元）</x:v>
      </x:c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</x:row>
    <x:row r="71" ht="24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</x:row>
    <x:row r="72" ht="32" customHeight="1">
      <x:c r="A72" s="3"/>
      <x:c r="B72" s="73" t="str">
        <x:v>季度</x:v>
      </x:c>
      <x:c r="C72" s="73" t="str">
        <x:v>企业版</x:v>
      </x:c>
      <x:c r="D72" s="73" t="str">
        <x:v>专业版</x:v>
      </x:c>
      <x:c r="E72" s="73" t="str">
        <x:v>基础版</x:v>
      </x:c>
      <x:c r="F72" s="73" t="str">
        <x:v>订阅收入</x:v>
      </x:c>
      <x:c r="G72" s="73" t="str">
        <x:v>经营利润</x:v>
      </x:c>
      <x:c r="H72" s="73" t="str">
        <x:v>新增客户</x:v>
      </x:c>
      <x:c r="I72" s="73" t="str">
        <x:v>期末客户</x:v>
      </x:c>
      <x:c r="J72" s="73" t="str">
        <x:v>毛利率</x:v>
      </x:c>
      <x:c r="K72" s="73" t="str">
        <x:v>收入占比</x:v>
      </x:c>
      <x:c r="L72" s="3"/>
      <x:c r="M72" s="3"/>
      <x:c r="N72" s="3"/>
      <x:c r="O72" s="3"/>
      <x:c r="P72" s="3"/>
    </x:row>
    <x:row r="73" ht="24" customHeight="1">
      <x:c r="A73" s="3"/>
      <x:c r="B73" s="3" t="str">
        <x:v>Q1</x:v>
      </x:c>
      <x:c r="C73" s="74">
        <x:f>(2*SUMIFS('月度经营数据'!$D$8:$D$43,'月度经营数据'!$C$8:$C$43,C$72,'月度经营数据'!$B$8:$B$43,"&gt;="&amp;DATE(2025,1,1),'月度经营数据'!$B$8:$B$43,"&lt;"&amp;DATE(2025,4,1))+SUMIFS('月度经营数据'!$E$8:$E$43,'月度经营数据'!$C$8:$C$43,C$72,'月度经营数据'!$B$8:$B$43,"&gt;="&amp;DATE(2025,1,1),'月度经营数据'!$B$8:$B$43,"&lt;"&amp;DATE(2025,4,1))+SUMIFS('月度经营数据'!$F$8:$F$43,'月度经营数据'!$C$8:$C$43,C$72,'月度经营数据'!$B$8:$B$43,"&gt;="&amp;DATE(2025,1,1),'月度经营数据'!$B$8:$B$43,"&lt;"&amp;DATE(2025,4,1))-SUMIFS('月度经营数据'!$G$8:$G$43,'月度经营数据'!$C$8:$C$43,C$72,'月度经营数据'!$B$8:$B$43,"&gt;="&amp;DATE(2025,1,1),'月度经营数据'!$B$8:$B$43,"&lt;"&amp;DATE(2025,4,1))-SUMIFS('月度经营数据'!$H$8:$H$43,'月度经营数据'!$C$8:$C$43,C$72,'月度经营数据'!$B$8:$B$43,"&gt;="&amp;DATE(2025,1,1),'月度经营数据'!$B$8:$B$43,"&lt;"&amp;DATE(2025,4,1)))/20000</x:f>
        <x:v>122.6154</x:v>
      </x:c>
      <x:c r="D73" s="74">
        <x:f>(2*SUMIFS('月度经营数据'!$D$8:$D$43,'月度经营数据'!$C$8:$C$43,D$72,'月度经营数据'!$B$8:$B$43,"&gt;="&amp;DATE(2025,1,1),'月度经营数据'!$B$8:$B$43,"&lt;"&amp;DATE(2025,4,1))+SUMIFS('月度经营数据'!$E$8:$E$43,'月度经营数据'!$C$8:$C$43,D$72,'月度经营数据'!$B$8:$B$43,"&gt;="&amp;DATE(2025,1,1),'月度经营数据'!$B$8:$B$43,"&lt;"&amp;DATE(2025,4,1))+SUMIFS('月度经营数据'!$F$8:$F$43,'月度经营数据'!$C$8:$C$43,D$72,'月度经营数据'!$B$8:$B$43,"&gt;="&amp;DATE(2025,1,1),'月度经营数据'!$B$8:$B$43,"&lt;"&amp;DATE(2025,4,1))-SUMIFS('月度经营数据'!$G$8:$G$43,'月度经营数据'!$C$8:$C$43,D$72,'月度经营数据'!$B$8:$B$43,"&gt;="&amp;DATE(2025,1,1),'月度经营数据'!$B$8:$B$43,"&lt;"&amp;DATE(2025,4,1))-SUMIFS('月度经营数据'!$H$8:$H$43,'月度经营数据'!$C$8:$C$43,D$72,'月度经营数据'!$B$8:$B$43,"&gt;="&amp;DATE(2025,1,1),'月度经营数据'!$B$8:$B$43,"&lt;"&amp;DATE(2025,4,1)))/20000</x:f>
        <x:v>87.62235</x:v>
      </x:c>
      <x:c r="E73" s="74">
        <x:f>(2*SUMIFS('月度经营数据'!$D$8:$D$43,'月度经营数据'!$C$8:$C$43,E$72,'月度经营数据'!$B$8:$B$43,"&gt;="&amp;DATE(2025,1,1),'月度经营数据'!$B$8:$B$43,"&lt;"&amp;DATE(2025,4,1))+SUMIFS('月度经营数据'!$E$8:$E$43,'月度经营数据'!$C$8:$C$43,E$72,'月度经营数据'!$B$8:$B$43,"&gt;="&amp;DATE(2025,1,1),'月度经营数据'!$B$8:$B$43,"&lt;"&amp;DATE(2025,4,1))+SUMIFS('月度经营数据'!$F$8:$F$43,'月度经营数据'!$C$8:$C$43,E$72,'月度经营数据'!$B$8:$B$43,"&gt;="&amp;DATE(2025,1,1),'月度经营数据'!$B$8:$B$43,"&lt;"&amp;DATE(2025,4,1))-SUMIFS('月度经营数据'!$G$8:$G$43,'月度经营数据'!$C$8:$C$43,E$72,'月度经营数据'!$B$8:$B$43,"&gt;="&amp;DATE(2025,1,1),'月度经营数据'!$B$8:$B$43,"&lt;"&amp;DATE(2025,4,1))-SUMIFS('月度经营数据'!$H$8:$H$43,'月度经营数据'!$C$8:$C$43,E$72,'月度经营数据'!$B$8:$B$43,"&gt;="&amp;DATE(2025,1,1),'月度经营数据'!$B$8:$B$43,"&lt;"&amp;DATE(2025,4,1)))/20000</x:f>
        <x:v>43.26125</x:v>
      </x:c>
      <x:c r="F73" s="74">
        <x:f>SUM(C73:E73)</x:f>
        <x:v>253.499</x:v>
      </x:c>
      <x:c r="G73" s="74">
        <x:f>SUM('增长质量'!C87:E87)/10000</x:f>
        <x:v>118.7615</x:v>
      </x:c>
      <x:c r="H73" s="3">
        <x:f>SUM('增长质量'!C70:E70)</x:f>
        <x:v>98</x:v>
      </x:c>
      <x:c r="I73" s="3">
        <x:f>'增长质量'!E72</x:f>
        <x:v>506</x:v>
      </x:c>
      <x:c r="J73" s="76">
        <x:f>SUM('增长质量'!C76:E76)/SUM('增长质量'!C74:E74)</x:f>
        <x:v>0.795707675375445</x:v>
      </x:c>
      <x:c r="K73" s="76">
        <x:f>F73/$B$8</x:f>
        <x:v>0.18046379199526</x:v>
      </x:c>
      <x:c r="L73" s="3"/>
      <x:c r="M73" s="3"/>
      <x:c r="N73" s="3"/>
      <x:c r="O73" s="3"/>
      <x:c r="P73" s="3"/>
    </x:row>
    <x:row r="74" ht="24" customHeight="1">
      <x:c r="A74" s="3"/>
      <x:c r="B74" s="3" t="str">
        <x:v>Q2</x:v>
      </x:c>
      <x:c r="C74" s="74">
        <x:f>(2*SUMIFS('月度经营数据'!$D$8:$D$43,'月度经营数据'!$C$8:$C$43,C$72,'月度经营数据'!$B$8:$B$43,"&gt;="&amp;DATE(2025,4,1),'月度经营数据'!$B$8:$B$43,"&lt;"&amp;DATE(2025,7,1))+SUMIFS('月度经营数据'!$E$8:$E$43,'月度经营数据'!$C$8:$C$43,C$72,'月度经营数据'!$B$8:$B$43,"&gt;="&amp;DATE(2025,4,1),'月度经营数据'!$B$8:$B$43,"&lt;"&amp;DATE(2025,7,1))+SUMIFS('月度经营数据'!$F$8:$F$43,'月度经营数据'!$C$8:$C$43,C$72,'月度经营数据'!$B$8:$B$43,"&gt;="&amp;DATE(2025,4,1),'月度经营数据'!$B$8:$B$43,"&lt;"&amp;DATE(2025,7,1))-SUMIFS('月度经营数据'!$G$8:$G$43,'月度经营数据'!$C$8:$C$43,C$72,'月度经营数据'!$B$8:$B$43,"&gt;="&amp;DATE(2025,4,1),'月度经营数据'!$B$8:$B$43,"&lt;"&amp;DATE(2025,7,1))-SUMIFS('月度经营数据'!$H$8:$H$43,'月度经营数据'!$C$8:$C$43,C$72,'月度经营数据'!$B$8:$B$43,"&gt;="&amp;DATE(2025,4,1),'月度经营数据'!$B$8:$B$43,"&lt;"&amp;DATE(2025,7,1)))/20000</x:f>
        <x:v>152.99745</x:v>
      </x:c>
      <x:c r="D74" s="74">
        <x:f>(2*SUMIFS('月度经营数据'!$D$8:$D$43,'月度经营数据'!$C$8:$C$43,D$72,'月度经营数据'!$B$8:$B$43,"&gt;="&amp;DATE(2025,4,1),'月度经营数据'!$B$8:$B$43,"&lt;"&amp;DATE(2025,7,1))+SUMIFS('月度经营数据'!$E$8:$E$43,'月度经营数据'!$C$8:$C$43,D$72,'月度经营数据'!$B$8:$B$43,"&gt;="&amp;DATE(2025,4,1),'月度经营数据'!$B$8:$B$43,"&lt;"&amp;DATE(2025,7,1))+SUMIFS('月度经营数据'!$F$8:$F$43,'月度经营数据'!$C$8:$C$43,D$72,'月度经营数据'!$B$8:$B$43,"&gt;="&amp;DATE(2025,4,1),'月度经营数据'!$B$8:$B$43,"&lt;"&amp;DATE(2025,7,1))-SUMIFS('月度经营数据'!$G$8:$G$43,'月度经营数据'!$C$8:$C$43,D$72,'月度经营数据'!$B$8:$B$43,"&gt;="&amp;DATE(2025,4,1),'月度经营数据'!$B$8:$B$43,"&lt;"&amp;DATE(2025,7,1))-SUMIFS('月度经营数据'!$H$8:$H$43,'月度经营数据'!$C$8:$C$43,D$72,'月度经营数据'!$B$8:$B$43,"&gt;="&amp;DATE(2025,4,1),'月度经营数据'!$B$8:$B$43,"&lt;"&amp;DATE(2025,7,1)))/20000</x:f>
        <x:v>103.6391</x:v>
      </x:c>
      <x:c r="E74" s="74">
        <x:f>(2*SUMIFS('月度经营数据'!$D$8:$D$43,'月度经营数据'!$C$8:$C$43,E$72,'月度经营数据'!$B$8:$B$43,"&gt;="&amp;DATE(2025,4,1),'月度经营数据'!$B$8:$B$43,"&lt;"&amp;DATE(2025,7,1))+SUMIFS('月度经营数据'!$E$8:$E$43,'月度经营数据'!$C$8:$C$43,E$72,'月度经营数据'!$B$8:$B$43,"&gt;="&amp;DATE(2025,4,1),'月度经营数据'!$B$8:$B$43,"&lt;"&amp;DATE(2025,7,1))+SUMIFS('月度经营数据'!$F$8:$F$43,'月度经营数据'!$C$8:$C$43,E$72,'月度经营数据'!$B$8:$B$43,"&gt;="&amp;DATE(2025,4,1),'月度经营数据'!$B$8:$B$43,"&lt;"&amp;DATE(2025,7,1))-SUMIFS('月度经营数据'!$G$8:$G$43,'月度经营数据'!$C$8:$C$43,E$72,'月度经营数据'!$B$8:$B$43,"&gt;="&amp;DATE(2025,4,1),'月度经营数据'!$B$8:$B$43,"&lt;"&amp;DATE(2025,7,1))-SUMIFS('月度经营数据'!$H$8:$H$43,'月度经营数据'!$C$8:$C$43,E$72,'月度经营数据'!$B$8:$B$43,"&gt;="&amp;DATE(2025,4,1),'月度经营数据'!$B$8:$B$43,"&lt;"&amp;DATE(2025,7,1)))/20000</x:f>
        <x:v>51.175</x:v>
      </x:c>
      <x:c r="F74" s="74">
        <x:f>SUM(C74:E74)</x:f>
        <x:v>307.81155</x:v>
      </x:c>
      <x:c r="G74" s="74">
        <x:f>SUM('增长质量'!F87:H87)/10000</x:f>
        <x:v>154.27325</x:v>
      </x:c>
      <x:c r="H74" s="3">
        <x:f>SUM('增长质量'!F70:H70)</x:f>
        <x:v>124</x:v>
      </x:c>
      <x:c r="I74" s="3">
        <x:f>'增长质量'!H72</x:f>
        <x:v>599</x:v>
      </x:c>
      <x:c r="J74" s="76">
        <x:f>SUM('增长质量'!F76:H76)/SUM('增长质量'!F74:H74)</x:f>
        <x:v>0.802043815444872</x:v>
      </x:c>
      <x:c r="K74" s="76">
        <x:f>F74/$B$8</x:f>
        <x:v>0.219128436534024</x:v>
      </x:c>
      <x:c r="L74" s="3"/>
      <x:c r="M74" s="3"/>
      <x:c r="N74" s="3"/>
      <x:c r="O74" s="3"/>
      <x:c r="P74" s="3"/>
    </x:row>
    <x:row r="75" ht="24" customHeight="1">
      <x:c r="A75" s="3"/>
      <x:c r="B75" s="3" t="str">
        <x:v>Q3</x:v>
      </x:c>
      <x:c r="C75" s="74">
        <x:f>(2*SUMIFS('月度经营数据'!$D$8:$D$43,'月度经营数据'!$C$8:$C$43,C$72,'月度经营数据'!$B$8:$B$43,"&gt;="&amp;DATE(2025,7,1),'月度经营数据'!$B$8:$B$43,"&lt;"&amp;DATE(2025,10,1))+SUMIFS('月度经营数据'!$E$8:$E$43,'月度经营数据'!$C$8:$C$43,C$72,'月度经营数据'!$B$8:$B$43,"&gt;="&amp;DATE(2025,7,1),'月度经营数据'!$B$8:$B$43,"&lt;"&amp;DATE(2025,10,1))+SUMIFS('月度经营数据'!$F$8:$F$43,'月度经营数据'!$C$8:$C$43,C$72,'月度经营数据'!$B$8:$B$43,"&gt;="&amp;DATE(2025,7,1),'月度经营数据'!$B$8:$B$43,"&lt;"&amp;DATE(2025,10,1))-SUMIFS('月度经营数据'!$G$8:$G$43,'月度经营数据'!$C$8:$C$43,C$72,'月度经营数据'!$B$8:$B$43,"&gt;="&amp;DATE(2025,7,1),'月度经营数据'!$B$8:$B$43,"&lt;"&amp;DATE(2025,10,1))-SUMIFS('月度经营数据'!$H$8:$H$43,'月度经营数据'!$C$8:$C$43,C$72,'月度经营数据'!$B$8:$B$43,"&gt;="&amp;DATE(2025,7,1),'月度经营数据'!$B$8:$B$43,"&lt;"&amp;DATE(2025,10,1)))/20000</x:f>
        <x:v>189.8034</x:v>
      </x:c>
      <x:c r="D75" s="74">
        <x:f>(2*SUMIFS('月度经营数据'!$D$8:$D$43,'月度经营数据'!$C$8:$C$43,D$72,'月度经营数据'!$B$8:$B$43,"&gt;="&amp;DATE(2025,7,1),'月度经营数据'!$B$8:$B$43,"&lt;"&amp;DATE(2025,10,1))+SUMIFS('月度经营数据'!$E$8:$E$43,'月度经营数据'!$C$8:$C$43,D$72,'月度经营数据'!$B$8:$B$43,"&gt;="&amp;DATE(2025,7,1),'月度经营数据'!$B$8:$B$43,"&lt;"&amp;DATE(2025,10,1))+SUMIFS('月度经营数据'!$F$8:$F$43,'月度经营数据'!$C$8:$C$43,D$72,'月度经营数据'!$B$8:$B$43,"&gt;="&amp;DATE(2025,7,1),'月度经营数据'!$B$8:$B$43,"&lt;"&amp;DATE(2025,10,1))-SUMIFS('月度经营数据'!$G$8:$G$43,'月度经营数据'!$C$8:$C$43,D$72,'月度经营数据'!$B$8:$B$43,"&gt;="&amp;DATE(2025,7,1),'月度经营数据'!$B$8:$B$43,"&lt;"&amp;DATE(2025,10,1))-SUMIFS('月度经营数据'!$H$8:$H$43,'月度经营数据'!$C$8:$C$43,D$72,'月度经营数据'!$B$8:$B$43,"&gt;="&amp;DATE(2025,7,1),'月度经营数据'!$B$8:$B$43,"&lt;"&amp;DATE(2025,10,1)))/20000</x:f>
        <x:v>124.237225</x:v>
      </x:c>
      <x:c r="E75" s="74">
        <x:f>(2*SUMIFS('月度经营数据'!$D$8:$D$43,'月度经营数据'!$C$8:$C$43,E$72,'月度经营数据'!$B$8:$B$43,"&gt;="&amp;DATE(2025,7,1),'月度经营数据'!$B$8:$B$43,"&lt;"&amp;DATE(2025,10,1))+SUMIFS('月度经营数据'!$E$8:$E$43,'月度经营数据'!$C$8:$C$43,E$72,'月度经营数据'!$B$8:$B$43,"&gt;="&amp;DATE(2025,7,1),'月度经营数据'!$B$8:$B$43,"&lt;"&amp;DATE(2025,10,1))+SUMIFS('月度经营数据'!$F$8:$F$43,'月度经营数据'!$C$8:$C$43,E$72,'月度经营数据'!$B$8:$B$43,"&gt;="&amp;DATE(2025,7,1),'月度经营数据'!$B$8:$B$43,"&lt;"&amp;DATE(2025,10,1))-SUMIFS('月度经营数据'!$G$8:$G$43,'月度经营数据'!$C$8:$C$43,E$72,'月度经营数据'!$B$8:$B$43,"&gt;="&amp;DATE(2025,7,1),'月度经营数据'!$B$8:$B$43,"&lt;"&amp;DATE(2025,10,1))-SUMIFS('月度经营数据'!$H$8:$H$43,'月度经营数据'!$C$8:$C$43,E$72,'月度经营数据'!$B$8:$B$43,"&gt;="&amp;DATE(2025,7,1),'月度经营数据'!$B$8:$B$43,"&lt;"&amp;DATE(2025,10,1)))/20000</x:f>
        <x:v>60.93225</x:v>
      </x:c>
      <x:c r="F75" s="74">
        <x:f>SUM(C75:E75)</x:f>
        <x:v>374.972875</x:v>
      </x:c>
      <x:c r="G75" s="74">
        <x:f>SUM('增长质量'!I87:K87)/10000</x:f>
        <x:v>200.156775</x:v>
      </x:c>
      <x:c r="H75" s="3">
        <x:f>SUM('增长质量'!I70:K70)</x:f>
        <x:v>149</x:v>
      </x:c>
      <x:c r="I75" s="3">
        <x:f>'增长质量'!K72</x:f>
        <x:v>703</x:v>
      </x:c>
      <x:c r="J75" s="76">
        <x:f>SUM('增长质量'!I76:K76)/SUM('增长质量'!I74:K74)</x:f>
        <x:v>0.808277598746309</x:v>
      </x:c>
      <x:c r="K75" s="76">
        <x:f>F75/$B$8</x:f>
        <x:v>0.266940015218461</x:v>
      </x:c>
      <x:c r="L75" s="3"/>
      <x:c r="M75" s="3"/>
      <x:c r="N75" s="3"/>
      <x:c r="O75" s="3"/>
      <x:c r="P75" s="3"/>
    </x:row>
    <x:row r="76">
      <x:c r="B76" t="str">
        <x:v>Q4</x:v>
      </x:c>
      <x:c r="C76" s="75">
        <x:f>(2*SUMIFS('月度经营数据'!$D$8:$D$43,'月度经营数据'!$C$8:$C$43,C$72,'月度经营数据'!$B$8:$B$43,"&gt;="&amp;DATE(2025,10,1),'月度经营数据'!$B$8:$B$43,"&lt;"&amp;DATE(2025,13,1))+SUMIFS('月度经营数据'!$E$8:$E$43,'月度经营数据'!$C$8:$C$43,C$72,'月度经营数据'!$B$8:$B$43,"&gt;="&amp;DATE(2025,10,1),'月度经营数据'!$B$8:$B$43,"&lt;"&amp;DATE(2025,13,1))+SUMIFS('月度经营数据'!$F$8:$F$43,'月度经营数据'!$C$8:$C$43,C$72,'月度经营数据'!$B$8:$B$43,"&gt;="&amp;DATE(2025,10,1),'月度经营数据'!$B$8:$B$43,"&lt;"&amp;DATE(2025,13,1))-SUMIFS('月度经营数据'!$G$8:$G$43,'月度经营数据'!$C$8:$C$43,C$72,'月度经营数据'!$B$8:$B$43,"&gt;="&amp;DATE(2025,10,1),'月度经营数据'!$B$8:$B$43,"&lt;"&amp;DATE(2025,13,1))-SUMIFS('月度经营数据'!$H$8:$H$43,'月度经营数据'!$C$8:$C$43,C$72,'月度经营数据'!$B$8:$B$43,"&gt;="&amp;DATE(2025,10,1),'月度经营数据'!$B$8:$B$43,"&lt;"&amp;DATE(2025,13,1)))/20000</x:f>
        <x:v>242.38185</x:v>
      </x:c>
      <x:c r="D76" s="75">
        <x:f>(2*SUMIFS('月度经营数据'!$D$8:$D$43,'月度经营数据'!$C$8:$C$43,D$72,'月度经营数据'!$B$8:$B$43,"&gt;="&amp;DATE(2025,10,1),'月度经营数据'!$B$8:$B$43,"&lt;"&amp;DATE(2025,13,1))+SUMIFS('月度经营数据'!$E$8:$E$43,'月度经营数据'!$C$8:$C$43,D$72,'月度经营数据'!$B$8:$B$43,"&gt;="&amp;DATE(2025,10,1),'月度经营数据'!$B$8:$B$43,"&lt;"&amp;DATE(2025,13,1))+SUMIFS('月度经营数据'!$F$8:$F$43,'月度经营数据'!$C$8:$C$43,D$72,'月度经营数据'!$B$8:$B$43,"&gt;="&amp;DATE(2025,10,1),'月度经营数据'!$B$8:$B$43,"&lt;"&amp;DATE(2025,13,1))-SUMIFS('月度经营数据'!$G$8:$G$43,'月度经营数据'!$C$8:$C$43,D$72,'月度经营数据'!$B$8:$B$43,"&gt;="&amp;DATE(2025,10,1),'月度经营数据'!$B$8:$B$43,"&lt;"&amp;DATE(2025,13,1))-SUMIFS('月度经营数据'!$H$8:$H$43,'月度经营数据'!$C$8:$C$43,D$72,'月度经营数据'!$B$8:$B$43,"&gt;="&amp;DATE(2025,10,1),'月度经营数据'!$B$8:$B$43,"&lt;"&amp;DATE(2025,13,1)))/20000</x:f>
        <x:v>152.80885</x:v>
      </x:c>
      <x:c r="E76" s="75">
        <x:f>(2*SUMIFS('月度经营数据'!$D$8:$D$43,'月度经营数据'!$C$8:$C$43,E$72,'月度经营数据'!$B$8:$B$43,"&gt;="&amp;DATE(2025,10,1),'月度经营数据'!$B$8:$B$43,"&lt;"&amp;DATE(2025,13,1))+SUMIFS('月度经营数据'!$E$8:$E$43,'月度经营数据'!$C$8:$C$43,E$72,'月度经营数据'!$B$8:$B$43,"&gt;="&amp;DATE(2025,10,1),'月度经营数据'!$B$8:$B$43,"&lt;"&amp;DATE(2025,13,1))+SUMIFS('月度经营数据'!$F$8:$F$43,'月度经营数据'!$C$8:$C$43,E$72,'月度经营数据'!$B$8:$B$43,"&gt;="&amp;DATE(2025,10,1),'月度经营数据'!$B$8:$B$43,"&lt;"&amp;DATE(2025,13,1))-SUMIFS('月度经营数据'!$G$8:$G$43,'月度经营数据'!$C$8:$C$43,E$72,'月度经营数据'!$B$8:$B$43,"&gt;="&amp;DATE(2025,10,1),'月度经营数据'!$B$8:$B$43,"&lt;"&amp;DATE(2025,13,1))-SUMIFS('月度经营数据'!$H$8:$H$43,'月度经营数据'!$C$8:$C$43,E$72,'月度经营数据'!$B$8:$B$43,"&gt;="&amp;DATE(2025,10,1),'月度经营数据'!$B$8:$B$43,"&lt;"&amp;DATE(2025,13,1)))/20000</x:f>
        <x:v>73.23425</x:v>
      </x:c>
      <x:c r="F76" s="75">
        <x:f>SUM(C76:E76)</x:f>
        <x:v>468.42495</x:v>
      </x:c>
      <x:c r="G76" s="75">
        <x:f>SUM('增长质量'!L87:N87)/10000</x:f>
        <x:v>265.42895</x:v>
      </x:c>
      <x:c r="H76">
        <x:f>SUM('增长质量'!L70:N70)</x:f>
        <x:v>182</x:v>
      </x:c>
      <x:c r="I76">
        <x:f>'增长质量'!N72</x:f>
        <x:v>843</x:v>
      </x:c>
      <x:c r="J76" s="77">
        <x:f>SUM('增长质量'!L76:N76)/SUM('增长质量'!L74:N74)</x:f>
        <x:v>0.814602958275387</x:v>
      </x:c>
      <x:c r="K76" s="77">
        <x:f>F76/$B$8</x:f>
        <x:v>0.333467756252254</x:v>
      </x:c>
    </x:row>
    <x:row r="79" ht="32" customHeight="1">
      <x:c r="B79" s="73" t="str">
        <x:v>月份</x:v>
      </x:c>
      <x:c r="C79" s="73" t="str">
        <x:v>新增 MRR</x:v>
      </x:c>
      <x:c r="D79" s="73" t="str">
        <x:v>扩展 MRR</x:v>
      </x:c>
      <x:c r="E79" s="73" t="str">
        <x:v>流失与降配</x:v>
      </x:c>
    </x:row>
    <x:row r="80">
      <x:c r="B80" t="str">
        <x:v>1月</x:v>
      </x:c>
      <x:c r="C80" s="75">
        <x:f>'增长质量'!C62/10000</x:f>
        <x:v>4.896</x:v>
      </x:c>
      <x:c r="D80" s="75">
        <x:f>'增长质量'!C63/10000</x:f>
        <x:v>0.8612</x:v>
      </x:c>
      <x:c r="E80" s="75">
        <x:f>-('增长质量'!C64+'增长质量'!C65)/10000</x:f>
        <x:v>-2.6444</x:v>
      </x:c>
    </x:row>
    <x:row r="81">
      <x:c r="B81" t="str">
        <x:v>2月</x:v>
      </x:c>
      <x:c r="C81" s="75">
        <x:f>'增长质量'!D62/10000</x:f>
        <x:v>4.8</x:v>
      </x:c>
      <x:c r="D81" s="75">
        <x:f>'增长质量'!D63/10000</x:f>
        <x:v>0.8952</x:v>
      </x:c>
      <x:c r="E81" s="75">
        <x:f>-('增长质量'!D64+'增长质量'!D65)/10000</x:f>
        <x:v>-1.0138</x:v>
      </x:c>
    </x:row>
    <x:row r="82">
      <x:c r="B82" t="str">
        <x:v>3月</x:v>
      </x:c>
      <x:c r="C82" s="75">
        <x:f>'增长质量'!E62/10000</x:f>
        <x:v>6.282</x:v>
      </x:c>
      <x:c r="D82" s="75">
        <x:f>'增长质量'!E63/10000</x:f>
        <x:v>0.9471</x:v>
      </x:c>
      <x:c r="E82" s="75">
        <x:f>-('增长质量'!E64+'增长质量'!E65)/10000</x:f>
        <x:v>-1.0793</x:v>
      </x:c>
    </x:row>
    <x:row r="83">
      <x:c r="B83" t="str">
        <x:v>4月</x:v>
      </x:c>
      <x:c r="C83" s="75">
        <x:f>'增长质量'!F62/10000</x:f>
        <x:v>6.588</x:v>
      </x:c>
      <x:c r="D83" s="75">
        <x:f>'增长质量'!F63/10000</x:f>
        <x:v>1.0159</x:v>
      </x:c>
      <x:c r="E83" s="75">
        <x:f>-('增长质量'!F64+'增长质量'!F65)/10000</x:f>
        <x:v>-1.0511</x:v>
      </x:c>
    </x:row>
    <x:row r="84">
      <x:c r="B84" t="str">
        <x:v>5月</x:v>
      </x:c>
      <x:c r="C84" s="75">
        <x:f>'增长质量'!G62/10000</x:f>
        <x:v>6.8511</x:v>
      </x:c>
      <x:c r="D84" s="75">
        <x:f>'增长质量'!G63/10000</x:f>
        <x:v>1.0888</x:v>
      </x:c>
      <x:c r="E84" s="75">
        <x:f>-('增长质量'!G64+'增长质量'!G65)/10000</x:f>
        <x:v>-1.072</x:v>
      </x:c>
    </x:row>
    <x:row r="85">
      <x:c r="B85" t="str">
        <x:v>6月</x:v>
      </x:c>
      <x:c r="C85" s="75">
        <x:f>'增长质量'!H62/10000</x:f>
        <x:v>7.3308</x:v>
      </x:c>
      <x:c r="D85" s="75">
        <x:f>'增长质量'!H63/10000</x:f>
        <x:v>1.1649</x:v>
      </x:c>
      <x:c r="E85" s="75">
        <x:f>-('增长质量'!H64+'增长质量'!H65)/10000</x:f>
        <x:v>-1.1443</x:v>
      </x:c>
    </x:row>
    <x:row r="86">
      <x:c r="B86" t="str">
        <x:v>7月</x:v>
      </x:c>
      <x:c r="C86" s="75">
        <x:f>'增长质量'!I62/10000</x:f>
        <x:v>8.5362</x:v>
      </x:c>
      <x:c r="D86" s="75">
        <x:f>'增长质量'!I63/10000</x:f>
        <x:v>1.2462</x:v>
      </x:c>
      <x:c r="E86" s="75">
        <x:f>-('增长质量'!I64+'增长质量'!I65)/10000</x:f>
        <x:v>-2.9884</x:v>
      </x:c>
    </x:row>
    <x:row r="87">
      <x:c r="B87" t="str">
        <x:v>8月</x:v>
      </x:c>
      <x:c r="C87" s="75">
        <x:f>'增长质量'!J62/10000</x:f>
        <x:v>8.89905</x:v>
      </x:c>
      <x:c r="D87" s="75">
        <x:f>'增长质量'!J63/10000</x:f>
        <x:v>1.3219</x:v>
      </x:c>
      <x:c r="E87" s="75">
        <x:f>-('增长质量'!J64+'增长质量'!J65)/10000</x:f>
        <x:v>-1.2904</x:v>
      </x:c>
    </x:row>
    <x:row r="88">
      <x:c r="B88" t="str">
        <x:v>9月</x:v>
      </x:c>
      <x:c r="C88" s="75">
        <x:f>'增长质量'!K62/10000</x:f>
        <x:v>9.2862</x:v>
      </x:c>
      <x:c r="D88" s="75">
        <x:f>'增长质量'!K63/10000</x:f>
        <x:v>1.6793</x:v>
      </x:c>
      <x:c r="E88" s="75">
        <x:f>-('增长质量'!K64+'增长质量'!K65)/10000</x:f>
        <x:v>-1.318</x:v>
      </x:c>
    </x:row>
    <x:row r="89">
      <x:c r="B89" t="str">
        <x:v>10月</x:v>
      </x:c>
      <x:c r="C89" s="75">
        <x:f>'增长质量'!L62/10000</x:f>
        <x:v>10.7919</x:v>
      </x:c>
      <x:c r="D89" s="75">
        <x:f>'增长质量'!L63/10000</x:f>
        <x:v>1.8058</x:v>
      </x:c>
      <x:c r="E89" s="75">
        <x:f>-('增长质量'!L64+'增长质量'!L65)/10000</x:f>
        <x:v>-1.3507</x:v>
      </x:c>
    </x:row>
    <x:row r="90">
      <x:c r="B90" t="str">
        <x:v>11月</x:v>
      </x:c>
      <x:c r="C90" s="75">
        <x:f>'增长质量'!M62/10000</x:f>
        <x:v>11.3337</x:v>
      </x:c>
      <x:c r="D90" s="75">
        <x:f>'增长质量'!M63/10000</x:f>
        <x:v>1.954</x:v>
      </x:c>
      <x:c r="E90" s="75">
        <x:f>-('增长质量'!M64+'增长质量'!M65)/10000</x:f>
        <x:v>-1.4379</x:v>
      </x:c>
    </x:row>
    <x:row r="91">
      <x:c r="B91" t="str">
        <x:v>12月</x:v>
      </x:c>
      <x:c r="C91" s="75">
        <x:f>'增长质量'!N62/10000</x:f>
        <x:v>12.8898</x:v>
      </x:c>
      <x:c r="D91" s="75">
        <x:f>'增长质量'!N63/10000</x:f>
        <x:v>2.1096</x:v>
      </x:c>
      <x:c r="E91" s="75">
        <x:f>-('增长质量'!N64+'增长质量'!N65)/10000</x:f>
        <x:v>-1.7028</x:v>
      </x:c>
    </x:row>
    <x:row r="95" ht="32" customHeight="1">
      <x:c r="B95" s="73" t="str">
        <x:v>日度与月度核对</x:v>
      </x:c>
      <x:c r="C95" s="73" t="n">
        <x:v>1</x:v>
      </x:c>
      <x:c r="D95" s="73" t="n">
        <x:v>2</x:v>
      </x:c>
      <x:c r="E95" s="73" t="n">
        <x:v>3</x:v>
      </x:c>
      <x:c r="F95" s="73" t="n">
        <x:v>4</x:v>
      </x:c>
      <x:c r="G95" s="73" t="n">
        <x:v>5</x:v>
      </x:c>
      <x:c r="H95" s="73" t="n">
        <x:v>6</x:v>
      </x:c>
      <x:c r="I95" s="73" t="n">
        <x:v>7</x:v>
      </x:c>
      <x:c r="J95" s="73" t="n">
        <x:v>8</x:v>
      </x:c>
      <x:c r="K95" s="73" t="n">
        <x:v>9</x:v>
      </x:c>
      <x:c r="L95" s="73" t="n">
        <x:v>10</x:v>
      </x:c>
      <x:c r="M95" s="73" t="n">
        <x:v>11</x:v>
      </x:c>
      <x:c r="N95" s="73" t="n">
        <x:v>12</x:v>
      </x:c>
    </x:row>
    <x:row r="96">
      <x:c r="B96" t="str">
        <x:v>日度合计（千元）</x:v>
      </x:c>
      <x:c r="C96" s="93">
        <x:f>SUMIFS($F$104:$F$468,$C$104:$C$468,C$95)</x:f>
        <x:v>48960</x:v>
      </x:c>
      <x:c r="D96" s="93">
        <x:f>SUMIFS($F$104:$F$468,$C$104:$C$468,D$95)</x:f>
        <x:v>48000</x:v>
      </x:c>
      <x:c r="E96" s="93">
        <x:f>SUMIFS($F$104:$F$468,$C$104:$C$468,E$95)</x:f>
        <x:v>62820</x:v>
      </x:c>
      <x:c r="F96" s="93">
        <x:f>SUMIFS($F$104:$F$468,$C$104:$C$468,F$95)</x:f>
        <x:v>65880</x:v>
      </x:c>
      <x:c r="G96" s="93">
        <x:f>SUMIFS($F$104:$F$468,$C$104:$C$468,G$95)</x:f>
        <x:v>68511</x:v>
      </x:c>
      <x:c r="H96" s="93">
        <x:f>SUMIFS($F$104:$F$468,$C$104:$C$468,H$95)</x:f>
        <x:v>73308</x:v>
      </x:c>
      <x:c r="I96" s="93">
        <x:f>SUMIFS($F$104:$F$468,$C$104:$C$468,I$95)</x:f>
        <x:v>85362</x:v>
      </x:c>
      <x:c r="J96" s="93">
        <x:f>SUMIFS($F$104:$F$468,$C$104:$C$468,J$95)</x:f>
        <x:v>88990.5</x:v>
      </x:c>
      <x:c r="K96" s="93">
        <x:f>SUMIFS($F$104:$F$468,$C$104:$C$468,K$95)</x:f>
        <x:v>92862</x:v>
      </x:c>
      <x:c r="L96" s="93">
        <x:f>SUMIFS($F$104:$F$468,$C$104:$C$468,L$95)</x:f>
        <x:v>107919</x:v>
      </x:c>
      <x:c r="M96" s="93">
        <x:f>SUMIFS($F$104:$F$468,$C$104:$C$468,M$95)</x:f>
        <x:v>113337</x:v>
      </x:c>
      <x:c r="N96" s="93">
        <x:f>SUMIFS($F$104:$F$468,$C$104:$C$468,N$95)</x:f>
        <x:v>128898</x:v>
      </x:c>
    </x:row>
    <x:row r="97">
      <x:c r="B97" t="str">
        <x:v>月度总额（千元）</x:v>
      </x:c>
      <x:c r="C97" s="93">
        <x:f>'增长质量'!C62</x:f>
        <x:v>48960</x:v>
      </x:c>
      <x:c r="D97" s="93">
        <x:f>'增长质量'!D62</x:f>
        <x:v>48000</x:v>
      </x:c>
      <x:c r="E97" s="93">
        <x:f>'增长质量'!E62</x:f>
        <x:v>62820</x:v>
      </x:c>
      <x:c r="F97" s="93">
        <x:f>'增长质量'!F62</x:f>
        <x:v>65880</x:v>
      </x:c>
      <x:c r="G97" s="93">
        <x:f>'增长质量'!G62</x:f>
        <x:v>68511</x:v>
      </x:c>
      <x:c r="H97" s="93">
        <x:f>'增长质量'!H62</x:f>
        <x:v>73308</x:v>
      </x:c>
      <x:c r="I97" s="93">
        <x:f>'增长质量'!I62</x:f>
        <x:v>85362</x:v>
      </x:c>
      <x:c r="J97" s="93">
        <x:f>'增长质量'!J62</x:f>
        <x:v>88990.5</x:v>
      </x:c>
      <x:c r="K97" s="93">
        <x:f>'增长质量'!K62</x:f>
        <x:v>92862</x:v>
      </x:c>
      <x:c r="L97" s="93">
        <x:f>'增长质量'!L62</x:f>
        <x:v>107919</x:v>
      </x:c>
      <x:c r="M97" s="93">
        <x:f>'增长质量'!M62</x:f>
        <x:v>113337</x:v>
      </x:c>
      <x:c r="N97" s="93">
        <x:f>'增长质量'!N62</x:f>
        <x:v>128898</x:v>
      </x:c>
    </x:row>
    <x:row r="98">
      <x:c r="B98" t="str">
        <x:v>核对差（元）</x:v>
      </x:c>
      <x:c r="C98" s="94">
        <x:f>ROUND(C96-C97,2)</x:f>
        <x:v>0</x:v>
      </x:c>
      <x:c r="D98" s="94">
        <x:f>ROUND(D96-D97,2)</x:f>
        <x:v>0</x:v>
      </x:c>
      <x:c r="E98" s="94">
        <x:f>ROUND(E96-E97,2)</x:f>
        <x:v>0</x:v>
      </x:c>
      <x:c r="F98" s="94">
        <x:f>ROUND(F96-F97,2)</x:f>
        <x:v>0</x:v>
      </x:c>
      <x:c r="G98" s="94">
        <x:f>ROUND(G96-G97,2)</x:f>
        <x:v>0</x:v>
      </x:c>
      <x:c r="H98" s="94">
        <x:f>ROUND(H96-H97,2)</x:f>
        <x:v>0</x:v>
      </x:c>
      <x:c r="I98" s="94">
        <x:f>ROUND(I96-I97,2)</x:f>
        <x:v>0</x:v>
      </x:c>
      <x:c r="J98" s="94">
        <x:f>ROUND(J96-J97,2)</x:f>
        <x:v>0</x:v>
      </x:c>
      <x:c r="K98" s="94">
        <x:f>ROUND(K96-K97,2)</x:f>
        <x:v>0</x:v>
      </x:c>
      <x:c r="L98" s="94">
        <x:f>ROUND(L96-L97,2)</x:f>
        <x:v>0</x:v>
      </x:c>
      <x:c r="M98" s="94">
        <x:f>ROUND(M96-M97,2)</x:f>
        <x:v>0</x:v>
      </x:c>
      <x:c r="N98" s="94">
        <x:f>ROUND(N96-N97,2)</x:f>
        <x:v>0</x:v>
      </x:c>
    </x:row>
    <x:row r="101">
      <x:c r="B101" s="92" t="str">
        <x:v>E:F 列金额为元，G:H 列金额为万元。浅黄色为可调整的日度分配权重。</x:v>
      </x:c>
    </x:row>
    <x:row r="102">
      <x:c r="B102" s="82" t="str">
        <x:v>日度新增 MRR（模拟拆分）</x:v>
      </x:c>
    </x:row>
    <x:row r="103" ht="32" customHeight="1">
      <x:c r="B103" s="73" t="str">
        <x:v>日期</x:v>
      </x:c>
      <x:c r="C103" s="73" t="str">
        <x:v>月份</x:v>
      </x:c>
      <x:c r="D103" s="73" t="str">
        <x:v>分配权重</x:v>
      </x:c>
      <x:c r="E103" s="73" t="str">
        <x:v>当月新增 MRR</x:v>
      </x:c>
      <x:c r="F103" s="73" t="str">
        <x:v>日度新增 MRR</x:v>
      </x:c>
      <x:c r="G103" s="73" t="str">
        <x:v>每日新增 MRR</x:v>
      </x:c>
      <x:c r="H103" s="73" t="str">
        <x:v>7 日移动均值</x:v>
      </x:c>
      <x:c r="I103" s="73" t="str">
        <x:v>图表日期</x:v>
      </x:c>
    </x:row>
    <x:row r="104" ht="22" customHeight="1">
      <x:c r="B104" s="85" t="n">
        <x:v>45658</x:v>
      </x:c>
      <x:c r="C104" s="84" t="n">
        <x:v>1</x:v>
      </x:c>
      <x:c r="D104" s="88" t="n">
        <x:v>1.09578</x:v>
      </x:c>
      <x:c r="E104" s="89">
        <x:f>INDEX('增长质量'!$C$62:$N$62,1,C104)</x:f>
        <x:v>48960</x:v>
      </x:c>
      <x:c r="F104" s="89">
        <x:f>E104*D104/SUMIFS($D$104:$D$468,$C$104:$C$468,C104)</x:f>
        <x:v>1224.06317031912</x:v>
      </x:c>
      <x:c r="G104" s="90">
        <x:f>F104/10000</x:f>
        <x:v>0.122406317031912</x:v>
      </x:c>
      <x:c r="H104" s="90">
        <x:f>G104</x:f>
        <x:v>0.122406317031912</x:v>
      </x:c>
      <x:c r="I104" s="91" t="str">
        <x:f>TEXT(B104,"m/d")</x:f>
        <x:v>1/1</x:v>
      </x:c>
    </x:row>
    <x:row r="105" ht="22" customHeight="1">
      <x:c r="B105" s="85" t="n">
        <x:v>45659</x:v>
      </x:c>
      <x:c r="C105" s="84" t="n">
        <x:v>1</x:v>
      </x:c>
      <x:c r="D105" s="88" t="n">
        <x:v>0.761689</x:v>
      </x:c>
      <x:c r="E105" s="89">
        <x:f>INDEX('增长质量'!$C$62:$N$62,1,C105)</x:f>
        <x:v>48960</x:v>
      </x:c>
      <x:c r="F105" s="89">
        <x:f>E105*D105/SUMIFS($D$104:$D$468,$C$104:$C$468,C105)</x:f>
        <x:v>850.860074227671</x:v>
      </x:c>
      <x:c r="G105" s="90">
        <x:f>F105/10000</x:f>
        <x:v>0.0850860074227671</x:v>
      </x:c>
      <x:c r="H105" s="90">
        <x:f>AVERAGE(G104:G105)</x:f>
        <x:v>0.103746162227339</x:v>
      </x:c>
      <x:c r="I105" s="91" t="str">
        <x:f>TEXT(B105,"m/d")</x:f>
        <x:v>1/2</x:v>
      </x:c>
    </x:row>
    <x:row r="106" ht="22" customHeight="1">
      <x:c r="B106" s="85" t="n">
        <x:v>45660</x:v>
      </x:c>
      <x:c r="C106" s="84" t="n">
        <x:v>1</x:v>
      </x:c>
      <x:c r="D106" s="88" t="n">
        <x:v>0.547074</x:v>
      </x:c>
      <x:c r="E106" s="89">
        <x:f>INDEX('增长质量'!$C$62:$N$62,1,C106)</x:f>
        <x:v>48960</x:v>
      </x:c>
      <x:c r="F106" s="89">
        <x:f>E106*D106/SUMIFS($D$104:$D$468,$C$104:$C$468,C106)</x:f>
        <x:v>611.120055886364</x:v>
      </x:c>
      <x:c r="G106" s="90">
        <x:f>F106/10000</x:f>
        <x:v>0.0611120055886364</x:v>
      </x:c>
      <x:c r="H106" s="90">
        <x:f>AVERAGE(G104:G106)</x:f>
        <x:v>0.0895347766811051</x:v>
      </x:c>
      <x:c r="I106" s="91" t="str">
        <x:f>TEXT(B106,"m/d")</x:f>
        <x:v>1/3</x:v>
      </x:c>
    </x:row>
    <x:row r="107" ht="22" customHeight="1">
      <x:c r="B107" s="85" t="n">
        <x:v>45661</x:v>
      </x:c>
      <x:c r="C107" s="84" t="n">
        <x:v>1</x:v>
      </x:c>
      <x:c r="D107" s="88" t="n">
        <x:v>0.534111</x:v>
      </x:c>
      <x:c r="E107" s="89">
        <x:f>INDEX('增长质量'!$C$62:$N$62,1,C107)</x:f>
        <x:v>48960</x:v>
      </x:c>
      <x:c r="F107" s="89">
        <x:f>E107*D107/SUMIFS($D$104:$D$468,$C$104:$C$468,C107)</x:f>
        <x:v>596.639475042722</x:v>
      </x:c>
      <x:c r="G107" s="90">
        <x:f>F107/10000</x:f>
        <x:v>0.0596639475042722</x:v>
      </x:c>
      <x:c r="H107" s="90">
        <x:f>AVERAGE(G104:G107)</x:f>
        <x:v>0.0820670693868968</x:v>
      </x:c>
      <x:c r="I107" s="91" t="str">
        <x:f>TEXT(B107,"m/d")</x:f>
        <x:v>1/4</x:v>
      </x:c>
    </x:row>
    <x:row r="108" ht="22" customHeight="1">
      <x:c r="B108" s="85" t="n">
        <x:v>45662</x:v>
      </x:c>
      <x:c r="C108" s="84" t="n">
        <x:v>1</x:v>
      </x:c>
      <x:c r="D108" s="88" t="n">
        <x:v>0.169433</x:v>
      </x:c>
      <x:c r="E108" s="89">
        <x:f>INDEX('增长质量'!$C$62:$N$62,1,C108)</x:f>
        <x:v>48960</x:v>
      </x:c>
      <x:c r="F108" s="89">
        <x:f>E108*D108/SUMIFS($D$104:$D$468,$C$104:$C$468,C108)</x:f>
        <x:v>189.268553118946</x:v>
      </x:c>
      <x:c r="G108" s="90">
        <x:f>F108/10000</x:f>
        <x:v>0.0189268553118946</x:v>
      </x:c>
      <x:c r="H108" s="90">
        <x:f>AVERAGE(G104:G108)</x:f>
        <x:v>0.0694390265718964</x:v>
      </x:c>
      <x:c r="I108" s="91" t="str">
        <x:f>TEXT(B108,"m/d")</x:f>
        <x:v>1/5</x:v>
      </x:c>
    </x:row>
    <x:row r="109" ht="22" customHeight="1">
      <x:c r="B109" s="85" t="n">
        <x:v>45663</x:v>
      </x:c>
      <x:c r="C109" s="84" t="n">
        <x:v>1</x:v>
      </x:c>
      <x:c r="D109" s="88" t="n">
        <x:v>1.778979</x:v>
      </x:c>
      <x:c r="E109" s="89">
        <x:f>INDEX('增长质量'!$C$62:$N$62,1,C109)</x:f>
        <x:v>48960</x:v>
      </x:c>
      <x:c r="F109" s="89">
        <x:f>E109*D109/SUMIFS($D$104:$D$468,$C$104:$C$468,C109)</x:f>
        <x:v>1987.24440551126</x:v>
      </x:c>
      <x:c r="G109" s="90">
        <x:f>F109/10000</x:f>
        <x:v>0.198724440551126</x:v>
      </x:c>
      <x:c r="H109" s="90">
        <x:f>AVERAGE(G104:G109)</x:f>
        <x:v>0.0909865955684347</x:v>
      </x:c>
      <x:c r="I109" s="91" t="str">
        <x:f>TEXT(B109,"m/d")</x:f>
        <x:v>1/6</x:v>
      </x:c>
    </x:row>
    <x:row r="110" ht="22" customHeight="1">
      <x:c r="B110" s="85" t="n">
        <x:v>45664</x:v>
      </x:c>
      <x:c r="C110" s="84" t="n">
        <x:v>1</x:v>
      </x:c>
      <x:c r="D110" s="88" t="n">
        <x:v>2.208323</x:v>
      </x:c>
      <x:c r="E110" s="89">
        <x:f>INDEX('增长质量'!$C$62:$N$62,1,C110)</x:f>
        <x:v>48960</x:v>
      </x:c>
      <x:c r="F110" s="89">
        <x:f>E110*D110/SUMIFS($D$104:$D$468,$C$104:$C$468,C110)</x:f>
        <x:v>2466.85178819528</x:v>
      </x:c>
      <x:c r="G110" s="90">
        <x:f>F110/10000</x:f>
        <x:v>0.246685178819528</x:v>
      </x:c>
      <x:c r="H110" s="90">
        <x:f>AVERAGE(G104:G110)</x:f>
        <x:v>0.113229250318591</x:v>
      </x:c>
      <x:c r="I110" s="91" t="str">
        <x:f>TEXT(B110,"m/d")</x:f>
        <x:v>1/7</x:v>
      </x:c>
    </x:row>
    <x:row r="111" ht="22" customHeight="1">
      <x:c r="B111" s="85" t="n">
        <x:v>45665</x:v>
      </x:c>
      <x:c r="C111" s="84" t="n">
        <x:v>1</x:v>
      </x:c>
      <x:c r="D111" s="88" t="n">
        <x:v>1.401321</x:v>
      </x:c>
      <x:c r="E111" s="89">
        <x:f>INDEX('增长质量'!$C$62:$N$62,1,C111)</x:f>
        <x:v>48960</x:v>
      </x:c>
      <x:c r="F111" s="89">
        <x:f>E111*D111/SUMIFS($D$104:$D$468,$C$104:$C$468,C111)</x:f>
        <x:v>1565.37391255065</x:v>
      </x:c>
      <x:c r="G111" s="90">
        <x:f>F111/10000</x:f>
        <x:v>0.156537391255065</x:v>
      </x:c>
      <x:c r="H111" s="90">
        <x:f>AVERAGE(G105:G111)</x:f>
        <x:v>0.118105118064756</x:v>
      </x:c>
      <x:c r="I111" s="91" t="str">
        <x:f>TEXT(B111,"m/d")</x:f>
        <x:v>1/8</x:v>
      </x:c>
    </x:row>
    <x:row r="112" ht="22" customHeight="1">
      <x:c r="B112" s="85" t="n">
        <x:v>45666</x:v>
      </x:c>
      <x:c r="C112" s="84" t="n">
        <x:v>1</x:v>
      </x:c>
      <x:c r="D112" s="88" t="n">
        <x:v>1.270374</x:v>
      </x:c>
      <x:c r="E112" s="89">
        <x:f>INDEX('增长质量'!$C$62:$N$62,1,C112)</x:f>
        <x:v>48960</x:v>
      </x:c>
      <x:c r="F112" s="89">
        <x:f>E112*D112/SUMIFS($D$104:$D$468,$C$104:$C$468,C112)</x:f>
        <x:v>1419.09692267698</x:v>
      </x:c>
      <x:c r="G112" s="90">
        <x:f>F112/10000</x:f>
        <x:v>0.141909692267698</x:v>
      </x:c>
      <x:c r="H112" s="90">
        <x:f>AVERAGE(G106:G112)</x:f>
        <x:v>0.126222787328317</x:v>
      </x:c>
      <x:c r="I112" s="91" t="str">
        <x:f>TEXT(B112,"m/d")</x:f>
        <x:v>1/9</x:v>
      </x:c>
    </x:row>
    <x:row r="113" ht="22" customHeight="1">
      <x:c r="B113" s="85" t="n">
        <x:v>45667</x:v>
      </x:c>
      <x:c r="C113" s="84" t="n">
        <x:v>1</x:v>
      </x:c>
      <x:c r="D113" s="88" t="n">
        <x:v>1.947115</x:v>
      </x:c>
      <x:c r="E113" s="89">
        <x:f>INDEX('增长质量'!$C$62:$N$62,1,C113)</x:f>
        <x:v>48960</x:v>
      </x:c>
      <x:c r="F113" s="89">
        <x:f>E113*D113/SUMIFS($D$104:$D$468,$C$104:$C$468,C113)</x:f>
        <x:v>2175.06411859671</x:v>
      </x:c>
      <x:c r="G113" s="90">
        <x:f>F113/10000</x:f>
        <x:v>0.217506411859671</x:v>
      </x:c>
      <x:c r="H113" s="90">
        <x:f>AVERAGE(G107:G113)</x:f>
        <x:v>0.148564845367036</x:v>
      </x:c>
      <x:c r="I113" s="91" t="str">
        <x:f>TEXT(B113,"m/d")</x:f>
        <x:v>1/10</x:v>
      </x:c>
    </x:row>
    <x:row r="114" ht="22" customHeight="1">
      <x:c r="B114" s="85" t="n">
        <x:v>45668</x:v>
      </x:c>
      <x:c r="C114" s="84" t="n">
        <x:v>1</x:v>
      </x:c>
      <x:c r="D114" s="88" t="n">
        <x:v>0.386447</x:v>
      </x:c>
      <x:c r="E114" s="89">
        <x:f>INDEX('增长质量'!$C$62:$N$62,1,C114)</x:f>
        <x:v>48960</x:v>
      </x:c>
      <x:c r="F114" s="89">
        <x:f>E114*D114/SUMIFS($D$104:$D$468,$C$104:$C$468,C114)</x:f>
        <x:v>431.688422840636</x:v>
      </x:c>
      <x:c r="G114" s="90">
        <x:f>F114/10000</x:f>
        <x:v>0.0431688422840636</x:v>
      </x:c>
      <x:c r="H114" s="90">
        <x:f>AVERAGE(G108:G114)</x:f>
        <x:v>0.14620840176415</x:v>
      </x:c>
      <x:c r="I114" s="91" t="str">
        <x:f>TEXT(B114,"m/d")</x:f>
        <x:v>1/11</x:v>
      </x:c>
    </x:row>
    <x:row r="115" ht="22" customHeight="1">
      <x:c r="B115" s="85" t="n">
        <x:v>45669</x:v>
      </x:c>
      <x:c r="C115" s="84" t="n">
        <x:v>1</x:v>
      </x:c>
      <x:c r="D115" s="88" t="n">
        <x:v>0.091153</x:v>
      </x:c>
      <x:c r="E115" s="89">
        <x:f>INDEX('增长质量'!$C$62:$N$62,1,C115)</x:f>
        <x:v>48960</x:v>
      </x:c>
      <x:c r="F115" s="89">
        <x:f>E115*D115/SUMIFS($D$104:$D$468,$C$104:$C$468,C115)</x:f>
        <x:v>101.824298822846</x:v>
      </x:c>
      <x:c r="G115" s="90">
        <x:f>F115/10000</x:f>
        <x:v>0.0101824298822846</x:v>
      </x:c>
      <x:c r="H115" s="90">
        <x:f>AVERAGE(G109:G115)</x:f>
        <x:v>0.144959198131348</x:v>
      </x:c>
      <x:c r="I115" s="91" t="str">
        <x:f>TEXT(B115,"m/d")</x:f>
        <x:v>1/12</x:v>
      </x:c>
    </x:row>
    <x:row r="116" ht="22" customHeight="1">
      <x:c r="B116" s="85" t="n">
        <x:v>45670</x:v>
      </x:c>
      <x:c r="C116" s="84" t="n">
        <x:v>1</x:v>
      </x:c>
      <x:c r="D116" s="88" t="n">
        <x:v>1.365932</x:v>
      </x:c>
      <x:c r="E116" s="89">
        <x:f>INDEX('增长质量'!$C$62:$N$62,1,C116)</x:f>
        <x:v>48960</x:v>
      </x:c>
      <x:c r="F116" s="89">
        <x:f>E116*D116/SUMIFS($D$104:$D$468,$C$104:$C$468,C116)</x:f>
        <x:v>1525.84191567681</x:v>
      </x:c>
      <x:c r="G116" s="90">
        <x:f>F116/10000</x:f>
        <x:v>0.152584191567681</x:v>
      </x:c>
      <x:c r="H116" s="90">
        <x:f>AVERAGE(G110:G116)</x:f>
        <x:v>0.138367733990856</x:v>
      </x:c>
      <x:c r="I116" s="91" t="str">
        <x:f>TEXT(B116,"m/d")</x:f>
        <x:v>1/13</x:v>
      </x:c>
    </x:row>
    <x:row r="117" ht="22" customHeight="1">
      <x:c r="B117" s="85" t="n">
        <x:v>45671</x:v>
      </x:c>
      <x:c r="C117" s="84" t="n">
        <x:v>1</x:v>
      </x:c>
      <x:c r="D117" s="88" t="n">
        <x:v>2.066884</x:v>
      </x:c>
      <x:c r="E117" s="89">
        <x:f>INDEX('增长质量'!$C$62:$N$62,1,C117)</x:f>
        <x:v>48960</x:v>
      </x:c>
      <x:c r="F117" s="89">
        <x:f>E117*D117/SUMIFS($D$104:$D$468,$C$104:$C$468,C117)</x:f>
        <x:v>2308.85449791186</x:v>
      </x:c>
      <x:c r="G117" s="90">
        <x:f>F117/10000</x:f>
        <x:v>0.230885449791186</x:v>
      </x:c>
      <x:c r="H117" s="90">
        <x:f>AVERAGE(G111:G117)</x:f>
        <x:v>0.13611062984395</x:v>
      </x:c>
      <x:c r="I117" s="91" t="str">
        <x:f>TEXT(B117,"m/d")</x:f>
        <x:v>1/14</x:v>
      </x:c>
    </x:row>
    <x:row r="118" ht="22" customHeight="1">
      <x:c r="B118" s="85" t="n">
        <x:v>45672</x:v>
      </x:c>
      <x:c r="C118" s="84" t="n">
        <x:v>1</x:v>
      </x:c>
      <x:c r="D118" s="88" t="n">
        <x:v>0.717463</x:v>
      </x:c>
      <x:c r="E118" s="89">
        <x:f>INDEX('增长质量'!$C$62:$N$62,1,C118)</x:f>
        <x:v>48960</x:v>
      </x:c>
      <x:c r="F118" s="89">
        <x:f>E118*D118/SUMIFS($D$104:$D$468,$C$104:$C$468,C118)</x:f>
        <x:v>801.456528104788</x:v>
      </x:c>
      <x:c r="G118" s="90">
        <x:f>F118/10000</x:f>
        <x:v>0.0801456528104788</x:v>
      </x:c>
      <x:c r="H118" s="90">
        <x:f>AVERAGE(G112:G118)</x:f>
        <x:v>0.125197524351866</x:v>
      </x:c>
      <x:c r="I118" s="91" t="str">
        <x:f>TEXT(B118,"m/d")</x:f>
        <x:v>1/15</x:v>
      </x:c>
    </x:row>
    <x:row r="119" ht="22" customHeight="1">
      <x:c r="B119" s="85" t="n">
        <x:v>45673</x:v>
      </x:c>
      <x:c r="C119" s="84" t="n">
        <x:v>1</x:v>
      </x:c>
      <x:c r="D119" s="88" t="n">
        <x:v>1.311431</x:v>
      </x:c>
      <x:c r="E119" s="89">
        <x:f>INDEX('增长质量'!$C$62:$N$62,1,C119)</x:f>
        <x:v>48960</x:v>
      </x:c>
      <x:c r="F119" s="89">
        <x:f>E119*D119/SUMIFS($D$104:$D$468,$C$104:$C$468,C119)</x:f>
        <x:v>1464.96047337492</x:v>
      </x:c>
      <x:c r="G119" s="90">
        <x:f>F119/10000</x:f>
        <x:v>0.146496047337492</x:v>
      </x:c>
      <x:c r="H119" s="90">
        <x:f>AVERAGE(G113:G119)</x:f>
        <x:v>0.125852717933265</x:v>
      </x:c>
      <x:c r="I119" s="91" t="str">
        <x:f>TEXT(B119,"m/d")</x:f>
        <x:v>1/16</x:v>
      </x:c>
    </x:row>
    <x:row r="120" ht="22" customHeight="1">
      <x:c r="B120" s="85" t="n">
        <x:v>45674</x:v>
      </x:c>
      <x:c r="C120" s="84" t="n">
        <x:v>1</x:v>
      </x:c>
      <x:c r="D120" s="88" t="n">
        <x:v>0.419389</x:v>
      </x:c>
      <x:c r="E120" s="89">
        <x:f>INDEX('增长质量'!$C$62:$N$62,1,C120)</x:f>
        <x:v>48960</x:v>
      </x:c>
      <x:c r="F120" s="89">
        <x:f>E120*D120/SUMIFS($D$104:$D$468,$C$104:$C$468,C120)</x:f>
        <x:v>468.486948965088</x:v>
      </x:c>
      <x:c r="G120" s="90">
        <x:f>F120/10000</x:f>
        <x:v>0.0468486948965088</x:v>
      </x:c>
      <x:c r="H120" s="90">
        <x:f>AVERAGE(G114:G120)</x:f>
        <x:v>0.101473044081385</x:v>
      </x:c>
      <x:c r="I120" s="91" t="str">
        <x:f>TEXT(B120,"m/d")</x:f>
        <x:v>1/17</x:v>
      </x:c>
    </x:row>
    <x:row r="121" ht="22" customHeight="1">
      <x:c r="B121" s="85" t="n">
        <x:v>45675</x:v>
      </x:c>
      <x:c r="C121" s="84" t="n">
        <x:v>1</x:v>
      </x:c>
      <x:c r="D121" s="88" t="n">
        <x:v>0.359138</x:v>
      </x:c>
      <x:c r="E121" s="89">
        <x:f>INDEX('增长质量'!$C$62:$N$62,1,C121)</x:f>
        <x:v>48960</x:v>
      </x:c>
      <x:c r="F121" s="89">
        <x:f>E121*D121/SUMIFS($D$104:$D$468,$C$104:$C$468,C121)</x:f>
        <x:v>401.182353083709</x:v>
      </x:c>
      <x:c r="G121" s="90">
        <x:f>F121/10000</x:f>
        <x:v>0.0401182353083709</x:v>
      </x:c>
      <x:c r="H121" s="90">
        <x:f>AVERAGE(G115:G121)</x:f>
        <x:v>0.101037243084857</x:v>
      </x:c>
      <x:c r="I121" s="91" t="str">
        <x:f>TEXT(B121,"m/d")</x:f>
        <x:v>1/18</x:v>
      </x:c>
    </x:row>
    <x:row r="122" ht="22" customHeight="1">
      <x:c r="B122" s="85" t="n">
        <x:v>45676</x:v>
      </x:c>
      <x:c r="C122" s="84" t="n">
        <x:v>1</x:v>
      </x:c>
      <x:c r="D122" s="88" t="n">
        <x:v>0.332214</x:v>
      </x:c>
      <x:c r="E122" s="89">
        <x:f>INDEX('增长质量'!$C$62:$N$62,1,C122)</x:f>
        <x:v>48960</x:v>
      </x:c>
      <x:c r="F122" s="89">
        <x:f>E122*D122/SUMIFS($D$104:$D$468,$C$104:$C$468,C122)</x:f>
        <x:v>371.106355349062</x:v>
      </x:c>
      <x:c r="G122" s="90">
        <x:f>F122/10000</x:f>
        <x:v>0.0371106355349062</x:v>
      </x:c>
      <x:c r="H122" s="90">
        <x:f>AVERAGE(G116:G122)</x:f>
        <x:v>0.10488412960666</x:v>
      </x:c>
      <x:c r="I122" s="91" t="str">
        <x:f>TEXT(B122,"m/d")</x:f>
        <x:v>1/19</x:v>
      </x:c>
    </x:row>
    <x:row r="123" ht="22" customHeight="1">
      <x:c r="B123" s="85" t="n">
        <x:v>45677</x:v>
      </x:c>
      <x:c r="C123" s="84" t="n">
        <x:v>1</x:v>
      </x:c>
      <x:c r="D123" s="88" t="n">
        <x:v>0.763687</x:v>
      </x:c>
      <x:c r="E123" s="89">
        <x:f>INDEX('增长质量'!$C$62:$N$62,1,C123)</x:f>
        <x:v>48960</x:v>
      </x:c>
      <x:c r="F123" s="89">
        <x:f>E123*D123/SUMIFS($D$104:$D$468,$C$104:$C$468,C123)</x:f>
        <x:v>853.091980462771</x:v>
      </x:c>
      <x:c r="G123" s="90">
        <x:f>F123/10000</x:f>
        <x:v>0.0853091980462771</x:v>
      </x:c>
      <x:c r="H123" s="90">
        <x:f>AVERAGE(G117:G123)</x:f>
        <x:v>0.0952734162464599</x:v>
      </x:c>
      <x:c r="I123" s="91" t="str">
        <x:f>TEXT(B123,"m/d")</x:f>
        <x:v>1/20</x:v>
      </x:c>
    </x:row>
    <x:row r="124" ht="22" customHeight="1">
      <x:c r="B124" s="85" t="n">
        <x:v>45678</x:v>
      </x:c>
      <x:c r="C124" s="84" t="n">
        <x:v>1</x:v>
      </x:c>
      <x:c r="D124" s="88" t="n">
        <x:v>1.465671</x:v>
      </x:c>
      <x:c r="E124" s="89">
        <x:f>INDEX('增长质量'!$C$62:$N$62,1,C124)</x:f>
        <x:v>48960</x:v>
      </x:c>
      <x:c r="F124" s="89">
        <x:f>E124*D124/SUMIFS($D$104:$D$468,$C$104:$C$468,C124)</x:f>
        <x:v>1637.25737913157</x:v>
      </x:c>
      <x:c r="G124" s="90">
        <x:f>F124/10000</x:f>
        <x:v>0.163725737913157</x:v>
      </x:c>
      <x:c r="H124" s="90">
        <x:f>AVERAGE(G118:G124)</x:f>
        <x:v>0.0856791716924558</x:v>
      </x:c>
      <x:c r="I124" s="91" t="str">
        <x:f>TEXT(B124,"m/d")</x:f>
        <x:v>1/21</x:v>
      </x:c>
    </x:row>
    <x:row r="125" ht="22" customHeight="1">
      <x:c r="B125" s="85" t="n">
        <x:v>45679</x:v>
      </x:c>
      <x:c r="C125" s="84" t="n">
        <x:v>1</x:v>
      </x:c>
      <x:c r="D125" s="88" t="n">
        <x:v>0.659495</x:v>
      </x:c>
      <x:c r="E125" s="89">
        <x:f>INDEX('增长质量'!$C$62:$N$62,1,C125)</x:f>
        <x:v>48960</x:v>
      </x:c>
      <x:c r="F125" s="89">
        <x:f>E125*D125/SUMIFS($D$104:$D$468,$C$104:$C$468,C125)</x:f>
        <x:v>736.702203462014</x:v>
      </x:c>
      <x:c r="G125" s="90">
        <x:f>F125/10000</x:f>
        <x:v>0.0736702203462014</x:v>
      </x:c>
      <x:c r="H125" s="90">
        <x:f>AVERAGE(G119:G125)</x:f>
        <x:v>0.0847541099118447</x:v>
      </x:c>
      <x:c r="I125" s="91" t="str">
        <x:f>TEXT(B125,"m/d")</x:f>
        <x:v>1/22</x:v>
      </x:c>
    </x:row>
    <x:row r="126" ht="22" customHeight="1">
      <x:c r="B126" s="85" t="n">
        <x:v>45680</x:v>
      </x:c>
      <x:c r="C126" s="84" t="n">
        <x:v>1</x:v>
      </x:c>
      <x:c r="D126" s="88" t="n">
        <x:v>2.511688</x:v>
      </x:c>
      <x:c r="E126" s="89">
        <x:f>INDEX('增长质量'!$C$62:$N$62,1,C126)</x:f>
        <x:v>48960</x:v>
      </x:c>
      <x:c r="F126" s="89">
        <x:f>E126*D126/SUMIFS($D$104:$D$468,$C$104:$C$468,C126)</x:f>
        <x:v>2805.7317856983</x:v>
      </x:c>
      <x:c r="G126" s="90">
        <x:f>F126/10000</x:f>
        <x:v>0.28057317856983</x:v>
      </x:c>
      <x:c r="H126" s="90">
        <x:f>AVERAGE(G120:G126)</x:f>
        <x:v>0.103907985802179</x:v>
      </x:c>
      <x:c r="I126" s="91" t="str">
        <x:f>TEXT(B126,"m/d")</x:f>
        <x:v>1/23</x:v>
      </x:c>
    </x:row>
    <x:row r="127" ht="22" customHeight="1">
      <x:c r="B127" s="85" t="n">
        <x:v>45681</x:v>
      </x:c>
      <x:c r="C127" s="84" t="n">
        <x:v>1</x:v>
      </x:c>
      <x:c r="D127" s="88" t="n">
        <x:v>0.83441</x:v>
      </x:c>
      <x:c r="E127" s="89">
        <x:f>INDEX('增长质量'!$C$62:$N$62,1,C127)</x:f>
        <x:v>48960</x:v>
      </x:c>
      <x:c r="F127" s="89">
        <x:f>E127*D127/SUMIFS($D$104:$D$468,$C$104:$C$468,C127)</x:f>
        <x:v>932.094535350138</x:v>
      </x:c>
      <x:c r="G127" s="90">
        <x:f>F127/10000</x:f>
        <x:v>0.0932094535350138</x:v>
      </x:c>
      <x:c r="H127" s="90">
        <x:f>AVERAGE(G121:G127)</x:f>
        <x:v>0.110530951321965</x:v>
      </x:c>
      <x:c r="I127" s="91" t="str">
        <x:f>TEXT(B127,"m/d")</x:f>
        <x:v>1/24</x:v>
      </x:c>
    </x:row>
    <x:row r="128" ht="22" customHeight="1">
      <x:c r="B128" s="85" t="n">
        <x:v>45682</x:v>
      </x:c>
      <x:c r="C128" s="84" t="n">
        <x:v>1</x:v>
      </x:c>
      <x:c r="D128" s="88" t="n">
        <x:v>0.542424</x:v>
      </x:c>
      <x:c r="E128" s="89">
        <x:f>INDEX('增长质量'!$C$62:$N$62,1,C128)</x:f>
        <x:v>48960</x:v>
      </x:c>
      <x:c r="F128" s="89">
        <x:f>E128*D128/SUMIFS($D$104:$D$468,$C$104:$C$468,C128)</x:f>
        <x:v>605.925679513385</x:v>
      </x:c>
      <x:c r="G128" s="90">
        <x:f>F128/10000</x:f>
        <x:v>0.0605925679513384</x:v>
      </x:c>
      <x:c r="H128" s="90">
        <x:f>AVERAGE(G122:G128)</x:f>
        <x:v>0.113455855985246</x:v>
      </x:c>
      <x:c r="I128" s="91" t="str">
        <x:f>TEXT(B128,"m/d")</x:f>
        <x:v>1/25</x:v>
      </x:c>
    </x:row>
    <x:row r="129" ht="22" customHeight="1">
      <x:c r="B129" s="85" t="n">
        <x:v>45683</x:v>
      </x:c>
      <x:c r="C129" s="84" t="n">
        <x:v>1</x:v>
      </x:c>
      <x:c r="D129" s="88" t="n">
        <x:v>0.267834</x:v>
      </x:c>
      <x:c r="E129" s="89">
        <x:f>INDEX('增长质量'!$C$62:$N$62,1,C129)</x:f>
        <x:v>48960</x:v>
      </x:c>
      <x:c r="F129" s="89">
        <x:f>E129*D129/SUMIFS($D$104:$D$468,$C$104:$C$468,C129)</x:f>
        <x:v>299.189376662515</x:v>
      </x:c>
      <x:c r="G129" s="90">
        <x:f>F129/10000</x:f>
        <x:v>0.0299189376662515</x:v>
      </x:c>
      <x:c r="H129" s="90">
        <x:f>AVERAGE(G123:G129)</x:f>
        <x:v>0.112428470575438</x:v>
      </x:c>
      <x:c r="I129" s="91" t="str">
        <x:f>TEXT(B129,"m/d")</x:f>
        <x:v>1/26</x:v>
      </x:c>
    </x:row>
    <x:row r="130" ht="22" customHeight="1">
      <x:c r="B130" s="85" t="n">
        <x:v>45684</x:v>
      </x:c>
      <x:c r="C130" s="84" t="n">
        <x:v>1</x:v>
      </x:c>
      <x:c r="D130" s="88" t="n">
        <x:v>2.191573</x:v>
      </x:c>
      <x:c r="E130" s="89">
        <x:f>INDEX('增长质量'!$C$62:$N$62,1,C130)</x:f>
        <x:v>48960</x:v>
      </x:c>
      <x:c r="F130" s="89">
        <x:f>E130*D130/SUMIFS($D$104:$D$468,$C$104:$C$468,C130)</x:f>
        <x:v>2448.14086255067</x:v>
      </x:c>
      <x:c r="G130" s="90">
        <x:f>F130/10000</x:f>
        <x:v>0.244814086255067</x:v>
      </x:c>
      <x:c r="H130" s="90">
        <x:f>AVERAGE(G124:G130)</x:f>
        <x:v>0.135214883176694</x:v>
      </x:c>
      <x:c r="I130" s="91" t="str">
        <x:f>TEXT(B130,"m/d")</x:f>
        <x:v>1/27</x:v>
      </x:c>
    </x:row>
    <x:row r="131" ht="22" customHeight="1">
      <x:c r="B131" s="85" t="n">
        <x:v>45685</x:v>
      </x:c>
      <x:c r="C131" s="84" t="n">
        <x:v>1</x:v>
      </x:c>
      <x:c r="D131" s="88" t="n">
        <x:v>2.940963</x:v>
      </x:c>
      <x:c r="E131" s="89">
        <x:f>INDEX('增长质量'!$C$62:$N$62,1,C131)</x:f>
        <x:v>48960</x:v>
      </x:c>
      <x:c r="F131" s="89">
        <x:f>E131*D131/SUMIFS($D$104:$D$468,$C$104:$C$468,C131)</x:f>
        <x:v>3285.26209053936</x:v>
      </x:c>
      <x:c r="G131" s="90">
        <x:f>F131/10000</x:f>
        <x:v>0.328526209053936</x:v>
      </x:c>
      <x:c r="H131" s="90">
        <x:f>AVERAGE(G125:G131)</x:f>
        <x:v>0.158757807625377</x:v>
      </x:c>
      <x:c r="I131" s="91" t="str">
        <x:f>TEXT(B131,"m/d")</x:f>
        <x:v>1/28</x:v>
      </x:c>
    </x:row>
    <x:row r="132" ht="22" customHeight="1">
      <x:c r="B132" s="85" t="n">
        <x:v>45686</x:v>
      </x:c>
      <x:c r="C132" s="84" t="n">
        <x:v>1</x:v>
      </x:c>
      <x:c r="D132" s="88" t="n">
        <x:v>1.616518</x:v>
      </x:c>
      <x:c r="E132" s="89">
        <x:f>INDEX('增长质量'!$C$62:$N$62,1,C132)</x:f>
        <x:v>48960</x:v>
      </x:c>
      <x:c r="F132" s="89">
        <x:f>E132*D132/SUMIFS($D$104:$D$468,$C$104:$C$468,C132)</x:f>
        <x:v>1805.76406574122</x:v>
      </x:c>
      <x:c r="G132" s="90">
        <x:f>F132/10000</x:f>
        <x:v>0.180576406574122</x:v>
      </x:c>
      <x:c r="H132" s="90">
        <x:f>AVERAGE(G126:G132)</x:f>
        <x:v>0.174030119943651</x:v>
      </x:c>
      <x:c r="I132" s="91" t="str">
        <x:f>TEXT(B132,"m/d")</x:f>
        <x:v>1/29</x:v>
      </x:c>
    </x:row>
    <x:row r="133" ht="22" customHeight="1">
      <x:c r="B133" s="85" t="n">
        <x:v>45687</x:v>
      </x:c>
      <x:c r="C133" s="84" t="n">
        <x:v>1</x:v>
      </x:c>
      <x:c r="D133" s="88" t="n">
        <x:v>5.087648</x:v>
      </x:c>
      <x:c r="E133" s="89">
        <x:f>INDEX('增长质量'!$C$62:$N$62,1,C133)</x:f>
        <x:v>48960</x:v>
      </x:c>
      <x:c r="F133" s="89">
        <x:f>E133*D133/SUMIFS($D$104:$D$468,$C$104:$C$468,C133)</x:f>
        <x:v>5683.25990650287</x:v>
      </x:c>
      <x:c r="G133" s="90">
        <x:f>F133/10000</x:f>
        <x:v>0.568325990650287</x:v>
      </x:c>
      <x:c r="H133" s="90">
        <x:f>AVERAGE(G127:G133)</x:f>
        <x:v>0.215137664526574</x:v>
      </x:c>
      <x:c r="I133" s="91" t="str">
        <x:f>TEXT(B133,"m/d")</x:f>
        <x:v>1/30</x:v>
      </x:c>
    </x:row>
    <x:row r="134" ht="22" customHeight="1">
      <x:c r="B134" s="85" t="n">
        <x:v>45688</x:v>
      </x:c>
      <x:c r="C134" s="84" t="n">
        <x:v>1</x:v>
      </x:c>
      <x:c r="D134" s="88" t="n">
        <x:v>6.182777</x:v>
      </x:c>
      <x:c r="E134" s="89">
        <x:f>INDEX('增长质量'!$C$62:$N$62,1,C134)</x:f>
        <x:v>48960</x:v>
      </x:c>
      <x:c r="F134" s="89">
        <x:f>E134*D134/SUMIFS($D$104:$D$468,$C$104:$C$468,C134)</x:f>
        <x:v>6906.59586412977</x:v>
      </x:c>
      <x:c r="G134" s="90">
        <x:f>F134/10000</x:f>
        <x:v>0.690659586412977</x:v>
      </x:c>
      <x:c r="H134" s="90">
        <x:f>AVERAGE(G128:G134)</x:f>
        <x:v>0.30048768350914</x:v>
      </x:c>
      <x:c r="I134" s="91" t="str">
        <x:f>TEXT(B134,"m/d")</x:f>
        <x:v>1/31</x:v>
      </x:c>
    </x:row>
    <x:row r="135" ht="22" customHeight="1">
      <x:c r="B135" s="85" t="n">
        <x:v>45689</x:v>
      </x:c>
      <x:c r="C135" s="84" t="n">
        <x:v>2</x:v>
      </x:c>
      <x:c r="D135" s="88" t="n">
        <x:v>0.174956</x:v>
      </x:c>
      <x:c r="E135" s="89">
        <x:f>INDEX('增长质量'!$C$62:$N$62,1,C135)</x:f>
        <x:v>48000</x:v>
      </x:c>
      <x:c r="F135" s="89">
        <x:f>E135*D135/SUMIFS($D$104:$D$468,$C$104:$C$468,C135)</x:f>
        <x:v>234.351747297245</x:v>
      </x:c>
      <x:c r="G135" s="90">
        <x:f>F135/10000</x:f>
        <x:v>0.0234351747297245</x:v>
      </x:c>
      <x:c r="H135" s="90">
        <x:f>AVERAGE(G129:G135)</x:f>
        <x:v>0.295179484477481</x:v>
      </x:c>
      <x:c r="I135" s="91" t="str">
        <x:f>TEXT(B135,"m/d")</x:f>
        <x:v>2/1</x:v>
      </x:c>
    </x:row>
    <x:row r="136" ht="22" customHeight="1">
      <x:c r="B136" s="85" t="n">
        <x:v>45690</x:v>
      </x:c>
      <x:c r="C136" s="84" t="n">
        <x:v>2</x:v>
      </x:c>
      <x:c r="D136" s="88" t="n">
        <x:v>0.243776</x:v>
      </x:c>
      <x:c r="E136" s="89">
        <x:f>INDEX('增长质量'!$C$62:$N$62,1,C136)</x:f>
        <x:v>48000</x:v>
      </x:c>
      <x:c r="F136" s="89">
        <x:f>E136*D136/SUMIFS($D$104:$D$468,$C$104:$C$468,C136)</x:f>
        <x:v>326.535423472948</x:v>
      </x:c>
      <x:c r="G136" s="90">
        <x:f>F136/10000</x:f>
        <x:v>0.0326535423472948</x:v>
      </x:c>
      <x:c r="H136" s="90">
        <x:f>AVERAGE(G130:G136)</x:f>
        <x:v>0.295570142289058</x:v>
      </x:c>
      <x:c r="I136" s="91" t="str">
        <x:f>TEXT(B136,"m/d")</x:f>
        <x:v>2/2</x:v>
      </x:c>
    </x:row>
    <x:row r="137" ht="22" customHeight="1">
      <x:c r="B137" s="85" t="n">
        <x:v>45691</x:v>
      </x:c>
      <x:c r="C137" s="84" t="n">
        <x:v>2</x:v>
      </x:c>
      <x:c r="D137" s="88" t="n">
        <x:v>1.986275</x:v>
      </x:c>
      <x:c r="E137" s="89">
        <x:f>INDEX('增长质量'!$C$62:$N$62,1,C137)</x:f>
        <x:v>48000</x:v>
      </x:c>
      <x:c r="F137" s="89">
        <x:f>E137*D137/SUMIFS($D$104:$D$468,$C$104:$C$468,C137)</x:f>
        <x:v>2660.59476018447</x:v>
      </x:c>
      <x:c r="G137" s="90">
        <x:f>F137/10000</x:f>
        <x:v>0.266059476018447</x:v>
      </x:c>
      <x:c r="H137" s="90">
        <x:f>AVERAGE(G131:G137)</x:f>
        <x:v>0.298605197969541</x:v>
      </x:c>
      <x:c r="I137" s="91" t="str">
        <x:f>TEXT(B137,"m/d")</x:f>
        <x:v>2/3</x:v>
      </x:c>
    </x:row>
    <x:row r="138" ht="22" customHeight="1">
      <x:c r="B138" s="85" t="n">
        <x:v>45692</x:v>
      </x:c>
      <x:c r="C138" s="84" t="n">
        <x:v>2</x:v>
      </x:c>
      <x:c r="D138" s="88" t="n">
        <x:v>0.564795</x:v>
      </x:c>
      <x:c r="E138" s="89">
        <x:f>INDEX('增长质量'!$C$62:$N$62,1,C138)</x:f>
        <x:v>48000</x:v>
      </x:c>
      <x:c r="F138" s="89">
        <x:f>E138*D138/SUMIFS($D$104:$D$468,$C$104:$C$468,C138)</x:f>
        <x:v>756.537044255398</x:v>
      </x:c>
      <x:c r="G138" s="90">
        <x:f>F138/10000</x:f>
        <x:v>0.0756537044255398</x:v>
      </x:c>
      <x:c r="H138" s="90">
        <x:f>AVERAGE(G132:G138)</x:f>
        <x:v>0.262480554451199</x:v>
      </x:c>
      <x:c r="I138" s="91" t="str">
        <x:f>TEXT(B138,"m/d")</x:f>
        <x:v>2/4</x:v>
      </x:c>
    </x:row>
    <x:row r="139" ht="22" customHeight="1">
      <x:c r="B139" s="85" t="n">
        <x:v>45693</x:v>
      </x:c>
      <x:c r="C139" s="84" t="n">
        <x:v>2</x:v>
      </x:c>
      <x:c r="D139" s="88" t="n">
        <x:v>0.969408</x:v>
      </x:c>
      <x:c r="E139" s="89">
        <x:f>INDEX('增长质量'!$C$62:$N$62,1,C139)</x:f>
        <x:v>48000</x:v>
      </x:c>
      <x:c r="F139" s="89">
        <x:f>E139*D139/SUMIFS($D$104:$D$468,$C$104:$C$468,C139)</x:f>
        <x:v>1298.51196097263</x:v>
      </x:c>
      <x:c r="G139" s="90">
        <x:f>F139/10000</x:f>
        <x:v>0.129851196097263</x:v>
      </x:c>
      <x:c r="H139" s="90">
        <x:f>AVERAGE(G133:G139)</x:f>
        <x:v>0.255234095811648</x:v>
      </x:c>
      <x:c r="I139" s="91" t="str">
        <x:f>TEXT(B139,"m/d")</x:f>
        <x:v>2/5</x:v>
      </x:c>
    </x:row>
    <x:row r="140" ht="22" customHeight="1">
      <x:c r="B140" s="85" t="n">
        <x:v>45694</x:v>
      </x:c>
      <x:c r="C140" s="84" t="n">
        <x:v>2</x:v>
      </x:c>
      <x:c r="D140" s="88" t="n">
        <x:v>0.985136</x:v>
      </x:c>
      <x:c r="E140" s="89">
        <x:f>INDEX('增长质量'!$C$62:$N$62,1,C140)</x:f>
        <x:v>48000</x:v>
      </x:c>
      <x:c r="F140" s="89">
        <x:f>E140*D140/SUMIFS($D$104:$D$468,$C$104:$C$468,C140)</x:f>
        <x:v>1319.5794538365</x:v>
      </x:c>
      <x:c r="G140" s="90">
        <x:f>F140/10000</x:f>
        <x:v>0.13195794538365</x:v>
      </x:c>
      <x:c r="H140" s="90">
        <x:f>AVERAGE(G134:G140)</x:f>
        <x:v>0.192895803630699</x:v>
      </x:c>
      <x:c r="I140" s="91" t="str">
        <x:f>TEXT(B140,"m/d")</x:f>
        <x:v>2/6</x:v>
      </x:c>
    </x:row>
    <x:row r="141" ht="22" customHeight="1">
      <x:c r="B141" s="85" t="n">
        <x:v>45695</x:v>
      </x:c>
      <x:c r="C141" s="84" t="n">
        <x:v>2</x:v>
      </x:c>
      <x:c r="D141" s="88" t="n">
        <x:v>1.382684</x:v>
      </x:c>
      <x:c r="E141" s="89">
        <x:f>INDEX('增长质量'!$C$62:$N$62,1,C141)</x:f>
        <x:v>48000</x:v>
      </x:c>
      <x:c r="F141" s="89">
        <x:f>E141*D141/SUMIFS($D$104:$D$468,$C$104:$C$468,C141)</x:f>
        <x:v>1852.0908763343</x:v>
      </x:c>
      <x:c r="G141" s="90">
        <x:f>F141/10000</x:f>
        <x:v>0.18520908763343</x:v>
      </x:c>
      <x:c r="H141" s="90">
        <x:f>AVERAGE(G135:G141)</x:f>
        <x:v>0.120688589519336</x:v>
      </x:c>
      <x:c r="I141" s="91" t="str">
        <x:f>TEXT(B141,"m/d")</x:f>
        <x:v>2/7</x:v>
      </x:c>
    </x:row>
    <x:row r="142" ht="22" customHeight="1">
      <x:c r="B142" s="85" t="n">
        <x:v>45696</x:v>
      </x:c>
      <x:c r="C142" s="84" t="n">
        <x:v>2</x:v>
      </x:c>
      <x:c r="D142" s="88" t="n">
        <x:v>0.112211</x:v>
      </x:c>
      <x:c r="E142" s="89">
        <x:f>INDEX('增长质量'!$C$62:$N$62,1,C142)</x:f>
        <x:v>48000</x:v>
      </x:c>
      <x:c r="F142" s="89">
        <x:f>E142*D142/SUMIFS($D$104:$D$468,$C$104:$C$468,C142)</x:f>
        <x:v>150.305470609588</x:v>
      </x:c>
      <x:c r="G142" s="90">
        <x:f>F142/10000</x:f>
        <x:v>0.0150305470609588</x:v>
      </x:c>
      <x:c r="H142" s="90">
        <x:f>AVERAGE(G136:G142)</x:f>
        <x:v>0.119487928423798</x:v>
      </x:c>
      <x:c r="I142" s="91" t="str">
        <x:f>TEXT(B142,"m/d")</x:f>
        <x:v>2/8</x:v>
      </x:c>
    </x:row>
    <x:row r="143" ht="22" customHeight="1">
      <x:c r="B143" s="85" t="n">
        <x:v>45697</x:v>
      </x:c>
      <x:c r="C143" s="84" t="n">
        <x:v>2</x:v>
      </x:c>
      <x:c r="D143" s="88" t="n">
        <x:v>0.315026</x:v>
      </x:c>
      <x:c r="E143" s="89">
        <x:f>INDEX('增长质量'!$C$62:$N$62,1,C143)</x:f>
        <x:v>48000</x:v>
      </x:c>
      <x:c r="F143" s="89">
        <x:f>E143*D143/SUMIFS($D$104:$D$468,$C$104:$C$468,C143)</x:f>
        <x:v>421.974059443871</x:v>
      </x:c>
      <x:c r="G143" s="90">
        <x:f>F143/10000</x:f>
        <x:v>0.0421974059443871</x:v>
      </x:c>
      <x:c r="H143" s="90">
        <x:f>AVERAGE(G137:G143)</x:f>
        <x:v>0.120851337509097</x:v>
      </x:c>
      <x:c r="I143" s="91" t="str">
        <x:f>TEXT(B143,"m/d")</x:f>
        <x:v>2/9</x:v>
      </x:c>
    </x:row>
    <x:row r="144" ht="22" customHeight="1">
      <x:c r="B144" s="85" t="n">
        <x:v>45698</x:v>
      </x:c>
      <x:c r="C144" s="84" t="n">
        <x:v>2</x:v>
      </x:c>
      <x:c r="D144" s="88" t="n">
        <x:v>1.77912</x:v>
      </x:c>
      <x:c r="E144" s="89">
        <x:f>INDEX('增长质量'!$C$62:$N$62,1,C144)</x:f>
        <x:v>48000</x:v>
      </x:c>
      <x:c r="F144" s="89">
        <x:f>E144*D144/SUMIFS($D$104:$D$468,$C$104:$C$468,C144)</x:f>
        <x:v>2383.11278636614</x:v>
      </x:c>
      <x:c r="G144" s="90">
        <x:f>F144/10000</x:f>
        <x:v>0.238311278636614</x:v>
      </x:c>
      <x:c r="H144" s="90">
        <x:f>AVERAGE(G138:G144)</x:f>
        <x:v>0.116887309311692</x:v>
      </x:c>
      <x:c r="I144" s="91" t="str">
        <x:f>TEXT(B144,"m/d")</x:f>
        <x:v>2/10</x:v>
      </x:c>
    </x:row>
    <x:row r="145" ht="22" customHeight="1">
      <x:c r="B145" s="85" t="n">
        <x:v>45699</x:v>
      </x:c>
      <x:c r="C145" s="84" t="n">
        <x:v>2</x:v>
      </x:c>
      <x:c r="D145" s="88" t="n">
        <x:v>1.924492</x:v>
      </x:c>
      <x:c r="E145" s="89">
        <x:f>INDEX('增长质量'!$C$62:$N$62,1,C145)</x:f>
        <x:v>48000</x:v>
      </x:c>
      <x:c r="F145" s="89">
        <x:f>E145*D145/SUMIFS($D$104:$D$468,$C$104:$C$468,C145)</x:f>
        <x:v>2577.83707251863</x:v>
      </x:c>
      <x:c r="G145" s="90">
        <x:f>F145/10000</x:f>
        <x:v>0.257783707251863</x:v>
      </x:c>
      <x:c r="H145" s="90">
        <x:f>AVERAGE(G139:G145)</x:f>
        <x:v>0.142905881144024</x:v>
      </x:c>
      <x:c r="I145" s="91" t="str">
        <x:f>TEXT(B145,"m/d")</x:f>
        <x:v>2/11</x:v>
      </x:c>
    </x:row>
    <x:row r="146" ht="22" customHeight="1">
      <x:c r="B146" s="85" t="n">
        <x:v>45700</x:v>
      </x:c>
      <x:c r="C146" s="84" t="n">
        <x:v>2</x:v>
      </x:c>
      <x:c r="D146" s="88" t="n">
        <x:v>1.102096</x:v>
      </x:c>
      <x:c r="E146" s="89">
        <x:f>INDEX('增长质量'!$C$62:$N$62,1,C146)</x:f>
        <x:v>48000</x:v>
      </x:c>
      <x:c r="F146" s="89">
        <x:f>E146*D146/SUMIFS($D$104:$D$468,$C$104:$C$468,C146)</x:f>
        <x:v>1476.24616068785</x:v>
      </x:c>
      <x:c r="G146" s="90">
        <x:f>F146/10000</x:f>
        <x:v>0.147624616068785</x:v>
      </x:c>
      <x:c r="H146" s="90">
        <x:f>AVERAGE(G140:G146)</x:f>
        <x:v>0.145444941139955</x:v>
      </x:c>
      <x:c r="I146" s="91" t="str">
        <x:f>TEXT(B146,"m/d")</x:f>
        <x:v>2/12</x:v>
      </x:c>
    </x:row>
    <x:row r="147" ht="22" customHeight="1">
      <x:c r="B147" s="85" t="n">
        <x:v>45701</x:v>
      </x:c>
      <x:c r="C147" s="84" t="n">
        <x:v>2</x:v>
      </x:c>
      <x:c r="D147" s="88" t="n">
        <x:v>0.653649</x:v>
      </x:c>
      <x:c r="E147" s="89">
        <x:f>INDEX('增长质量'!$C$62:$N$62,1,C147)</x:f>
        <x:v>48000</x:v>
      </x:c>
      <x:c r="F147" s="89">
        <x:f>E147*D147/SUMIFS($D$104:$D$468,$C$104:$C$468,C147)</x:f>
        <x:v>875.556055631683</x:v>
      </x:c>
      <x:c r="G147" s="90">
        <x:f>F147/10000</x:f>
        <x:v>0.0875556055631683</x:v>
      </x:c>
      <x:c r="H147" s="90">
        <x:f>AVERAGE(G141:G147)</x:f>
        <x:v>0.139101749737029</x:v>
      </x:c>
      <x:c r="I147" s="91" t="str">
        <x:f>TEXT(B147,"m/d")</x:f>
        <x:v>2/13</x:v>
      </x:c>
    </x:row>
    <x:row r="148" ht="22" customHeight="1">
      <x:c r="B148" s="85" t="n">
        <x:v>45702</x:v>
      </x:c>
      <x:c r="C148" s="84" t="n">
        <x:v>2</x:v>
      </x:c>
      <x:c r="D148" s="88" t="n">
        <x:v>0.922618</x:v>
      </x:c>
      <x:c r="E148" s="89">
        <x:f>INDEX('增长质量'!$C$62:$N$62,1,C148)</x:f>
        <x:v>48000</x:v>
      </x:c>
      <x:c r="F148" s="89">
        <x:f>E148*D148/SUMIFS($D$104:$D$468,$C$104:$C$468,C148)</x:f>
        <x:v>1235.83724129432</x:v>
      </x:c>
      <x:c r="G148" s="90">
        <x:f>F148/10000</x:f>
        <x:v>0.123583724129432</x:v>
      </x:c>
      <x:c r="H148" s="90">
        <x:f>AVERAGE(G142:G148)</x:f>
        <x:v>0.130298126379316</x:v>
      </x:c>
      <x:c r="I148" s="91" t="str">
        <x:f>TEXT(B148,"m/d")</x:f>
        <x:v>2/14</x:v>
      </x:c>
    </x:row>
    <x:row r="149" ht="22" customHeight="1">
      <x:c r="B149" s="85" t="n">
        <x:v>45703</x:v>
      </x:c>
      <x:c r="C149" s="84" t="n">
        <x:v>2</x:v>
      </x:c>
      <x:c r="D149" s="88" t="n">
        <x:v>0.314198</x:v>
      </x:c>
      <x:c r="E149" s="89">
        <x:f>INDEX('增长质量'!$C$62:$N$62,1,C149)</x:f>
        <x:v>48000</x:v>
      </x:c>
      <x:c r="F149" s="89">
        <x:f>E149*D149/SUMIFS($D$104:$D$468,$C$104:$C$468,C149)</x:f>
        <x:v>420.864962032167</x:v>
      </x:c>
      <x:c r="G149" s="90">
        <x:f>F149/10000</x:f>
        <x:v>0.0420864962032166</x:v>
      </x:c>
      <x:c r="H149" s="90">
        <x:f>AVERAGE(G143:G149)</x:f>
        <x:v>0.134163261971067</x:v>
      </x:c>
      <x:c r="I149" s="91" t="str">
        <x:f>TEXT(B149,"m/d")</x:f>
        <x:v>2/15</x:v>
      </x:c>
    </x:row>
    <x:row r="150" ht="22" customHeight="1">
      <x:c r="B150" s="85" t="n">
        <x:v>45704</x:v>
      </x:c>
      <x:c r="C150" s="84" t="n">
        <x:v>2</x:v>
      </x:c>
      <x:c r="D150" s="88" t="n">
        <x:v>0.304602</x:v>
      </x:c>
      <x:c r="E150" s="89">
        <x:f>INDEX('增长质量'!$C$62:$N$62,1,C150)</x:f>
        <x:v>48000</x:v>
      </x:c>
      <x:c r="F150" s="89">
        <x:f>E150*D150/SUMIFS($D$104:$D$468,$C$104:$C$468,C150)</x:f>
        <x:v>408.011219565121</x:v>
      </x:c>
      <x:c r="G150" s="90">
        <x:f>F150/10000</x:f>
        <x:v>0.0408011219565121</x:v>
      </x:c>
      <x:c r="H150" s="90">
        <x:f>AVERAGE(G144:G150)</x:f>
        <x:v>0.133963792829942</x:v>
      </x:c>
      <x:c r="I150" s="91" t="str">
        <x:f>TEXT(B150,"m/d")</x:f>
        <x:v>2/16</x:v>
      </x:c>
    </x:row>
    <x:row r="151" ht="22" customHeight="1">
      <x:c r="B151" s="85" t="n">
        <x:v>45705</x:v>
      </x:c>
      <x:c r="C151" s="84" t="n">
        <x:v>2</x:v>
      </x:c>
      <x:c r="D151" s="88" t="n">
        <x:v>1.539466</x:v>
      </x:c>
      <x:c r="E151" s="89">
        <x:f>INDEX('增长质量'!$C$62:$N$62,1,C151)</x:f>
        <x:v>48000</x:v>
      </x:c>
      <x:c r="F151" s="89">
        <x:f>E151*D151/SUMIFS($D$104:$D$468,$C$104:$C$468,C151)</x:f>
        <x:v>2062.09873913841</x:v>
      </x:c>
      <x:c r="G151" s="90">
        <x:f>F151/10000</x:f>
        <x:v>0.206209873913841</x:v>
      </x:c>
      <x:c r="H151" s="90">
        <x:f>AVERAGE(G145:G151)</x:f>
        <x:v>0.129377877869546</x:v>
      </x:c>
      <x:c r="I151" s="91" t="str">
        <x:f>TEXT(B151,"m/d")</x:f>
        <x:v>2/17</x:v>
      </x:c>
    </x:row>
    <x:row r="152" ht="22" customHeight="1">
      <x:c r="B152" s="85" t="n">
        <x:v>45706</x:v>
      </x:c>
      <x:c r="C152" s="84" t="n">
        <x:v>2</x:v>
      </x:c>
      <x:c r="D152" s="88" t="n">
        <x:v>1.801923</x:v>
      </x:c>
      <x:c r="E152" s="89">
        <x:f>INDEX('增长质量'!$C$62:$N$62,1,C152)</x:f>
        <x:v>48000</x:v>
      </x:c>
      <x:c r="F152" s="89">
        <x:f>E152*D152/SUMIFS($D$104:$D$468,$C$104:$C$468,C152)</x:f>
        <x:v>2413.65716834572</x:v>
      </x:c>
      <x:c r="G152" s="90">
        <x:f>F152/10000</x:f>
        <x:v>0.241365716834572</x:v>
      </x:c>
      <x:c r="H152" s="90">
        <x:f>AVERAGE(G146:G152)</x:f>
        <x:v>0.127032450667075</x:v>
      </x:c>
      <x:c r="I152" s="91" t="str">
        <x:f>TEXT(B152,"m/d")</x:f>
        <x:v>2/18</x:v>
      </x:c>
    </x:row>
    <x:row r="153" ht="22" customHeight="1">
      <x:c r="B153" s="85" t="n">
        <x:v>45707</x:v>
      </x:c>
      <x:c r="C153" s="84" t="n">
        <x:v>2</x:v>
      </x:c>
      <x:c r="D153" s="88" t="n">
        <x:v>0.719803</x:v>
      </x:c>
      <x:c r="E153" s="89">
        <x:f>INDEX('增长质量'!$C$62:$N$62,1,C153)</x:f>
        <x:v>48000</x:v>
      </x:c>
      <x:c r="F153" s="89">
        <x:f>E153*D153/SUMIFS($D$104:$D$468,$C$104:$C$468,C153)</x:f>
        <x:v>964.16865246004</x:v>
      </x:c>
      <x:c r="G153" s="90">
        <x:f>F153/10000</x:f>
        <x:v>0.096416865246004</x:v>
      </x:c>
      <x:c r="H153" s="90">
        <x:f>AVERAGE(G147:G153)</x:f>
        <x:v>0.119717057692392</x:v>
      </x:c>
      <x:c r="I153" s="91" t="str">
        <x:f>TEXT(B153,"m/d")</x:f>
        <x:v>2/19</x:v>
      </x:c>
    </x:row>
    <x:row r="154" ht="22" customHeight="1">
      <x:c r="B154" s="85" t="n">
        <x:v>45708</x:v>
      </x:c>
      <x:c r="C154" s="84" t="n">
        <x:v>2</x:v>
      </x:c>
      <x:c r="D154" s="88" t="n">
        <x:v>1.173202</x:v>
      </x:c>
      <x:c r="E154" s="89">
        <x:f>INDEX('增长质量'!$C$62:$N$62,1,C154)</x:f>
        <x:v>48000</x:v>
      </x:c>
      <x:c r="F154" s="89">
        <x:f>E154*D154/SUMIFS($D$104:$D$468,$C$104:$C$468,C154)</x:f>
        <x:v>1571.49191015239</x:v>
      </x:c>
      <x:c r="G154" s="90">
        <x:f>F154/10000</x:f>
        <x:v>0.157149191015239</x:v>
      </x:c>
      <x:c r="H154" s="90">
        <x:f>AVERAGE(G148:G154)</x:f>
        <x:v>0.12965899847126</x:v>
      </x:c>
      <x:c r="I154" s="91" t="str">
        <x:f>TEXT(B154,"m/d")</x:f>
        <x:v>2/20</x:v>
      </x:c>
    </x:row>
    <x:row r="155" ht="22" customHeight="1">
      <x:c r="B155" s="85" t="n">
        <x:v>45709</x:v>
      </x:c>
      <x:c r="C155" s="84" t="n">
        <x:v>2</x:v>
      </x:c>
      <x:c r="D155" s="88" t="n">
        <x:v>0.582101</x:v>
      </x:c>
      <x:c r="E155" s="89">
        <x:f>INDEX('增长质量'!$C$62:$N$62,1,C155)</x:f>
        <x:v>48000</x:v>
      </x:c>
      <x:c r="F155" s="89">
        <x:f>E155*D155/SUMIFS($D$104:$D$468,$C$104:$C$468,C155)</x:f>
        <x:v>779.718251751718</x:v>
      </x:c>
      <x:c r="G155" s="90">
        <x:f>F155/10000</x:f>
        <x:v>0.0779718251751718</x:v>
      </x:c>
      <x:c r="H155" s="90">
        <x:f>AVERAGE(G149:G155)</x:f>
        <x:v>0.123143012906365</x:v>
      </x:c>
      <x:c r="I155" s="91" t="str">
        <x:f>TEXT(B155,"m/d")</x:f>
        <x:v>2/21</x:v>
      </x:c>
    </x:row>
    <x:row r="156" ht="22" customHeight="1">
      <x:c r="B156" s="85" t="n">
        <x:v>45710</x:v>
      </x:c>
      <x:c r="C156" s="84" t="n">
        <x:v>2</x:v>
      </x:c>
      <x:c r="D156" s="88" t="n">
        <x:v>0.321249</x:v>
      </x:c>
      <x:c r="E156" s="89">
        <x:f>INDEX('增长质量'!$C$62:$N$62,1,C156)</x:f>
        <x:v>48000</x:v>
      </x:c>
      <x:c r="F156" s="89">
        <x:f>E156*D156/SUMIFS($D$104:$D$468,$C$104:$C$468,C156)</x:f>
        <x:v>430.309703396812</x:v>
      </x:c>
      <x:c r="G156" s="90">
        <x:f>F156/10000</x:f>
        <x:v>0.0430309703396812</x:v>
      </x:c>
      <x:c r="H156" s="90">
        <x:f>AVERAGE(G150:G156)</x:f>
        <x:v>0.123277937783003</x:v>
      </x:c>
      <x:c r="I156" s="91" t="str">
        <x:f>TEXT(B156,"m/d")</x:f>
        <x:v>2/22</x:v>
      </x:c>
    </x:row>
    <x:row r="157" ht="22" customHeight="1">
      <x:c r="B157" s="85" t="n">
        <x:v>45711</x:v>
      </x:c>
      <x:c r="C157" s="84" t="n">
        <x:v>2</x:v>
      </x:c>
      <x:c r="D157" s="88" t="n">
        <x:v>0.362216</x:v>
      </x:c>
      <x:c r="E157" s="89">
        <x:f>INDEX('增长质量'!$C$62:$N$62,1,C157)</x:f>
        <x:v>48000</x:v>
      </x:c>
      <x:c r="F157" s="89">
        <x:f>E157*D157/SUMIFS($D$104:$D$468,$C$104:$C$468,C157)</x:f>
        <x:v>485.184574973244</x:v>
      </x:c>
      <x:c r="G157" s="90">
        <x:f>F157/10000</x:f>
        <x:v>0.0485184574973244</x:v>
      </x:c>
      <x:c r="H157" s="90">
        <x:f>AVERAGE(G151:G157)</x:f>
        <x:v>0.124380414288833</x:v>
      </x:c>
      <x:c r="I157" s="91" t="str">
        <x:f>TEXT(B157,"m/d")</x:f>
        <x:v>2/23</x:v>
      </x:c>
    </x:row>
    <x:row r="158" ht="22" customHeight="1">
      <x:c r="B158" s="85" t="n">
        <x:v>45712</x:v>
      </x:c>
      <x:c r="C158" s="84" t="n">
        <x:v>2</x:v>
      </x:c>
      <x:c r="D158" s="88" t="n">
        <x:v>1.123527</x:v>
      </x:c>
      <x:c r="E158" s="89">
        <x:f>INDEX('增长质量'!$C$62:$N$62,1,C158)</x:f>
        <x:v>48000</x:v>
      </x:c>
      <x:c r="F158" s="89">
        <x:f>E158*D158/SUMIFS($D$104:$D$468,$C$104:$C$468,C158)</x:f>
        <x:v>1504.95276289828</x:v>
      </x:c>
      <x:c r="G158" s="90">
        <x:f>F158/10000</x:f>
        <x:v>0.150495276289828</x:v>
      </x:c>
      <x:c r="H158" s="90">
        <x:f>AVERAGE(G152:G158)</x:f>
        <x:v>0.116421186056831</x:v>
      </x:c>
      <x:c r="I158" s="91" t="str">
        <x:f>TEXT(B158,"m/d")</x:f>
        <x:v>2/24</x:v>
      </x:c>
    </x:row>
    <x:row r="159" ht="22" customHeight="1">
      <x:c r="B159" s="85" t="n">
        <x:v>45713</x:v>
      </x:c>
      <x:c r="C159" s="84" t="n">
        <x:v>2</x:v>
      </x:c>
      <x:c r="D159" s="88" t="n">
        <x:v>2.345254</x:v>
      </x:c>
      <x:c r="E159" s="89">
        <x:f>INDEX('增长质量'!$C$62:$N$62,1,C159)</x:f>
        <x:v>48000</x:v>
      </x:c>
      <x:c r="F159" s="89">
        <x:f>E159*D159/SUMIFS($D$104:$D$468,$C$104:$C$468,C159)</x:f>
        <x:v>3141.44340723298</x:v>
      </x:c>
      <x:c r="G159" s="90">
        <x:f>F159/10000</x:f>
        <x:v>0.314144340723298</x:v>
      </x:c>
      <x:c r="H159" s="90">
        <x:f>AVERAGE(G153:G159)</x:f>
        <x:v>0.126818132326649</x:v>
      </x:c>
      <x:c r="I159" s="91" t="str">
        <x:f>TEXT(B159,"m/d")</x:f>
        <x:v>2/25</x:v>
      </x:c>
    </x:row>
    <x:row r="160" ht="22" customHeight="1">
      <x:c r="B160" s="85" t="n">
        <x:v>45714</x:v>
      </x:c>
      <x:c r="C160" s="84" t="n">
        <x:v>2</x:v>
      </x:c>
      <x:c r="D160" s="88" t="n">
        <x:v>1.820667</x:v>
      </x:c>
      <x:c r="E160" s="89">
        <x:f>INDEX('增长质量'!$C$62:$N$62,1,C160)</x:f>
        <x:v>48000</x:v>
      </x:c>
      <x:c r="F160" s="89">
        <x:f>E160*D160/SUMIFS($D$104:$D$468,$C$104:$C$468,C160)</x:f>
        <x:v>2438.76456192661</x:v>
      </x:c>
      <x:c r="G160" s="90">
        <x:f>F160/10000</x:f>
        <x:v>0.243876456192661</x:v>
      </x:c>
      <x:c r="H160" s="90">
        <x:f>AVERAGE(G154:G160)</x:f>
        <x:v>0.147883788176172</x:v>
      </x:c>
      <x:c r="I160" s="91" t="str">
        <x:f>TEXT(B160,"m/d")</x:f>
        <x:v>2/26</x:v>
      </x:c>
    </x:row>
    <x:row r="161" ht="22" customHeight="1">
      <x:c r="B161" s="85" t="n">
        <x:v>45715</x:v>
      </x:c>
      <x:c r="C161" s="84" t="n">
        <x:v>2</x:v>
      </x:c>
      <x:c r="D161" s="88" t="n">
        <x:v>7.307132</x:v>
      </x:c>
      <x:c r="E161" s="89">
        <x:f>INDEX('增长质量'!$C$62:$N$62,1,C161)</x:f>
        <x:v>48000</x:v>
      </x:c>
      <x:c r="F161" s="89">
        <x:f>E161*D161/SUMIFS($D$104:$D$468,$C$104:$C$468,C161)</x:f>
        <x:v>9787.82752195758</x:v>
      </x:c>
      <x:c r="G161" s="90">
        <x:f>F161/10000</x:f>
        <x:v>0.978782752195758</x:v>
      </x:c>
      <x:c r="H161" s="90">
        <x:f>AVERAGE(G155:G161)</x:f>
        <x:v>0.26526001120196</x:v>
      </x:c>
      <x:c r="I161" s="91" t="str">
        <x:f>TEXT(B161,"m/d")</x:f>
        <x:v>2/27</x:v>
      </x:c>
    </x:row>
    <x:row r="162" ht="22" customHeight="1">
      <x:c r="B162" s="85" t="n">
        <x:v>45716</x:v>
      </x:c>
      <x:c r="C162" s="84" t="n">
        <x:v>2</x:v>
      </x:c>
      <x:c r="D162" s="88" t="n">
        <x:v>3.002962</x:v>
      </x:c>
      <x:c r="E162" s="89">
        <x:f>INDEX('增长质量'!$C$62:$N$62,1,C162)</x:f>
        <x:v>48000</x:v>
      </x:c>
      <x:c r="F162" s="89">
        <x:f>E162*D162/SUMIFS($D$104:$D$468,$C$104:$C$468,C162)</x:f>
        <x:v>4022.43645126334</x:v>
      </x:c>
      <x:c r="G162" s="90">
        <x:f>F162/10000</x:f>
        <x:v>0.402243645126334</x:v>
      </x:c>
      <x:c r="H162" s="90">
        <x:f>AVERAGE(G156:G162)</x:f>
        <x:v>0.311584556909269</x:v>
      </x:c>
      <x:c r="I162" s="91" t="str">
        <x:f>TEXT(B162,"m/d")</x:f>
        <x:v>2/28</x:v>
      </x:c>
    </x:row>
    <x:row r="163" ht="22" customHeight="1">
      <x:c r="B163" s="85" t="n">
        <x:v>45717</x:v>
      </x:c>
      <x:c r="C163" s="84" t="n">
        <x:v>3</x:v>
      </x:c>
      <x:c r="D163" s="88" t="n">
        <x:v>0.143614</x:v>
      </x:c>
      <x:c r="E163" s="89">
        <x:f>INDEX('增长质量'!$C$62:$N$62,1,C163)</x:f>
        <x:v>62820</x:v>
      </x:c>
      <x:c r="F163" s="89">
        <x:f>E163*D163/SUMIFS($D$104:$D$468,$C$104:$C$468,C163)</x:f>
        <x:v>201.102129803172</x:v>
      </x:c>
      <x:c r="G163" s="90">
        <x:f>F163/10000</x:f>
        <x:v>0.0201102129803172</x:v>
      </x:c>
      <x:c r="H163" s="90">
        <x:f>AVERAGE(G157:G163)</x:f>
        <x:v>0.308310163000789</x:v>
      </x:c>
      <x:c r="I163" s="91" t="str">
        <x:f>TEXT(B163,"m/d")</x:f>
        <x:v>3/1</x:v>
      </x:c>
    </x:row>
    <x:row r="164" ht="22" customHeight="1">
      <x:c r="B164" s="85" t="n">
        <x:v>45718</x:v>
      </x:c>
      <x:c r="C164" s="84" t="n">
        <x:v>3</x:v>
      </x:c>
      <x:c r="D164" s="88" t="n">
        <x:v>0.257409</x:v>
      </x:c>
      <x:c r="E164" s="89">
        <x:f>INDEX('增长质量'!$C$62:$N$62,1,C164)</x:f>
        <x:v>62820</x:v>
      </x:c>
      <x:c r="F164" s="89">
        <x:f>E164*D164/SUMIFS($D$104:$D$468,$C$104:$C$468,C164)</x:f>
        <x:v>360.448829017399</x:v>
      </x:c>
      <x:c r="G164" s="90">
        <x:f>F164/10000</x:f>
        <x:v>0.0360448829017399</x:v>
      </x:c>
      <x:c r="H164" s="90">
        <x:f>AVERAGE(G158:G164)</x:f>
        <x:v>0.306528223772848</x:v>
      </x:c>
      <x:c r="I164" s="91" t="str">
        <x:f>TEXT(B164,"m/d")</x:f>
        <x:v>3/2</x:v>
      </x:c>
    </x:row>
    <x:row r="165" ht="22" customHeight="1">
      <x:c r="B165" s="85" t="n">
        <x:v>45719</x:v>
      </x:c>
      <x:c r="C165" s="84" t="n">
        <x:v>3</x:v>
      </x:c>
      <x:c r="D165" s="88" t="n">
        <x:v>1.582608</x:v>
      </x:c>
      <x:c r="E165" s="89">
        <x:f>INDEX('增长质量'!$C$62:$N$62,1,C165)</x:f>
        <x:v>62820</x:v>
      </x:c>
      <x:c r="F165" s="89">
        <x:f>E165*D165/SUMIFS($D$104:$D$468,$C$104:$C$468,C165)</x:f>
        <x:v>2216.11987301753</x:v>
      </x:c>
      <x:c r="G165" s="90">
        <x:f>F165/10000</x:f>
        <x:v>0.221611987301753</x:v>
      </x:c>
      <x:c r="H165" s="90">
        <x:f>AVERAGE(G159:G165)</x:f>
        <x:v>0.316687753917409</x:v>
      </x:c>
      <x:c r="I165" s="91" t="str">
        <x:f>TEXT(B165,"m/d")</x:f>
        <x:v>3/3</x:v>
      </x:c>
    </x:row>
    <x:row r="166" ht="22" customHeight="1">
      <x:c r="B166" s="85" t="n">
        <x:v>45720</x:v>
      </x:c>
      <x:c r="C166" s="84" t="n">
        <x:v>3</x:v>
      </x:c>
      <x:c r="D166" s="88" t="n">
        <x:v>2.150378</x:v>
      </x:c>
      <x:c r="E166" s="89">
        <x:f>INDEX('增长质量'!$C$62:$N$62,1,C166)</x:f>
        <x:v>62820</x:v>
      </x:c>
      <x:c r="F166" s="89">
        <x:f>E166*D166/SUMIFS($D$104:$D$468,$C$104:$C$468,C166)</x:f>
        <x:v>3011.16601224035</x:v>
      </x:c>
      <x:c r="G166" s="90">
        <x:f>F166/10000</x:f>
        <x:v>0.301116601224035</x:v>
      </x:c>
      <x:c r="H166" s="90">
        <x:f>AVERAGE(G160:G166)</x:f>
        <x:v>0.314826648274657</x:v>
      </x:c>
      <x:c r="I166" s="91" t="str">
        <x:f>TEXT(B166,"m/d")</x:f>
        <x:v>3/4</x:v>
      </x:c>
    </x:row>
    <x:row r="167" ht="22" customHeight="1">
      <x:c r="B167" s="85" t="n">
        <x:v>45721</x:v>
      </x:c>
      <x:c r="C167" s="84" t="n">
        <x:v>3</x:v>
      </x:c>
      <x:c r="D167" s="88" t="n">
        <x:v>0.965151</x:v>
      </x:c>
      <x:c r="E167" s="89">
        <x:f>INDEX('增长质量'!$C$62:$N$62,1,C167)</x:f>
        <x:v>62820</x:v>
      </x:c>
      <x:c r="F167" s="89">
        <x:f>E167*D167/SUMIFS($D$104:$D$468,$C$104:$C$468,C167)</x:f>
        <x:v>1351.49721950271</x:v>
      </x:c>
      <x:c r="G167" s="90">
        <x:f>F167/10000</x:f>
        <x:v>0.135149721950271</x:v>
      </x:c>
      <x:c r="H167" s="90">
        <x:f>AVERAGE(G161:G167)</x:f>
        <x:v>0.299294257668601</x:v>
      </x:c>
      <x:c r="I167" s="91" t="str">
        <x:f>TEXT(B167,"m/d")</x:f>
        <x:v>3/5</x:v>
      </x:c>
    </x:row>
    <x:row r="168" ht="22" customHeight="1">
      <x:c r="B168" s="85" t="n">
        <x:v>45722</x:v>
      </x:c>
      <x:c r="C168" s="84" t="n">
        <x:v>3</x:v>
      </x:c>
      <x:c r="D168" s="88" t="n">
        <x:v>2.39095</x:v>
      </x:c>
      <x:c r="E168" s="89">
        <x:f>INDEX('增长质量'!$C$62:$N$62,1,C168)</x:f>
        <x:v>62820</x:v>
      </x:c>
      <x:c r="F168" s="89">
        <x:f>E168*D168/SUMIFS($D$104:$D$468,$C$104:$C$468,C168)</x:f>
        <x:v>3348.03805515406</x:v>
      </x:c>
      <x:c r="G168" s="90">
        <x:f>F168/10000</x:f>
        <x:v>0.334803805515406</x:v>
      </x:c>
      <x:c r="H168" s="90">
        <x:f>AVERAGE(G162:G168)</x:f>
        <x:v>0.207297265285694</x:v>
      </x:c>
      <x:c r="I168" s="91" t="str">
        <x:f>TEXT(B168,"m/d")</x:f>
        <x:v>3/6</x:v>
      </x:c>
    </x:row>
    <x:row r="169" ht="22" customHeight="1">
      <x:c r="B169" s="85" t="n">
        <x:v>45723</x:v>
      </x:c>
      <x:c r="C169" s="84" t="n">
        <x:v>3</x:v>
      </x:c>
      <x:c r="D169" s="88" t="n">
        <x:v>1.600744</x:v>
      </x:c>
      <x:c r="E169" s="89">
        <x:f>INDEX('增长质量'!$C$62:$N$62,1,C169)</x:f>
        <x:v>62820</x:v>
      </x:c>
      <x:c r="F169" s="89">
        <x:f>E169*D169/SUMIFS($D$104:$D$468,$C$104:$C$468,C169)</x:f>
        <x:v>2241.51564380666</x:v>
      </x:c>
      <x:c r="G169" s="90">
        <x:f>F169/10000</x:f>
        <x:v>0.224151564380666</x:v>
      </x:c>
      <x:c r="H169" s="90">
        <x:f>AVERAGE(G163:G169)</x:f>
        <x:v>0.181855539464884</x:v>
      </x:c>
      <x:c r="I169" s="91" t="str">
        <x:f>TEXT(B169,"m/d")</x:f>
        <x:v>3/7</x:v>
      </x:c>
    </x:row>
    <x:row r="170" ht="22" customHeight="1">
      <x:c r="B170" s="85" t="n">
        <x:v>45724</x:v>
      </x:c>
      <x:c r="C170" s="84" t="n">
        <x:v>3</x:v>
      </x:c>
      <x:c r="D170" s="88" t="n">
        <x:v>0.325568</x:v>
      </x:c>
      <x:c r="E170" s="89">
        <x:f>INDEX('增长质量'!$C$62:$N$62,1,C170)</x:f>
        <x:v>62820</x:v>
      </x:c>
      <x:c r="F170" s="89">
        <x:f>E170*D170/SUMIFS($D$104:$D$468,$C$104:$C$468,C170)</x:f>
        <x:v>455.891613601454</x:v>
      </x:c>
      <x:c r="G170" s="90">
        <x:f>F170/10000</x:f>
        <x:v>0.0455891613601454</x:v>
      </x:c>
      <x:c r="H170" s="90">
        <x:f>AVERAGE(G164:G170)</x:f>
        <x:v>0.185495389233431</x:v>
      </x:c>
      <x:c r="I170" s="91" t="str">
        <x:f>TEXT(B170,"m/d")</x:f>
        <x:v>3/8</x:v>
      </x:c>
    </x:row>
    <x:row r="171" ht="22" customHeight="1">
      <x:c r="B171" s="85" t="n">
        <x:v>45725</x:v>
      </x:c>
      <x:c r="C171" s="84" t="n">
        <x:v>3</x:v>
      </x:c>
      <x:c r="D171" s="88" t="n">
        <x:v>0.197515</x:v>
      </x:c>
      <x:c r="E171" s="89">
        <x:f>INDEX('增长质量'!$C$62:$N$62,1,C171)</x:f>
        <x:v>62820</x:v>
      </x:c>
      <x:c r="F171" s="89">
        <x:f>E171*D171/SUMIFS($D$104:$D$468,$C$104:$C$468,C171)</x:f>
        <x:v>276.579492027752</x:v>
      </x:c>
      <x:c r="G171" s="90">
        <x:f>F171/10000</x:f>
        <x:v>0.0276579492027752</x:v>
      </x:c>
      <x:c r="H171" s="90">
        <x:f>AVERAGE(G165:G171)</x:f>
        <x:v>0.184297255847864</x:v>
      </x:c>
      <x:c r="I171" s="91" t="str">
        <x:f>TEXT(B171,"m/d")</x:f>
        <x:v>3/9</x:v>
      </x:c>
    </x:row>
    <x:row r="172" ht="22" customHeight="1">
      <x:c r="B172" s="85" t="n">
        <x:v>45726</x:v>
      </x:c>
      <x:c r="C172" s="84" t="n">
        <x:v>3</x:v>
      </x:c>
      <x:c r="D172" s="88" t="n">
        <x:v>2.211165</x:v>
      </x:c>
      <x:c r="E172" s="89">
        <x:f>INDEX('增长质量'!$C$62:$N$62,1,C172)</x:f>
        <x:v>62820</x:v>
      </x:c>
      <x:c r="F172" s="89">
        <x:f>E172*D172/SUMIFS($D$104:$D$468,$C$104:$C$468,C172)</x:f>
        <x:v>3096.28581368273</x:v>
      </x:c>
      <x:c r="G172" s="90">
        <x:f>F172/10000</x:f>
        <x:v>0.309628581368273</x:v>
      </x:c>
      <x:c r="H172" s="90">
        <x:f>AVERAGE(G166:G172)</x:f>
        <x:v>0.196871055000224</x:v>
      </x:c>
      <x:c r="I172" s="91" t="str">
        <x:f>TEXT(B172,"m/d")</x:f>
        <x:v>3/10</x:v>
      </x:c>
    </x:row>
    <x:row r="173" ht="22" customHeight="1">
      <x:c r="B173" s="85" t="n">
        <x:v>45727</x:v>
      </x:c>
      <x:c r="C173" s="84" t="n">
        <x:v>3</x:v>
      </x:c>
      <x:c r="D173" s="88" t="n">
        <x:v>1.741498</x:v>
      </x:c>
      <x:c r="E173" s="89">
        <x:f>INDEX('增长质量'!$C$62:$N$62,1,C173)</x:f>
        <x:v>62820</x:v>
      </x:c>
      <x:c r="F173" s="89">
        <x:f>E173*D173/SUMIFS($D$104:$D$468,$C$104:$C$468,C173)</x:f>
        <x:v>2438.61292665036</x:v>
      </x:c>
      <x:c r="G173" s="90">
        <x:f>F173/10000</x:f>
        <x:v>0.243861292665036</x:v>
      </x:c>
      <x:c r="H173" s="90">
        <x:f>AVERAGE(G167:G173)</x:f>
        <x:v>0.188691725206082</x:v>
      </x:c>
      <x:c r="I173" s="91" t="str">
        <x:f>TEXT(B173,"m/d")</x:f>
        <x:v>3/11</x:v>
      </x:c>
    </x:row>
    <x:row r="174" ht="22" customHeight="1">
      <x:c r="B174" s="85" t="n">
        <x:v>45728</x:v>
      </x:c>
      <x:c r="C174" s="84" t="n">
        <x:v>3</x:v>
      </x:c>
      <x:c r="D174" s="88" t="n">
        <x:v>0.97232</x:v>
      </x:c>
      <x:c r="E174" s="89">
        <x:f>INDEX('增长质量'!$C$62:$N$62,1,C174)</x:f>
        <x:v>62820</x:v>
      </x:c>
      <x:c r="F174" s="89">
        <x:f>E174*D174/SUMIFS($D$104:$D$468,$C$104:$C$468,C174)</x:f>
        <x:v>1361.53594252803</x:v>
      </x:c>
      <x:c r="G174" s="90">
        <x:f>F174/10000</x:f>
        <x:v>0.136153594252803</x:v>
      </x:c>
      <x:c r="H174" s="90">
        <x:f>AVERAGE(G168:G174)</x:f>
        <x:v>0.188835135535015</x:v>
      </x:c>
      <x:c r="I174" s="91" t="str">
        <x:f>TEXT(B174,"m/d")</x:f>
        <x:v>3/12</x:v>
      </x:c>
    </x:row>
    <x:row r="175" ht="22" customHeight="1">
      <x:c r="B175" s="85" t="n">
        <x:v>45729</x:v>
      </x:c>
      <x:c r="C175" s="84" t="n">
        <x:v>3</x:v>
      </x:c>
      <x:c r="D175" s="88" t="n">
        <x:v>4.186162</x:v>
      </x:c>
      <x:c r="E175" s="89">
        <x:f>INDEX('增长质量'!$C$62:$N$62,1,C175)</x:f>
        <x:v>62820</x:v>
      </x:c>
      <x:c r="F175" s="89">
        <x:f>E175*D175/SUMIFS($D$104:$D$468,$C$104:$C$468,C175)</x:f>
        <x:v>5861.86648865088</x:v>
      </x:c>
      <x:c r="G175" s="90">
        <x:f>F175/10000</x:f>
        <x:v>0.586186648865088</x:v>
      </x:c>
      <x:c r="H175" s="90">
        <x:f>AVERAGE(G169:G175)</x:f>
        <x:v>0.224746970299255</x:v>
      </x:c>
      <x:c r="I175" s="91" t="str">
        <x:f>TEXT(B175,"m/d")</x:f>
        <x:v>3/13</x:v>
      </x:c>
    </x:row>
    <x:row r="176" ht="22" customHeight="1">
      <x:c r="B176" s="85" t="n">
        <x:v>45730</x:v>
      </x:c>
      <x:c r="C176" s="84" t="n">
        <x:v>3</x:v>
      </x:c>
      <x:c r="D176" s="88" t="n">
        <x:v>2.548011</x:v>
      </x:c>
      <x:c r="E176" s="89">
        <x:f>INDEX('增长质量'!$C$62:$N$62,1,C176)</x:f>
        <x:v>62820</x:v>
      </x:c>
      <x:c r="F176" s="89">
        <x:f>E176*D176/SUMIFS($D$104:$D$468,$C$104:$C$468,C176)</x:f>
        <x:v>3567.96996714743</x:v>
      </x:c>
      <x:c r="G176" s="90">
        <x:f>F176/10000</x:f>
        <x:v>0.356796996714743</x:v>
      </x:c>
      <x:c r="H176" s="90">
        <x:f>AVERAGE(G170:G176)</x:f>
        <x:v>0.243696317775552</x:v>
      </x:c>
      <x:c r="I176" s="91" t="str">
        <x:f>TEXT(B176,"m/d")</x:f>
        <x:v>3/14</x:v>
      </x:c>
    </x:row>
    <x:row r="177" ht="22" customHeight="1">
      <x:c r="B177" s="85" t="n">
        <x:v>45731</x:v>
      </x:c>
      <x:c r="C177" s="84" t="n">
        <x:v>3</x:v>
      </x:c>
      <x:c r="D177" s="88" t="n">
        <x:v>0.589037</x:v>
      </x:c>
      <x:c r="E177" s="89">
        <x:f>INDEX('增长质量'!$C$62:$N$62,1,C177)</x:f>
        <x:v>62820</x:v>
      </x:c>
      <x:c r="F177" s="89">
        <x:f>E177*D177/SUMIFS($D$104:$D$468,$C$104:$C$468,C177)</x:f>
        <x:v>824.826237225279</x:v>
      </x:c>
      <x:c r="G177" s="90">
        <x:f>F177/10000</x:f>
        <x:v>0.0824826237225279</x:v>
      </x:c>
      <x:c r="H177" s="90">
        <x:f>AVERAGE(G171:G177)</x:f>
        <x:v>0.248966812398749</x:v>
      </x:c>
      <x:c r="I177" s="91" t="str">
        <x:f>TEXT(B177,"m/d")</x:f>
        <x:v>3/15</x:v>
      </x:c>
    </x:row>
    <x:row r="178" ht="22" customHeight="1">
      <x:c r="B178" s="85" t="n">
        <x:v>45732</x:v>
      </x:c>
      <x:c r="C178" s="84" t="n">
        <x:v>3</x:v>
      </x:c>
      <x:c r="D178" s="88" t="n">
        <x:v>0.797644</x:v>
      </x:c>
      <x:c r="E178" s="89">
        <x:f>INDEX('增长质量'!$C$62:$N$62,1,C178)</x:f>
        <x:v>62820</x:v>
      </x:c>
      <x:c r="F178" s="89">
        <x:f>E178*D178/SUMIFS($D$104:$D$468,$C$104:$C$468,C178)</x:f>
        <x:v>1116.9378140343</x:v>
      </x:c>
      <x:c r="G178" s="90">
        <x:f>F178/10000</x:f>
        <x:v>0.11169378140343</x:v>
      </x:c>
      <x:c r="H178" s="90">
        <x:f>AVERAGE(G172:G178)</x:f>
        <x:v>0.260971931284557</x:v>
      </x:c>
      <x:c r="I178" s="91" t="str">
        <x:f>TEXT(B178,"m/d")</x:f>
        <x:v>3/16</x:v>
      </x:c>
    </x:row>
    <x:row r="179" ht="22" customHeight="1">
      <x:c r="B179" s="85" t="n">
        <x:v>45733</x:v>
      </x:c>
      <x:c r="C179" s="84" t="n">
        <x:v>3</x:v>
      </x:c>
      <x:c r="D179" s="88" t="n">
        <x:v>2.008247</x:v>
      </x:c>
      <x:c r="E179" s="89">
        <x:f>INDEX('增长质量'!$C$62:$N$62,1,C179)</x:f>
        <x:v>62820</x:v>
      </x:c>
      <x:c r="F179" s="89">
        <x:f>E179*D179/SUMIFS($D$104:$D$468,$C$104:$C$468,C179)</x:f>
        <x:v>2812.14052161232</x:v>
      </x:c>
      <x:c r="G179" s="90">
        <x:f>F179/10000</x:f>
        <x:v>0.281214052161232</x:v>
      </x:c>
      <x:c r="H179" s="90">
        <x:f>AVERAGE(G173:G179)</x:f>
        <x:v>0.256912712826409</x:v>
      </x:c>
      <x:c r="I179" s="91" t="str">
        <x:f>TEXT(B179,"m/d")</x:f>
        <x:v>3/17</x:v>
      </x:c>
    </x:row>
    <x:row r="180" ht="22" customHeight="1">
      <x:c r="B180" s="85" t="n">
        <x:v>45734</x:v>
      </x:c>
      <x:c r="C180" s="84" t="n">
        <x:v>3</x:v>
      </x:c>
      <x:c r="D180" s="88" t="n">
        <x:v>2.201188</x:v>
      </x:c>
      <x:c r="E180" s="89">
        <x:f>INDEX('增长质量'!$C$62:$N$62,1,C180)</x:f>
        <x:v>62820</x:v>
      </x:c>
      <x:c r="F180" s="89">
        <x:f>E180*D180/SUMIFS($D$104:$D$468,$C$104:$C$468,C180)</x:f>
        <x:v>3082.3150590972</x:v>
      </x:c>
      <x:c r="G180" s="90">
        <x:f>F180/10000</x:f>
        <x:v>0.30823150590972</x:v>
      </x:c>
      <x:c r="H180" s="90">
        <x:f>AVERAGE(G174:G180)</x:f>
        <x:v>0.266108457575649</x:v>
      </x:c>
      <x:c r="I180" s="91" t="str">
        <x:f>TEXT(B180,"m/d")</x:f>
        <x:v>3/18</x:v>
      </x:c>
    </x:row>
    <x:row r="181" ht="22" customHeight="1">
      <x:c r="B181" s="85" t="n">
        <x:v>45735</x:v>
      </x:c>
      <x:c r="C181" s="84" t="n">
        <x:v>3</x:v>
      </x:c>
      <x:c r="D181" s="88" t="n">
        <x:v>0.526341</x:v>
      </x:c>
      <x:c r="E181" s="89">
        <x:f>INDEX('增长质量'!$C$62:$N$62,1,C181)</x:f>
        <x:v>62820</x:v>
      </x:c>
      <x:c r="F181" s="89">
        <x:f>E181*D181/SUMIFS($D$104:$D$468,$C$104:$C$468,C181)</x:f>
        <x:v>737.033270452265</x:v>
      </x:c>
      <x:c r="G181" s="90">
        <x:f>F181/10000</x:f>
        <x:v>0.0737033270452265</x:v>
      </x:c>
      <x:c r="H181" s="90">
        <x:f>AVERAGE(G175:G181)</x:f>
        <x:v>0.25718699083171</x:v>
      </x:c>
      <x:c r="I181" s="91" t="str">
        <x:f>TEXT(B181,"m/d")</x:f>
        <x:v>3/19</x:v>
      </x:c>
    </x:row>
    <x:row r="182" ht="22" customHeight="1">
      <x:c r="B182" s="85" t="n">
        <x:v>45736</x:v>
      </x:c>
      <x:c r="C182" s="84" t="n">
        <x:v>3</x:v>
      </x:c>
      <x:c r="D182" s="88" t="n">
        <x:v>2.265909</x:v>
      </x:c>
      <x:c r="E182" s="89">
        <x:f>INDEX('增长质量'!$C$62:$N$62,1,C182)</x:f>
        <x:v>62820</x:v>
      </x:c>
      <x:c r="F182" s="89">
        <x:f>E182*D182/SUMIFS($D$104:$D$468,$C$104:$C$468,C182)</x:f>
        <x:v>3172.94362555306</x:v>
      </x:c>
      <x:c r="G182" s="90">
        <x:f>F182/10000</x:f>
        <x:v>0.317294362555306</x:v>
      </x:c>
      <x:c r="H182" s="90">
        <x:f>AVERAGE(G176:G182)</x:f>
        <x:v>0.218773807073169</x:v>
      </x:c>
      <x:c r="I182" s="91" t="str">
        <x:f>TEXT(B182,"m/d")</x:f>
        <x:v>3/20</x:v>
      </x:c>
    </x:row>
    <x:row r="183" ht="22" customHeight="1">
      <x:c r="B183" s="85" t="n">
        <x:v>45737</x:v>
      </x:c>
      <x:c r="C183" s="84" t="n">
        <x:v>3</x:v>
      </x:c>
      <x:c r="D183" s="88" t="n">
        <x:v>0.938012</x:v>
      </x:c>
      <x:c r="E183" s="89">
        <x:f>INDEX('增长质量'!$C$62:$N$62,1,C183)</x:f>
        <x:v>62820</x:v>
      </x:c>
      <x:c r="F183" s="89">
        <x:f>E183*D183/SUMIFS($D$104:$D$468,$C$104:$C$468,C183)</x:f>
        <x:v>1313.49458256809</x:v>
      </x:c>
      <x:c r="G183" s="90">
        <x:f>F183/10000</x:f>
        <x:v>0.131349458256809</x:v>
      </x:c>
      <x:c r="H183" s="90">
        <x:f>AVERAGE(G177:G183)</x:f>
        <x:v>0.186567015864893</x:v>
      </x:c>
      <x:c r="I183" s="91" t="str">
        <x:f>TEXT(B183,"m/d")</x:f>
        <x:v>3/21</x:v>
      </x:c>
    </x:row>
    <x:row r="184" ht="22" customHeight="1">
      <x:c r="B184" s="85" t="n">
        <x:v>45738</x:v>
      </x:c>
      <x:c r="C184" s="84" t="n">
        <x:v>3</x:v>
      </x:c>
      <x:c r="D184" s="88" t="n">
        <x:v>0.290932</x:v>
      </x:c>
      <x:c r="E184" s="89">
        <x:f>INDEX('增长质量'!$C$62:$N$62,1,C184)</x:f>
        <x:v>62820</x:v>
      </x:c>
      <x:c r="F184" s="89">
        <x:f>E184*D184/SUMIFS($D$104:$D$468,$C$104:$C$468,C184)</x:f>
        <x:v>407.390956507698</x:v>
      </x:c>
      <x:c r="G184" s="90">
        <x:f>F184/10000</x:f>
        <x:v>0.0407390956507698</x:v>
      </x:c>
      <x:c r="H184" s="90">
        <x:f>AVERAGE(G178:G184)</x:f>
        <x:v>0.180603654711785</x:v>
      </x:c>
      <x:c r="I184" s="91" t="str">
        <x:f>TEXT(B184,"m/d")</x:f>
        <x:v>3/22</x:v>
      </x:c>
    </x:row>
    <x:row r="185" ht="22" customHeight="1">
      <x:c r="B185" s="85" t="n">
        <x:v>45739</x:v>
      </x:c>
      <x:c r="C185" s="84" t="n">
        <x:v>3</x:v>
      </x:c>
      <x:c r="D185" s="88" t="n">
        <x:v>0.400219</x:v>
      </x:c>
      <x:c r="E185" s="89">
        <x:f>INDEX('增长质量'!$C$62:$N$62,1,C185)</x:f>
        <x:v>62820</x:v>
      </x:c>
      <x:c r="F185" s="89">
        <x:f>E185*D185/SUMIFS($D$104:$D$468,$C$104:$C$468,C185)</x:f>
        <x:v>560.425120724274</x:v>
      </x:c>
      <x:c r="G185" s="90">
        <x:f>F185/10000</x:f>
        <x:v>0.0560425120724274</x:v>
      </x:c>
      <x:c r="H185" s="90">
        <x:f>AVERAGE(G179:G185)</x:f>
        <x:v>0.172653473378784</x:v>
      </x:c>
      <x:c r="I185" s="91" t="str">
        <x:f>TEXT(B185,"m/d")</x:f>
        <x:v>3/23</x:v>
      </x:c>
    </x:row>
    <x:row r="186" ht="22" customHeight="1">
      <x:c r="B186" s="85" t="n">
        <x:v>45740</x:v>
      </x:c>
      <x:c r="C186" s="84" t="n">
        <x:v>3</x:v>
      </x:c>
      <x:c r="D186" s="88" t="n">
        <x:v>0.661575</x:v>
      </x:c>
      <x:c r="E186" s="89">
        <x:f>INDEX('增长质量'!$C$62:$N$62,1,C186)</x:f>
        <x:v>62820</x:v>
      </x:c>
      <x:c r="F186" s="89">
        <x:f>E186*D186/SUMIFS($D$104:$D$468,$C$104:$C$468,C186)</x:f>
        <x:v>926.400918604967</x:v>
      </x:c>
      <x:c r="G186" s="90">
        <x:f>F186/10000</x:f>
        <x:v>0.0926400918604967</x:v>
      </x:c>
      <x:c r="H186" s="90">
        <x:f>AVERAGE(G180:G186)</x:f>
        <x:v>0.145714336192965</x:v>
      </x:c>
      <x:c r="I186" s="91" t="str">
        <x:f>TEXT(B186,"m/d")</x:f>
        <x:v>3/24</x:v>
      </x:c>
    </x:row>
    <x:row r="187" ht="22" customHeight="1">
      <x:c r="B187" s="85" t="n">
        <x:v>45741</x:v>
      </x:c>
      <x:c r="C187" s="84" t="n">
        <x:v>3</x:v>
      </x:c>
      <x:c r="D187" s="88" t="n">
        <x:v>1.351126</x:v>
      </x:c>
      <x:c r="E187" s="89">
        <x:f>INDEX('增长质量'!$C$62:$N$62,1,C187)</x:f>
        <x:v>62820</x:v>
      </x:c>
      <x:c r="F187" s="89">
        <x:f>E187*D187/SUMIFS($D$104:$D$468,$C$104:$C$468,C187)</x:f>
        <x:v>1891.97652201346</x:v>
      </x:c>
      <x:c r="G187" s="90">
        <x:f>F187/10000</x:f>
        <x:v>0.189197652201346</x:v>
      </x:c>
      <x:c r="H187" s="90">
        <x:f>AVERAGE(G181:G187)</x:f>
        <x:v>0.128709499948912</x:v>
      </x:c>
      <x:c r="I187" s="91" t="str">
        <x:f>TEXT(B187,"m/d")</x:f>
        <x:v>3/25</x:v>
      </x:c>
    </x:row>
    <x:row r="188" ht="22" customHeight="1">
      <x:c r="B188" s="85" t="n">
        <x:v>45742</x:v>
      </x:c>
      <x:c r="C188" s="84" t="n">
        <x:v>3</x:v>
      </x:c>
      <x:c r="D188" s="88" t="n">
        <x:v>1.658315</x:v>
      </x:c>
      <x:c r="E188" s="89">
        <x:f>INDEX('增长质量'!$C$62:$N$62,1,C188)</x:f>
        <x:v>62820</x:v>
      </x:c>
      <x:c r="F188" s="89">
        <x:f>E188*D188/SUMIFS($D$104:$D$468,$C$104:$C$468,C188)</x:f>
        <x:v>2322.13209286384</x:v>
      </x:c>
      <x:c r="G188" s="90">
        <x:f>F188/10000</x:f>
        <x:v>0.232213209286384</x:v>
      </x:c>
      <x:c r="H188" s="90">
        <x:f>AVERAGE(G182:G188)</x:f>
        <x:v>0.151353768840505</x:v>
      </x:c>
      <x:c r="I188" s="91" t="str">
        <x:f>TEXT(B188,"m/d")</x:f>
        <x:v>3/26</x:v>
      </x:c>
    </x:row>
    <x:row r="189" ht="22" customHeight="1">
      <x:c r="B189" s="85" t="n">
        <x:v>45743</x:v>
      </x:c>
      <x:c r="C189" s="84" t="n">
        <x:v>3</x:v>
      </x:c>
      <x:c r="D189" s="88" t="n">
        <x:v>1.158844</x:v>
      </x:c>
      <x:c r="E189" s="89">
        <x:f>INDEX('增长质量'!$C$62:$N$62,1,C189)</x:f>
        <x:v>62820</x:v>
      </x:c>
      <x:c r="F189" s="89">
        <x:f>E189*D189/SUMIFS($D$104:$D$468,$C$104:$C$468,C189)</x:f>
        <x:v>1622.72477968462</x:v>
      </x:c>
      <x:c r="G189" s="90">
        <x:f>F189/10000</x:f>
        <x:v>0.162272477968462</x:v>
      </x:c>
      <x:c r="H189" s="90">
        <x:f>AVERAGE(G183:G189)</x:f>
        <x:v>0.129207785328099</x:v>
      </x:c>
      <x:c r="I189" s="91" t="str">
        <x:f>TEXT(B189,"m/d")</x:f>
        <x:v>3/27</x:v>
      </x:c>
    </x:row>
    <x:row r="190" ht="22" customHeight="1">
      <x:c r="B190" s="85" t="n">
        <x:v>45744</x:v>
      </x:c>
      <x:c r="C190" s="84" t="n">
        <x:v>3</x:v>
      </x:c>
      <x:c r="D190" s="88" t="n">
        <x:v>2.669295</x:v>
      </x:c>
      <x:c r="E190" s="89">
        <x:f>INDEX('增长质量'!$C$62:$N$62,1,C190)</x:f>
        <x:v>62820</x:v>
      </x:c>
      <x:c r="F190" s="89">
        <x:f>E190*D190/SUMIFS($D$104:$D$468,$C$104:$C$468,C190)</x:f>
        <x:v>3737.80348415168</x:v>
      </x:c>
      <x:c r="G190" s="90">
        <x:f>F190/10000</x:f>
        <x:v>0.373780348415168</x:v>
      </x:c>
      <x:c r="H190" s="90">
        <x:f>AVERAGE(G184:G190)</x:f>
        <x:v>0.163840769636436</x:v>
      </x:c>
      <x:c r="I190" s="91" t="str">
        <x:f>TEXT(B190,"m/d")</x:f>
        <x:v>3/28</x:v>
      </x:c>
    </x:row>
    <x:row r="191" ht="22" customHeight="1">
      <x:c r="B191" s="85" t="n">
        <x:v>45745</x:v>
      </x:c>
      <x:c r="C191" s="84" t="n">
        <x:v>3</x:v>
      </x:c>
      <x:c r="D191" s="88" t="n">
        <x:v>1.650386</x:v>
      </x:c>
      <x:c r="E191" s="89">
        <x:f>INDEX('增长质量'!$C$62:$N$62,1,C191)</x:f>
        <x:v>62820</x:v>
      </x:c>
      <x:c r="F191" s="89">
        <x:f>E191*D191/SUMIFS($D$104:$D$468,$C$104:$C$468,C191)</x:f>
        <x:v>2311.02914477237</x:v>
      </x:c>
      <x:c r="G191" s="90">
        <x:f>F191/10000</x:f>
        <x:v>0.231102914477237</x:v>
      </x:c>
      <x:c r="H191" s="90">
        <x:f>AVERAGE(G185:G191)</x:f>
        <x:v>0.19103560089736</x:v>
      </x:c>
      <x:c r="I191" s="91" t="str">
        <x:f>TEXT(B191,"m/d")</x:f>
        <x:v>3/29</x:v>
      </x:c>
    </x:row>
    <x:row r="192" ht="22" customHeight="1">
      <x:c r="B192" s="85" t="n">
        <x:v>45746</x:v>
      </x:c>
      <x:c r="C192" s="84" t="n">
        <x:v>3</x:v>
      </x:c>
      <x:c r="D192" s="88" t="n">
        <x:v>1.338904</x:v>
      </x:c>
      <x:c r="E192" s="89">
        <x:f>INDEX('增长质量'!$C$62:$N$62,1,C192)</x:f>
        <x:v>62820</x:v>
      </x:c>
      <x:c r="F192" s="89">
        <x:f>E192*D192/SUMIFS($D$104:$D$468,$C$104:$C$468,C192)</x:f>
        <x:v>1874.86210259436</x:v>
      </x:c>
      <x:c r="G192" s="90">
        <x:f>F192/10000</x:f>
        <x:v>0.187486210259436</x:v>
      </x:c>
      <x:c r="H192" s="90">
        <x:f>AVERAGE(G186:G192)</x:f>
        <x:v>0.209813272066933</x:v>
      </x:c>
      <x:c r="I192" s="91" t="str">
        <x:f>TEXT(B192,"m/d")</x:f>
        <x:v>3/30</x:v>
      </x:c>
    </x:row>
    <x:row r="193" ht="22" customHeight="1">
      <x:c r="B193" s="85" t="n">
        <x:v>45747</x:v>
      </x:c>
      <x:c r="C193" s="84" t="n">
        <x:v>3</x:v>
      </x:c>
      <x:c r="D193" s="88" t="n">
        <x:v>3.082872</x:v>
      </x:c>
      <x:c r="E193" s="89">
        <x:f>INDEX('增长质量'!$C$62:$N$62,1,C193)</x:f>
        <x:v>62820</x:v>
      </x:c>
      <x:c r="F193" s="89">
        <x:f>E193*D193/SUMIFS($D$104:$D$468,$C$104:$C$468,C193)</x:f>
        <x:v>4316.93376070972</x:v>
      </x:c>
      <x:c r="G193" s="90">
        <x:f>F193/10000</x:f>
        <x:v>0.431693376070972</x:v>
      </x:c>
      <x:c r="H193" s="90">
        <x:f>AVERAGE(G187:G193)</x:f>
        <x:v>0.258249455525572</x:v>
      </x:c>
      <x:c r="I193" s="91" t="str">
        <x:f>TEXT(B193,"m/d")</x:f>
        <x:v>3/31</x:v>
      </x:c>
    </x:row>
    <x:row r="194" ht="22" customHeight="1">
      <x:c r="B194" s="85" t="n">
        <x:v>45748</x:v>
      </x:c>
      <x:c r="C194" s="84" t="n">
        <x:v>4</x:v>
      </x:c>
      <x:c r="D194" s="88" t="n">
        <x:v>1.852983</x:v>
      </x:c>
      <x:c r="E194" s="89">
        <x:f>INDEX('增长质量'!$C$62:$N$62,1,C194)</x:f>
        <x:v>65880</x:v>
      </x:c>
      <x:c r="F194" s="89">
        <x:f>E194*D194/SUMIFS($D$104:$D$468,$C$104:$C$468,C194)</x:f>
        <x:v>3061.47895331843</x:v>
      </x:c>
      <x:c r="G194" s="90">
        <x:f>F194/10000</x:f>
        <x:v>0.306147895331843</x:v>
      </x:c>
      <x:c r="H194" s="90">
        <x:f>AVERAGE(G188:G194)</x:f>
        <x:v>0.274956633115643</x:v>
      </x:c>
      <x:c r="I194" s="91" t="str">
        <x:f>TEXT(B194,"m/d")</x:f>
        <x:v>4/1</x:v>
      </x:c>
    </x:row>
    <x:row r="195" ht="22" customHeight="1">
      <x:c r="B195" s="85" t="n">
        <x:v>45749</x:v>
      </x:c>
      <x:c r="C195" s="84" t="n">
        <x:v>4</x:v>
      </x:c>
      <x:c r="D195" s="88" t="n">
        <x:v>1.234587</x:v>
      </x:c>
      <x:c r="E195" s="89">
        <x:f>INDEX('增长质量'!$C$62:$N$62,1,C195)</x:f>
        <x:v>65880</x:v>
      </x:c>
      <x:c r="F195" s="89">
        <x:f>E195*D195/SUMIFS($D$104:$D$468,$C$104:$C$468,C195)</x:f>
        <x:v>2039.77160963729</x:v>
      </x:c>
      <x:c r="G195" s="90">
        <x:f>F195/10000</x:f>
        <x:v>0.203977160963729</x:v>
      </x:c>
      <x:c r="H195" s="90">
        <x:f>AVERAGE(G189:G195)</x:f>
        <x:v>0.270922911926692</x:v>
      </x:c>
      <x:c r="I195" s="91" t="str">
        <x:f>TEXT(B195,"m/d")</x:f>
        <x:v>4/2</x:v>
      </x:c>
    </x:row>
    <x:row r="196" ht="22" customHeight="1">
      <x:c r="B196" s="85" t="n">
        <x:v>45750</x:v>
      </x:c>
      <x:c r="C196" s="84" t="n">
        <x:v>4</x:v>
      </x:c>
      <x:c r="D196" s="88" t="n">
        <x:v>1.791578</x:v>
      </x:c>
      <x:c r="E196" s="89">
        <x:f>INDEX('增长质量'!$C$62:$N$62,1,C196)</x:f>
        <x:v>65880</x:v>
      </x:c>
      <x:c r="F196" s="89">
        <x:f>E196*D196/SUMIFS($D$104:$D$468,$C$104:$C$468,C196)</x:f>
        <x:v>2960.02626048286</x:v>
      </x:c>
      <x:c r="G196" s="90">
        <x:f>F196/10000</x:f>
        <x:v>0.296002626048286</x:v>
      </x:c>
      <x:c r="H196" s="90">
        <x:f>AVERAGE(G190:G196)</x:f>
        <x:v>0.290027218795239</x:v>
      </x:c>
      <x:c r="I196" s="91" t="str">
        <x:f>TEXT(B196,"m/d")</x:f>
        <x:v>4/3</x:v>
      </x:c>
    </x:row>
    <x:row r="197" ht="22" customHeight="1">
      <x:c r="B197" s="85" t="n">
        <x:v>45751</x:v>
      </x:c>
      <x:c r="C197" s="84" t="n">
        <x:v>4</x:v>
      </x:c>
      <x:c r="D197" s="88" t="n">
        <x:v>0.408298</x:v>
      </x:c>
      <x:c r="E197" s="89">
        <x:f>INDEX('增长质量'!$C$62:$N$62,1,C197)</x:f>
        <x:v>65880</x:v>
      </x:c>
      <x:c r="F197" s="89">
        <x:f>E197*D197/SUMIFS($D$104:$D$468,$C$104:$C$468,C197)</x:f>
        <x:v>674.585645784126</x:v>
      </x:c>
      <x:c r="G197" s="90">
        <x:f>F197/10000</x:f>
        <x:v>0.0674585645784126</x:v>
      </x:c>
      <x:c r="H197" s="90">
        <x:f>AVERAGE(G191:G197)</x:f>
        <x:v>0.246266963961416</x:v>
      </x:c>
      <x:c r="I197" s="91" t="str">
        <x:f>TEXT(B197,"m/d")</x:f>
        <x:v>4/4</x:v>
      </x:c>
    </x:row>
    <x:row r="198" ht="22" customHeight="1">
      <x:c r="B198" s="85" t="n">
        <x:v>45752</x:v>
      </x:c>
      <x:c r="C198" s="84" t="n">
        <x:v>4</x:v>
      </x:c>
      <x:c r="D198" s="88" t="n">
        <x:v>0.625521</x:v>
      </x:c>
      <x:c r="E198" s="89">
        <x:f>INDEX('增长质量'!$C$62:$N$62,1,C198)</x:f>
        <x:v>65880</x:v>
      </x:c>
      <x:c r="F198" s="89">
        <x:f>E198*D198/SUMIFS($D$104:$D$468,$C$104:$C$468,C198)</x:f>
        <x:v>1033.47919347274</x:v>
      </x:c>
      <x:c r="G198" s="90">
        <x:f>F198/10000</x:f>
        <x:v>0.103347919347274</x:v>
      </x:c>
      <x:c r="H198" s="90">
        <x:f>AVERAGE(G192:G198)</x:f>
        <x:v>0.228016250371422</x:v>
      </x:c>
      <x:c r="I198" s="91" t="str">
        <x:f>TEXT(B198,"m/d")</x:f>
        <x:v>4/5</x:v>
      </x:c>
    </x:row>
    <x:row r="199" ht="22" customHeight="1">
      <x:c r="B199" s="85" t="n">
        <x:v>45753</x:v>
      </x:c>
      <x:c r="C199" s="84" t="n">
        <x:v>4</x:v>
      </x:c>
      <x:c r="D199" s="88" t="n">
        <x:v>0.142093</x:v>
      </x:c>
      <x:c r="E199" s="89">
        <x:f>INDEX('增长质量'!$C$62:$N$62,1,C199)</x:f>
        <x:v>65880</x:v>
      </x:c>
      <x:c r="F199" s="89">
        <x:f>E199*D199/SUMIFS($D$104:$D$468,$C$104:$C$468,C199)</x:f>
        <x:v>234.764554728173</x:v>
      </x:c>
      <x:c r="G199" s="90">
        <x:f>F199/10000</x:f>
        <x:v>0.0234764554728173</x:v>
      </x:c>
      <x:c r="H199" s="90">
        <x:f>AVERAGE(G193:G199)</x:f>
        <x:v>0.204586285401905</x:v>
      </x:c>
      <x:c r="I199" s="91" t="str">
        <x:f>TEXT(B199,"m/d")</x:f>
        <x:v>4/6</x:v>
      </x:c>
    </x:row>
    <x:row r="200" ht="22" customHeight="1">
      <x:c r="B200" s="85" t="n">
        <x:v>45754</x:v>
      </x:c>
      <x:c r="C200" s="84" t="n">
        <x:v>4</x:v>
      </x:c>
      <x:c r="D200" s="88" t="n">
        <x:v>2.030036</x:v>
      </x:c>
      <x:c r="E200" s="89">
        <x:f>INDEX('增长质量'!$C$62:$N$62,1,C200)</x:f>
        <x:v>65880</x:v>
      </x:c>
      <x:c r="F200" s="89">
        <x:f>E200*D200/SUMIFS($D$104:$D$468,$C$104:$C$468,C200)</x:f>
        <x:v>3354.00405102406</x:v>
      </x:c>
      <x:c r="G200" s="90">
        <x:f>F200/10000</x:f>
        <x:v>0.335400405102406</x:v>
      </x:c>
      <x:c r="H200" s="90">
        <x:f>AVERAGE(G194:G200)</x:f>
        <x:v>0.19083014669211</x:v>
      </x:c>
      <x:c r="I200" s="91" t="str">
        <x:f>TEXT(B200,"m/d")</x:f>
        <x:v>4/7</x:v>
      </x:c>
    </x:row>
    <x:row r="201" ht="22" customHeight="1">
      <x:c r="B201" s="85" t="n">
        <x:v>45755</x:v>
      </x:c>
      <x:c r="C201" s="84" t="n">
        <x:v>4</x:v>
      </x:c>
      <x:c r="D201" s="88" t="n">
        <x:v>0.899526</x:v>
      </x:c>
      <x:c r="E201" s="89">
        <x:f>INDEX('增长质量'!$C$62:$N$62,1,C201)</x:f>
        <x:v>65880</x:v>
      </x:c>
      <x:c r="F201" s="89">
        <x:f>E201*D201/SUMIFS($D$104:$D$468,$C$104:$C$468,C201)</x:f>
        <x:v>1486.18736219529</x:v>
      </x:c>
      <x:c r="G201" s="90">
        <x:f>F201/10000</x:f>
        <x:v>0.148618736219529</x:v>
      </x:c>
      <x:c r="H201" s="90">
        <x:f>AVERAGE(G195:G201)</x:f>
        <x:v>0.168325981104636</x:v>
      </x:c>
      <x:c r="I201" s="91" t="str">
        <x:f>TEXT(B201,"m/d")</x:f>
        <x:v>4/8</x:v>
      </x:c>
    </x:row>
    <x:row r="202" ht="22" customHeight="1">
      <x:c r="B202" s="85" t="n">
        <x:v>45756</x:v>
      </x:c>
      <x:c r="C202" s="84" t="n">
        <x:v>4</x:v>
      </x:c>
      <x:c r="D202" s="88" t="n">
        <x:v>0.326364</x:v>
      </x:c>
      <x:c r="E202" s="89">
        <x:f>INDEX('增长质量'!$C$62:$N$62,1,C202)</x:f>
        <x:v>65880</x:v>
      </x:c>
      <x:c r="F202" s="89">
        <x:f>E202*D202/SUMIFS($D$104:$D$468,$C$104:$C$468,C202)</x:f>
        <x:v>539.215155843747</x:v>
      </x:c>
      <x:c r="G202" s="90">
        <x:f>F202/10000</x:f>
        <x:v>0.0539215155843747</x:v>
      </x:c>
      <x:c r="H202" s="90">
        <x:f>AVERAGE(G196:G202)</x:f>
        <x:v>0.146889460336157</x:v>
      </x:c>
      <x:c r="I202" s="91" t="str">
        <x:f>TEXT(B202,"m/d")</x:f>
        <x:v>4/9</x:v>
      </x:c>
    </x:row>
    <x:row r="203" ht="22" customHeight="1">
      <x:c r="B203" s="85" t="n">
        <x:v>45757</x:v>
      </x:c>
      <x:c r="C203" s="84" t="n">
        <x:v>4</x:v>
      </x:c>
      <x:c r="D203" s="88" t="n">
        <x:v>1.332078</x:v>
      </x:c>
      <x:c r="E203" s="89">
        <x:f>INDEX('增长质量'!$C$62:$N$62,1,C203)</x:f>
        <x:v>65880</x:v>
      </x:c>
      <x:c r="F203" s="89">
        <x:f>E203*D203/SUMIFS($D$104:$D$468,$C$104:$C$468,C203)</x:f>
        <x:v>2200.84521076475</x:v>
      </x:c>
      <x:c r="G203" s="90">
        <x:f>F203/10000</x:f>
        <x:v>0.220084521076475</x:v>
      </x:c>
      <x:c r="H203" s="90">
        <x:f>AVERAGE(G197:G203)</x:f>
        <x:v>0.136044016768756</x:v>
      </x:c>
      <x:c r="I203" s="91" t="str">
        <x:f>TEXT(B203,"m/d")</x:f>
        <x:v>4/10</x:v>
      </x:c>
    </x:row>
    <x:row r="204" ht="22" customHeight="1">
      <x:c r="B204" s="85" t="n">
        <x:v>45758</x:v>
      </x:c>
      <x:c r="C204" s="84" t="n">
        <x:v>4</x:v>
      </x:c>
      <x:c r="D204" s="88" t="n">
        <x:v>1.352791</x:v>
      </x:c>
      <x:c r="E204" s="89">
        <x:f>INDEX('增长质量'!$C$62:$N$62,1,C204)</x:f>
        <x:v>65880</x:v>
      </x:c>
      <x:c r="F204" s="89">
        <x:f>E204*D204/SUMIFS($D$104:$D$468,$C$104:$C$468,C204)</x:f>
        <x:v>2235.06701072734</x:v>
      </x:c>
      <x:c r="G204" s="90">
        <x:f>F204/10000</x:f>
        <x:v>0.223506701072734</x:v>
      </x:c>
      <x:c r="H204" s="90">
        <x:f>AVERAGE(G198:G204)</x:f>
        <x:v>0.158336607696516</x:v>
      </x:c>
      <x:c r="I204" s="91" t="str">
        <x:f>TEXT(B204,"m/d")</x:f>
        <x:v>4/11</x:v>
      </x:c>
    </x:row>
    <x:row r="205" ht="22" customHeight="1">
      <x:c r="B205" s="85" t="n">
        <x:v>45759</x:v>
      </x:c>
      <x:c r="C205" s="84" t="n">
        <x:v>4</x:v>
      </x:c>
      <x:c r="D205" s="88" t="n">
        <x:v>0.220211</x:v>
      </x:c>
      <x:c r="E205" s="89">
        <x:f>INDEX('增长质量'!$C$62:$N$62,1,C205)</x:f>
        <x:v>65880</x:v>
      </x:c>
      <x:c r="F205" s="89">
        <x:f>E205*D205/SUMIFS($D$104:$D$468,$C$104:$C$468,C205)</x:f>
        <x:v>363.830289748586</x:v>
      </x:c>
      <x:c r="G205" s="90">
        <x:f>F205/10000</x:f>
        <x:v>0.0363830289748586</x:v>
      </x:c>
      <x:c r="H205" s="90">
        <x:f>AVERAGE(G199:G205)</x:f>
        <x:v>0.148770194786171</x:v>
      </x:c>
      <x:c r="I205" s="91" t="str">
        <x:f>TEXT(B205,"m/d")</x:f>
        <x:v>4/12</x:v>
      </x:c>
    </x:row>
    <x:row r="206" ht="22" customHeight="1">
      <x:c r="B206" s="85" t="n">
        <x:v>45760</x:v>
      </x:c>
      <x:c r="C206" s="84" t="n">
        <x:v>4</x:v>
      </x:c>
      <x:c r="D206" s="88" t="n">
        <x:v>0.43406</x:v>
      </x:c>
      <x:c r="E206" s="89">
        <x:f>INDEX('增长质量'!$C$62:$N$62,1,C206)</x:f>
        <x:v>65880</x:v>
      </x:c>
      <x:c r="F206" s="89">
        <x:f>E206*D206/SUMIFS($D$104:$D$468,$C$104:$C$468,C206)</x:f>
        <x:v>717.149350251673</x:v>
      </x:c>
      <x:c r="G206" s="90">
        <x:f>F206/10000</x:f>
        <x:v>0.0717149350251673</x:v>
      </x:c>
      <x:c r="H206" s="90">
        <x:f>AVERAGE(G200:G206)</x:f>
        <x:v>0.155661406150792</x:v>
      </x:c>
      <x:c r="I206" s="91" t="str">
        <x:f>TEXT(B206,"m/d")</x:f>
        <x:v>4/13</x:v>
      </x:c>
    </x:row>
    <x:row r="207" ht="22" customHeight="1">
      <x:c r="B207" s="85" t="n">
        <x:v>45761</x:v>
      </x:c>
      <x:c r="C207" s="84" t="n">
        <x:v>4</x:v>
      </x:c>
      <x:c r="D207" s="88" t="n">
        <x:v>1.39372</x:v>
      </x:c>
      <x:c r="E207" s="89">
        <x:f>INDEX('增长质量'!$C$62:$N$62,1,C207)</x:f>
        <x:v>65880</x:v>
      </x:c>
      <x:c r="F207" s="89">
        <x:f>E207*D207/SUMIFS($D$104:$D$468,$C$104:$C$468,C207)</x:f>
        <x:v>2302.68947249864</x:v>
      </x:c>
      <x:c r="G207" s="90">
        <x:f>F207/10000</x:f>
        <x:v>0.230268947249864</x:v>
      </x:c>
      <x:c r="H207" s="90">
        <x:f>AVERAGE(G201:G207)</x:f>
        <x:v>0.140642626457572</x:v>
      </x:c>
      <x:c r="I207" s="91" t="str">
        <x:f>TEXT(B207,"m/d")</x:f>
        <x:v>4/14</x:v>
      </x:c>
    </x:row>
    <x:row r="208" ht="22" customHeight="1">
      <x:c r="B208" s="85" t="n">
        <x:v>45762</x:v>
      </x:c>
      <x:c r="C208" s="84" t="n">
        <x:v>4</x:v>
      </x:c>
      <x:c r="D208" s="88" t="n">
        <x:v>1.768406</x:v>
      </x:c>
      <x:c r="E208" s="89">
        <x:f>INDEX('增长质量'!$C$62:$N$62,1,C208)</x:f>
        <x:v>65880</x:v>
      </x:c>
      <x:c r="F208" s="89">
        <x:f>E208*D208/SUMIFS($D$104:$D$468,$C$104:$C$468,C208)</x:f>
        <x:v>2921.7417266764</x:v>
      </x:c>
      <x:c r="G208" s="90">
        <x:f>F208/10000</x:f>
        <x:v>0.29217417266764</x:v>
      </x:c>
      <x:c r="H208" s="90">
        <x:f>AVERAGE(G202:G208)</x:f>
        <x:v>0.161150545950159</x:v>
      </x:c>
      <x:c r="I208" s="91" t="str">
        <x:f>TEXT(B208,"m/d")</x:f>
        <x:v>4/15</x:v>
      </x:c>
    </x:row>
    <x:row r="209" ht="22" customHeight="1">
      <x:c r="B209" s="85" t="n">
        <x:v>45763</x:v>
      </x:c>
      <x:c r="C209" s="84" t="n">
        <x:v>4</x:v>
      </x:c>
      <x:c r="D209" s="88" t="n">
        <x:v>0.73088</x:v>
      </x:c>
      <x:c r="E209" s="89">
        <x:f>INDEX('增长质量'!$C$62:$N$62,1,C209)</x:f>
        <x:v>65880</x:v>
      </x:c>
      <x:c r="F209" s="89">
        <x:f>E209*D209/SUMIFS($D$104:$D$468,$C$104:$C$468,C209)</x:f>
        <x:v>1207.55222114902</x:v>
      </x:c>
      <x:c r="G209" s="90">
        <x:f>F209/10000</x:f>
        <x:v>0.120755222114902</x:v>
      </x:c>
      <x:c r="H209" s="90">
        <x:f>AVERAGE(G203:G209)</x:f>
        <x:v>0.170698218311663</x:v>
      </x:c>
      <x:c r="I209" s="91" t="str">
        <x:f>TEXT(B209,"m/d")</x:f>
        <x:v>4/16</x:v>
      </x:c>
    </x:row>
    <x:row r="210" ht="22" customHeight="1">
      <x:c r="B210" s="85" t="n">
        <x:v>45764</x:v>
      </x:c>
      <x:c r="C210" s="84" t="n">
        <x:v>4</x:v>
      </x:c>
      <x:c r="D210" s="88" t="n">
        <x:v>1.195877</x:v>
      </x:c>
      <x:c r="E210" s="89">
        <x:f>INDEX('增长质量'!$C$62:$N$62,1,C210)</x:f>
        <x:v>65880</x:v>
      </x:c>
      <x:c r="F210" s="89">
        <x:f>E210*D210/SUMIFS($D$104:$D$468,$C$104:$C$468,C210)</x:f>
        <x:v>1975.81535624319</x:v>
      </x:c>
      <x:c r="G210" s="90">
        <x:f>F210/10000</x:f>
        <x:v>0.197581535624319</x:v>
      </x:c>
      <x:c r="H210" s="90">
        <x:f>AVERAGE(G204:G210)</x:f>
        <x:v>0.167483506104212</x:v>
      </x:c>
      <x:c r="I210" s="91" t="str">
        <x:f>TEXT(B210,"m/d")</x:f>
        <x:v>4/17</x:v>
      </x:c>
    </x:row>
    <x:row r="211" ht="22" customHeight="1">
      <x:c r="B211" s="85" t="n">
        <x:v>45765</x:v>
      </x:c>
      <x:c r="C211" s="84" t="n">
        <x:v>4</x:v>
      </x:c>
      <x:c r="D211" s="88" t="n">
        <x:v>0.709047</x:v>
      </x:c>
      <x:c r="E211" s="89">
        <x:f>INDEX('增长质量'!$C$62:$N$62,1,C211)</x:f>
        <x:v>65880</x:v>
      </x:c>
      <x:c r="F211" s="89">
        <x:f>E211*D211/SUMIFS($D$104:$D$468,$C$104:$C$468,C211)</x:f>
        <x:v>1171.47996900866</x:v>
      </x:c>
      <x:c r="G211" s="90">
        <x:f>F211/10000</x:f>
        <x:v>0.117147996900866</x:v>
      </x:c>
      <x:c r="H211" s="90">
        <x:f>AVERAGE(G205:G211)</x:f>
        <x:v>0.152289405508231</x:v>
      </x:c>
      <x:c r="I211" s="91" t="str">
        <x:f>TEXT(B211,"m/d")</x:f>
        <x:v>4/18</x:v>
      </x:c>
    </x:row>
    <x:row r="212" ht="22" customHeight="1">
      <x:c r="B212" s="85" t="n">
        <x:v>45766</x:v>
      </x:c>
      <x:c r="C212" s="84" t="n">
        <x:v>4</x:v>
      </x:c>
      <x:c r="D212" s="88" t="n">
        <x:v>0.303095</x:v>
      </x:c>
      <x:c r="E212" s="89">
        <x:f>INDEX('增长质量'!$C$62:$N$62,1,C212)</x:f>
        <x:v>65880</x:v>
      </x:c>
      <x:c r="F212" s="89">
        <x:f>E212*D212/SUMIFS($D$104:$D$468,$C$104:$C$468,C212)</x:f>
        <x:v>500.770359661178</x:v>
      </x:c>
      <x:c r="G212" s="90">
        <x:f>F212/10000</x:f>
        <x:v>0.0500770359661178</x:v>
      </x:c>
      <x:c r="H212" s="90">
        <x:f>AVERAGE(G206:G212)</x:f>
        <x:v>0.154245692221268</x:v>
      </x:c>
      <x:c r="I212" s="91" t="str">
        <x:f>TEXT(B212,"m/d")</x:f>
        <x:v>4/19</x:v>
      </x:c>
    </x:row>
    <x:row r="213" ht="22" customHeight="1">
      <x:c r="B213" s="85" t="n">
        <x:v>45767</x:v>
      </x:c>
      <x:c r="C213" s="84" t="n">
        <x:v>4</x:v>
      </x:c>
      <x:c r="D213" s="88" t="n">
        <x:v>0.132917</x:v>
      </x:c>
      <x:c r="E213" s="89">
        <x:f>INDEX('增长质量'!$C$62:$N$62,1,C213)</x:f>
        <x:v>65880</x:v>
      </x:c>
      <x:c r="F213" s="89">
        <x:f>E213*D213/SUMIFS($D$104:$D$468,$C$104:$C$468,C213)</x:f>
        <x:v>219.604064386033</x:v>
      </x:c>
      <x:c r="G213" s="90">
        <x:f>F213/10000</x:f>
        <x:v>0.0219604064386033</x:v>
      </x:c>
      <x:c r="H213" s="90">
        <x:f>AVERAGE(G207:G213)</x:f>
        <x:v>0.147137902423188</x:v>
      </x:c>
      <x:c r="I213" s="91" t="str">
        <x:f>TEXT(B213,"m/d")</x:f>
        <x:v>4/20</x:v>
      </x:c>
    </x:row>
    <x:row r="214" ht="22" customHeight="1">
      <x:c r="B214" s="85" t="n">
        <x:v>45768</x:v>
      </x:c>
      <x:c r="C214" s="84" t="n">
        <x:v>4</x:v>
      </x:c>
      <x:c r="D214" s="88" t="n">
        <x:v>0.449931</x:v>
      </x:c>
      <x:c r="E214" s="89">
        <x:f>INDEX('增长质量'!$C$62:$N$62,1,C214)</x:f>
        <x:v>65880</x:v>
      </x:c>
      <x:c r="F214" s="89">
        <x:f>E214*D214/SUMIFS($D$104:$D$468,$C$104:$C$468,C214)</x:f>
        <x:v>743.371248924309</x:v>
      </x:c>
      <x:c r="G214" s="90">
        <x:f>F214/10000</x:f>
        <x:v>0.0743371248924309</x:v>
      </x:c>
      <x:c r="H214" s="90">
        <x:f>AVERAGE(G208:G214)</x:f>
        <x:v>0.124861927800697</x:v>
      </x:c>
      <x:c r="I214" s="91" t="str">
        <x:f>TEXT(B214,"m/d")</x:f>
        <x:v>4/21</x:v>
      </x:c>
    </x:row>
    <x:row r="215" ht="22" customHeight="1">
      <x:c r="B215" s="85" t="n">
        <x:v>45769</x:v>
      </x:c>
      <x:c r="C215" s="84" t="n">
        <x:v>4</x:v>
      </x:c>
      <x:c r="D215" s="88" t="n">
        <x:v>1.679485</x:v>
      </x:c>
      <x:c r="E215" s="89">
        <x:f>INDEX('增长质量'!$C$62:$N$62,1,C215)</x:f>
        <x:v>65880</x:v>
      </x:c>
      <x:c r="F215" s="89">
        <x:f>E215*D215/SUMIFS($D$104:$D$468,$C$104:$C$468,C215)</x:f>
        <x:v>2774.82738908776</x:v>
      </x:c>
      <x:c r="G215" s="90">
        <x:f>F215/10000</x:f>
        <x:v>0.277482738908776</x:v>
      </x:c>
      <x:c r="H215" s="90">
        <x:f>AVERAGE(G209:G215)</x:f>
        <x:v>0.122763151549431</x:v>
      </x:c>
      <x:c r="I215" s="91" t="str">
        <x:f>TEXT(B215,"m/d")</x:f>
        <x:v>4/22</x:v>
      </x:c>
    </x:row>
    <x:row r="216" ht="22" customHeight="1">
      <x:c r="B216" s="85" t="n">
        <x:v>45770</x:v>
      </x:c>
      <x:c r="C216" s="84" t="n">
        <x:v>4</x:v>
      </x:c>
      <x:c r="D216" s="88" t="n">
        <x:v>1.303879</x:v>
      </x:c>
      <x:c r="E216" s="89">
        <x:f>INDEX('增长质量'!$C$62:$N$62,1,C216)</x:f>
        <x:v>65880</x:v>
      </x:c>
      <x:c r="F216" s="89">
        <x:f>E216*D216/SUMIFS($D$104:$D$468,$C$104:$C$468,C216)</x:f>
        <x:v>2154.25512062112</x:v>
      </x:c>
      <x:c r="G216" s="90">
        <x:f>F216/10000</x:f>
        <x:v>0.215425512062112</x:v>
      </x:c>
      <x:c r="H216" s="90">
        <x:f>AVERAGE(G210:G216)</x:f>
        <x:v>0.136287478684746</x:v>
      </x:c>
      <x:c r="I216" s="91" t="str">
        <x:f>TEXT(B216,"m/d")</x:f>
        <x:v>4/23</x:v>
      </x:c>
    </x:row>
    <x:row r="217" ht="22" customHeight="1">
      <x:c r="B217" s="85" t="n">
        <x:v>45771</x:v>
      </x:c>
      <x:c r="C217" s="84" t="n">
        <x:v>4</x:v>
      </x:c>
      <x:c r="D217" s="88" t="n">
        <x:v>1.75328</x:v>
      </x:c>
      <x:c r="E217" s="89">
        <x:f>INDEX('增长质量'!$C$62:$N$62,1,C217)</x:f>
        <x:v>65880</x:v>
      </x:c>
      <x:c r="F217" s="89">
        <x:f>E217*D217/SUMIFS($D$104:$D$468,$C$104:$C$468,C217)</x:f>
        <x:v>2896.75070913987</x:v>
      </x:c>
      <x:c r="G217" s="90">
        <x:f>F217/10000</x:f>
        <x:v>0.289675070913987</x:v>
      </x:c>
      <x:c r="H217" s="90">
        <x:f>AVERAGE(G211:G217)</x:f>
        <x:v>0.149443698011842</x:v>
      </x:c>
      <x:c r="I217" s="91" t="str">
        <x:f>TEXT(B217,"m/d")</x:f>
        <x:v>4/24</x:v>
      </x:c>
    </x:row>
    <x:row r="218" ht="22" customHeight="1">
      <x:c r="B218" s="85" t="n">
        <x:v>45772</x:v>
      </x:c>
      <x:c r="C218" s="84" t="n">
        <x:v>4</x:v>
      </x:c>
      <x:c r="D218" s="88" t="n">
        <x:v>2.994293</x:v>
      </x:c>
      <x:c r="E218" s="89">
        <x:f>INDEX('增长质量'!$C$62:$N$62,1,C218)</x:f>
        <x:v>65880</x:v>
      </x:c>
      <x:c r="F218" s="89">
        <x:f>E218*D218/SUMIFS($D$104:$D$468,$C$104:$C$468,C218)</x:f>
        <x:v>4947.13928814711</x:v>
      </x:c>
      <x:c r="G218" s="90">
        <x:f>F218/10000</x:f>
        <x:v>0.494713928814711</x:v>
      </x:c>
      <x:c r="H218" s="90">
        <x:f>AVERAGE(G212:G218)</x:f>
        <x:v>0.203381688285248</x:v>
      </x:c>
      <x:c r="I218" s="91" t="str">
        <x:f>TEXT(B218,"m/d")</x:f>
        <x:v>4/25</x:v>
      </x:c>
    </x:row>
    <x:row r="219" ht="22" customHeight="1">
      <x:c r="B219" s="85" t="n">
        <x:v>45773</x:v>
      </x:c>
      <x:c r="C219" s="84" t="n">
        <x:v>4</x:v>
      </x:c>
      <x:c r="D219" s="88" t="n">
        <x:v>0.606163</x:v>
      </x:c>
      <x:c r="E219" s="89">
        <x:f>INDEX('增长质量'!$C$62:$N$62,1,C219)</x:f>
        <x:v>65880</x:v>
      </x:c>
      <x:c r="F219" s="89">
        <x:f>E219*D219/SUMIFS($D$104:$D$468,$C$104:$C$468,C219)</x:f>
        <x:v>1001.49611020736</x:v>
      </x:c>
      <x:c r="G219" s="90">
        <x:f>F219/10000</x:f>
        <x:v>0.100149611020736</x:v>
      </x:c>
      <x:c r="H219" s="90">
        <x:f>AVERAGE(G213:G219)</x:f>
        <x:v>0.210534913293051</x:v>
      </x:c>
      <x:c r="I219" s="91" t="str">
        <x:f>TEXT(B219,"m/d")</x:f>
        <x:v>4/26</x:v>
      </x:c>
    </x:row>
    <x:row r="220" ht="22" customHeight="1">
      <x:c r="B220" s="85" t="n">
        <x:v>45774</x:v>
      </x:c>
      <x:c r="C220" s="84" t="n">
        <x:v>4</x:v>
      </x:c>
      <x:c r="D220" s="88" t="n">
        <x:v>0.588277</x:v>
      </x:c>
      <x:c r="E220" s="89">
        <x:f>INDEX('增长质量'!$C$62:$N$62,1,C220)</x:f>
        <x:v>65880</x:v>
      </x:c>
      <x:c r="F220" s="89">
        <x:f>E220*D220/SUMIFS($D$104:$D$468,$C$104:$C$468,C220)</x:f>
        <x:v>971.945049804183</x:v>
      </x:c>
      <x:c r="G220" s="90">
        <x:f>F220/10000</x:f>
        <x:v>0.0971945049804183</x:v>
      </x:c>
      <x:c r="H220" s="90">
        <x:f>AVERAGE(G214:G220)</x:f>
        <x:v>0.221282641656167</x:v>
      </x:c>
      <x:c r="I220" s="91" t="str">
        <x:f>TEXT(B220,"m/d")</x:f>
        <x:v>4/27</x:v>
      </x:c>
    </x:row>
    <x:row r="221" ht="22" customHeight="1">
      <x:c r="B221" s="85" t="n">
        <x:v>45775</x:v>
      </x:c>
      <x:c r="C221" s="84" t="n">
        <x:v>4</x:v>
      </x:c>
      <x:c r="D221" s="88" t="n">
        <x:v>2.586959</x:v>
      </x:c>
      <x:c r="E221" s="89">
        <x:f>INDEX('增长质量'!$C$62:$N$62,1,C221)</x:f>
        <x:v>65880</x:v>
      </x:c>
      <x:c r="F221" s="89">
        <x:f>E221*D221/SUMIFS($D$104:$D$468,$C$104:$C$468,C221)</x:f>
        <x:v>4274.14635298742</x:v>
      </x:c>
      <x:c r="G221" s="90">
        <x:f>F221/10000</x:f>
        <x:v>0.427414635298742</x:v>
      </x:c>
      <x:c r="H221" s="90">
        <x:f>AVERAGE(G215:G221)</x:f>
        <x:v>0.271722285999926</x:v>
      </x:c>
      <x:c r="I221" s="91" t="str">
        <x:f>TEXT(B221,"m/d")</x:f>
        <x:v>4/28</x:v>
      </x:c>
    </x:row>
    <x:row r="222" ht="22" customHeight="1">
      <x:c r="B222" s="85" t="n">
        <x:v>45776</x:v>
      </x:c>
      <x:c r="C222" s="84" t="n">
        <x:v>4</x:v>
      </x:c>
      <x:c r="D222" s="88" t="n">
        <x:v>6.100446</x:v>
      </x:c>
      <x:c r="E222" s="89">
        <x:f>INDEX('增长质量'!$C$62:$N$62,1,C222)</x:f>
        <x:v>65880</x:v>
      </x:c>
      <x:c r="F222" s="89">
        <x:f>E222*D222/SUMIFS($D$104:$D$468,$C$104:$C$468,C222)</x:f>
        <x:v>10079.0924875488</x:v>
      </x:c>
      <x:c r="G222" s="90">
        <x:f>F222/10000</x:f>
        <x:v>1.00790924875488</x:v>
      </x:c>
      <x:c r="H222" s="90">
        <x:f>AVERAGE(G216:G222)</x:f>
        <x:v>0.376068930263655</x:v>
      </x:c>
      <x:c r="I222" s="91" t="str">
        <x:f>TEXT(B222,"m/d")</x:f>
        <x:v>4/29</x:v>
      </x:c>
    </x:row>
    <x:row r="223" ht="22" customHeight="1">
      <x:c r="B223" s="85" t="n">
        <x:v>45777</x:v>
      </x:c>
      <x:c r="C223" s="84" t="n">
        <x:v>4</x:v>
      </x:c>
      <x:c r="D223" s="88" t="n">
        <x:v>2.927581</x:v>
      </x:c>
      <x:c r="E223" s="89">
        <x:f>INDEX('增长质量'!$C$62:$N$62,1,C223)</x:f>
        <x:v>65880</x:v>
      </x:c>
      <x:c r="F223" s="89">
        <x:f>E223*D223/SUMIFS($D$104:$D$468,$C$104:$C$468,C223)</x:f>
        <x:v>4836.91842592992</x:v>
      </x:c>
      <x:c r="G223" s="90">
        <x:f>F223/10000</x:f>
        <x:v>0.483691842592992</x:v>
      </x:c>
      <x:c r="H223" s="90">
        <x:f>AVERAGE(G217:G223)</x:f>
        <x:v>0.414392691768066</x:v>
      </x:c>
      <x:c r="I223" s="91" t="str">
        <x:f>TEXT(B223,"m/d")</x:f>
        <x:v>4/30</x:v>
      </x:c>
    </x:row>
    <x:row r="224" ht="22" customHeight="1">
      <x:c r="B224" s="85" t="n">
        <x:v>45778</x:v>
      </x:c>
      <x:c r="C224" s="84" t="n">
        <x:v>5</x:v>
      </x:c>
      <x:c r="D224" s="88" t="n">
        <x:v>0.677852</x:v>
      </x:c>
      <x:c r="E224" s="89">
        <x:f>INDEX('增长质量'!$C$62:$N$62,1,C224)</x:f>
        <x:v>68511</x:v>
      </x:c>
      <x:c r="F224" s="89">
        <x:f>E224*D224/SUMIFS($D$104:$D$468,$C$104:$C$468,C224)</x:f>
        <x:v>1256.15066336553</x:v>
      </x:c>
      <x:c r="G224" s="90">
        <x:f>F224/10000</x:f>
        <x:v>0.125615066336553</x:v>
      </x:c>
      <x:c r="H224" s="90">
        <x:f>AVERAGE(G218:G224)</x:f>
        <x:v>0.390955548257004</x:v>
      </x:c>
      <x:c r="I224" s="91" t="str">
        <x:f>TEXT(B224,"m/d")</x:f>
        <x:v>5/1</x:v>
      </x:c>
    </x:row>
    <x:row r="225" ht="22" customHeight="1">
      <x:c r="B225" s="85" t="n">
        <x:v>45779</x:v>
      </x:c>
      <x:c r="C225" s="84" t="n">
        <x:v>5</x:v>
      </x:c>
      <x:c r="D225" s="88" t="n">
        <x:v>2.019933</x:v>
      </x:c>
      <x:c r="E225" s="89">
        <x:f>INDEX('增长质量'!$C$62:$N$62,1,C225)</x:f>
        <x:v>68511</x:v>
      </x:c>
      <x:c r="F225" s="89">
        <x:f>E225*D225/SUMIFS($D$104:$D$468,$C$104:$C$468,C225)</x:f>
        <x:v>3743.20674410333</x:v>
      </x:c>
      <x:c r="G225" s="90">
        <x:f>F225/10000</x:f>
        <x:v>0.374320674410333</x:v>
      </x:c>
      <x:c r="H225" s="90">
        <x:f>AVERAGE(G219:G225)</x:f>
        <x:v>0.373756511913522</x:v>
      </x:c>
      <x:c r="I225" s="91" t="str">
        <x:f>TEXT(B225,"m/d")</x:f>
        <x:v>5/2</x:v>
      </x:c>
    </x:row>
    <x:row r="226" ht="22" customHeight="1">
      <x:c r="B226" s="85" t="n">
        <x:v>45780</x:v>
      </x:c>
      <x:c r="C226" s="84" t="n">
        <x:v>5</x:v>
      </x:c>
      <x:c r="D226" s="88" t="n">
        <x:v>0.351145</x:v>
      </x:c>
      <x:c r="E226" s="89">
        <x:f>INDEX('增长质量'!$C$62:$N$62,1,C226)</x:f>
        <x:v>68511</x:v>
      </x:c>
      <x:c r="F226" s="89">
        <x:f>E226*D226/SUMIFS($D$104:$D$468,$C$104:$C$468,C226)</x:f>
        <x:v>650.718777384282</x:v>
      </x:c>
      <x:c r="G226" s="90">
        <x:f>F226/10000</x:f>
        <x:v>0.0650718777384282</x:v>
      </x:c>
      <x:c r="H226" s="90">
        <x:f>AVERAGE(G220:G226)</x:f>
        <x:v>0.368745407158906</x:v>
      </x:c>
      <x:c r="I226" s="91" t="str">
        <x:f>TEXT(B226,"m/d")</x:f>
        <x:v>5/3</x:v>
      </x:c>
    </x:row>
    <x:row r="227" ht="22" customHeight="1">
      <x:c r="B227" s="85" t="n">
        <x:v>45781</x:v>
      </x:c>
      <x:c r="C227" s="84" t="n">
        <x:v>5</x:v>
      </x:c>
      <x:c r="D227" s="88" t="n">
        <x:v>0.247591</x:v>
      </x:c>
      <x:c r="E227" s="89">
        <x:f>INDEX('增长质量'!$C$62:$N$62,1,C227)</x:f>
        <x:v>68511</x:v>
      </x:c>
      <x:c r="F227" s="89">
        <x:f>E227*D227/SUMIFS($D$104:$D$468,$C$104:$C$468,C227)</x:f>
        <x:v>458.819327660516</x:v>
      </x:c>
      <x:c r="G227" s="90">
        <x:f>F227/10000</x:f>
        <x:v>0.0458819327660516</x:v>
      </x:c>
      <x:c r="H227" s="90">
        <x:f>AVERAGE(G221:G227)</x:f>
        <x:v>0.361415039699711</x:v>
      </x:c>
      <x:c r="I227" s="91" t="str">
        <x:f>TEXT(B227,"m/d")</x:f>
        <x:v>5/4</x:v>
      </x:c>
    </x:row>
    <x:row r="228" ht="22" customHeight="1">
      <x:c r="B228" s="85" t="n">
        <x:v>45782</x:v>
      </x:c>
      <x:c r="C228" s="84" t="n">
        <x:v>5</x:v>
      </x:c>
      <x:c r="D228" s="88" t="n">
        <x:v>0.602043</x:v>
      </x:c>
      <x:c r="E228" s="89">
        <x:f>INDEX('增长质量'!$C$62:$N$62,1,C228)</x:f>
        <x:v>68511</x:v>
      </x:c>
      <x:c r="F228" s="89">
        <x:f>E228*D228/SUMIFS($D$104:$D$468,$C$104:$C$468,C228)</x:f>
        <x:v>1115.66641954966</x:v>
      </x:c>
      <x:c r="G228" s="90">
        <x:f>F228/10000</x:f>
        <x:v>0.111566641954966</x:v>
      </x:c>
      <x:c r="H228" s="90">
        <x:f>AVERAGE(G222:G228)</x:f>
        <x:v>0.316293897793457</x:v>
      </x:c>
      <x:c r="I228" s="91" t="str">
        <x:f>TEXT(B228,"m/d")</x:f>
        <x:v>5/5</x:v>
      </x:c>
    </x:row>
    <x:row r="229" ht="22" customHeight="1">
      <x:c r="B229" s="85" t="n">
        <x:v>45783</x:v>
      </x:c>
      <x:c r="C229" s="84" t="n">
        <x:v>5</x:v>
      </x:c>
      <x:c r="D229" s="88" t="n">
        <x:v>0.923518</x:v>
      </x:c>
      <x:c r="E229" s="89">
        <x:f>INDEX('增长质量'!$C$62:$N$62,1,C229)</x:f>
        <x:v>68511</x:v>
      </x:c>
      <x:c r="F229" s="89">
        <x:f>E229*D229/SUMIFS($D$104:$D$468,$C$104:$C$468,C229)</x:f>
        <x:v>1711.4027078625</x:v>
      </x:c>
      <x:c r="G229" s="90">
        <x:f>F229/10000</x:f>
        <x:v>0.17114027078625</x:v>
      </x:c>
      <x:c r="H229" s="90">
        <x:f>AVERAGE(G223:G229)</x:f>
        <x:v>0.196755472369368</x:v>
      </x:c>
      <x:c r="I229" s="91" t="str">
        <x:f>TEXT(B229,"m/d")</x:f>
        <x:v>5/6</x:v>
      </x:c>
    </x:row>
    <x:row r="230" ht="22" customHeight="1">
      <x:c r="B230" s="85" t="n">
        <x:v>45784</x:v>
      </x:c>
      <x:c r="C230" s="84" t="n">
        <x:v>5</x:v>
      </x:c>
      <x:c r="D230" s="88" t="n">
        <x:v>1.511839</x:v>
      </x:c>
      <x:c r="E230" s="89">
        <x:f>INDEX('增长质量'!$C$62:$N$62,1,C230)</x:f>
        <x:v>68511</x:v>
      </x:c>
      <x:c r="F230" s="89">
        <x:f>E230*D230/SUMIFS($D$104:$D$468,$C$104:$C$468,C230)</x:f>
        <x:v>2801.64042114191</x:v>
      </x:c>
      <x:c r="G230" s="90">
        <x:f>F230/10000</x:f>
        <x:v>0.280164042114191</x:v>
      </x:c>
      <x:c r="H230" s="90">
        <x:f>AVERAGE(G224:G230)</x:f>
        <x:v>0.167680072300968</x:v>
      </x:c>
      <x:c r="I230" s="91" t="str">
        <x:f>TEXT(B230,"m/d")</x:f>
        <x:v>5/7</x:v>
      </x:c>
    </x:row>
    <x:row r="231" ht="22" customHeight="1">
      <x:c r="B231" s="85" t="n">
        <x:v>45785</x:v>
      </x:c>
      <x:c r="C231" s="84" t="n">
        <x:v>5</x:v>
      </x:c>
      <x:c r="D231" s="88" t="n">
        <x:v>1.123432</x:v>
      </x:c>
      <x:c r="E231" s="89">
        <x:f>INDEX('增长质量'!$C$62:$N$62,1,C231)</x:f>
        <x:v>68511</x:v>
      </x:c>
      <x:c r="F231" s="89">
        <x:f>E231*D231/SUMIFS($D$104:$D$468,$C$104:$C$468,C231)</x:f>
        <x:v>2081.87016051597</x:v>
      </x:c>
      <x:c r="G231" s="90">
        <x:f>F231/10000</x:f>
        <x:v>0.208187016051597</x:v>
      </x:c>
      <x:c r="H231" s="90">
        <x:f>AVERAGE(G225:G231)</x:f>
        <x:v>0.179476065117402</x:v>
      </x:c>
      <x:c r="I231" s="91" t="str">
        <x:f>TEXT(B231,"m/d")</x:f>
        <x:v>5/8</x:v>
      </x:c>
    </x:row>
    <x:row r="232" ht="22" customHeight="1">
      <x:c r="B232" s="85" t="n">
        <x:v>45786</x:v>
      </x:c>
      <x:c r="C232" s="84" t="n">
        <x:v>5</x:v>
      </x:c>
      <x:c r="D232" s="88" t="n">
        <x:v>1.43101</x:v>
      </x:c>
      <x:c r="E232" s="89">
        <x:f>INDEX('增长质量'!$C$62:$N$62,1,C232)</x:f>
        <x:v>68511</x:v>
      </x:c>
      <x:c r="F232" s="89">
        <x:f>E232*D232/SUMIFS($D$104:$D$468,$C$104:$C$468,C232)</x:f>
        <x:v>2651.85344408914</x:v>
      </x:c>
      <x:c r="G232" s="90">
        <x:f>F232/10000</x:f>
        <x:v>0.265185344408914</x:v>
      </x:c>
      <x:c r="H232" s="90">
        <x:f>AVERAGE(G226:G232)</x:f>
        <x:v>0.163885303688628</x:v>
      </x:c>
      <x:c r="I232" s="91" t="str">
        <x:f>TEXT(B232,"m/d")</x:f>
        <x:v>5/9</x:v>
      </x:c>
    </x:row>
    <x:row r="233" ht="22" customHeight="1">
      <x:c r="B233" s="85" t="n">
        <x:v>45787</x:v>
      </x:c>
      <x:c r="C233" s="84" t="n">
        <x:v>5</x:v>
      </x:c>
      <x:c r="D233" s="88" t="n">
        <x:v>0.554068</x:v>
      </x:c>
      <x:c r="E233" s="89">
        <x:f>INDEX('增长质量'!$C$62:$N$62,1,C233)</x:f>
        <x:v>68511</x:v>
      </x:c>
      <x:c r="F233" s="89">
        <x:f>E233*D233/SUMIFS($D$104:$D$468,$C$104:$C$468,C233)</x:f>
        <x:v>1026.76231057755</x:v>
      </x:c>
      <x:c r="G233" s="90">
        <x:f>F233/10000</x:f>
        <x:v>0.102676231057755</x:v>
      </x:c>
      <x:c r="H233" s="90">
        <x:f>AVERAGE(G227:G233)</x:f>
        <x:v>0.169257354162818</x:v>
      </x:c>
      <x:c r="I233" s="91" t="str">
        <x:f>TEXT(B233,"m/d")</x:f>
        <x:v>5/10</x:v>
      </x:c>
    </x:row>
    <x:row r="234" ht="22" customHeight="1">
      <x:c r="B234" s="85" t="n">
        <x:v>45788</x:v>
      </x:c>
      <x:c r="C234" s="84" t="n">
        <x:v>5</x:v>
      </x:c>
      <x:c r="D234" s="88" t="n">
        <x:v>0.400081</x:v>
      </x:c>
      <x:c r="E234" s="89">
        <x:f>INDEX('增长质量'!$C$62:$N$62,1,C234)</x:f>
        <x:v>68511</x:v>
      </x:c>
      <x:c r="F234" s="89">
        <x:f>E234*D234/SUMIFS($D$104:$D$468,$C$104:$C$468,C234)</x:f>
        <x:v>741.403748236999</x:v>
      </x:c>
      <x:c r="G234" s="90">
        <x:f>F234/10000</x:f>
        <x:v>0.0741403748236999</x:v>
      </x:c>
      <x:c r="H234" s="90">
        <x:f>AVERAGE(G228:G234)</x:f>
        <x:v>0.173294274456768</x:v>
      </x:c>
      <x:c r="I234" s="91" t="str">
        <x:f>TEXT(B234,"m/d")</x:f>
        <x:v>5/11</x:v>
      </x:c>
    </x:row>
    <x:row r="235" ht="22" customHeight="1">
      <x:c r="B235" s="85" t="n">
        <x:v>45789</x:v>
      </x:c>
      <x:c r="C235" s="84" t="n">
        <x:v>5</x:v>
      </x:c>
      <x:c r="D235" s="88" t="n">
        <x:v>1.537352</x:v>
      </x:c>
      <x:c r="E235" s="89">
        <x:f>INDEX('增长质量'!$C$62:$N$62,1,C235)</x:f>
        <x:v>68511</x:v>
      </x:c>
      <x:c r="F235" s="89">
        <x:f>E235*D235/SUMIFS($D$104:$D$468,$C$104:$C$468,C235)</x:f>
        <x:v>2848.9194317142</x:v>
      </x:c>
      <x:c r="G235" s="90">
        <x:f>F235/10000</x:f>
        <x:v>0.28489194317142</x:v>
      </x:c>
      <x:c r="H235" s="90">
        <x:f>AVERAGE(G229:G235)</x:f>
        <x:v>0.198055031773404</x:v>
      </x:c>
      <x:c r="I235" s="91" t="str">
        <x:f>TEXT(B235,"m/d")</x:f>
        <x:v>5/12</x:v>
      </x:c>
    </x:row>
    <x:row r="236" ht="22" customHeight="1">
      <x:c r="B236" s="85" t="n">
        <x:v>45790</x:v>
      </x:c>
      <x:c r="C236" s="84" t="n">
        <x:v>5</x:v>
      </x:c>
      <x:c r="D236" s="88" t="n">
        <x:v>0.961913</x:v>
      </x:c>
      <x:c r="E236" s="89">
        <x:f>INDEX('增长质量'!$C$62:$N$62,1,C236)</x:f>
        <x:v>68511</x:v>
      </x:c>
      <x:c r="F236" s="89">
        <x:f>E236*D236/SUMIFS($D$104:$D$468,$C$104:$C$468,C236)</x:f>
        <x:v>1782.55379205185</x:v>
      </x:c>
      <x:c r="G236" s="90">
        <x:f>F236/10000</x:f>
        <x:v>0.178255379205185</x:v>
      </x:c>
      <x:c r="H236" s="90">
        <x:f>AVERAGE(G230:G236)</x:f>
        <x:v>0.199071475833252</x:v>
      </x:c>
      <x:c r="I236" s="91" t="str">
        <x:f>TEXT(B236,"m/d")</x:f>
        <x:v>5/13</x:v>
      </x:c>
    </x:row>
    <x:row r="237" ht="22" customHeight="1">
      <x:c r="B237" s="85" t="n">
        <x:v>45791</x:v>
      </x:c>
      <x:c r="C237" s="84" t="n">
        <x:v>5</x:v>
      </x:c>
      <x:c r="D237" s="88" t="n">
        <x:v>0.806773</x:v>
      </x:c>
      <x:c r="E237" s="89">
        <x:f>INDEX('增长质量'!$C$62:$N$62,1,C237)</x:f>
        <x:v>68511</x:v>
      </x:c>
      <x:c r="F237" s="89">
        <x:f>E237*D237/SUMIFS($D$104:$D$468,$C$104:$C$468,C237)</x:f>
        <x:v>1495.05856608139</x:v>
      </x:c>
      <x:c r="G237" s="90">
        <x:f>F237/10000</x:f>
        <x:v>0.149505856608139</x:v>
      </x:c>
      <x:c r="H237" s="90">
        <x:f>AVERAGE(G231:G237)</x:f>
        <x:v>0.180406020760959</x:v>
      </x:c>
      <x:c r="I237" s="91" t="str">
        <x:f>TEXT(B237,"m/d")</x:f>
        <x:v>5/14</x:v>
      </x:c>
    </x:row>
    <x:row r="238" ht="22" customHeight="1">
      <x:c r="B238" s="85" t="n">
        <x:v>45792</x:v>
      </x:c>
      <x:c r="C238" s="84" t="n">
        <x:v>5</x:v>
      </x:c>
      <x:c r="D238" s="88" t="n">
        <x:v>1.462519</x:v>
      </x:c>
      <x:c r="E238" s="89">
        <x:f>INDEX('增长质量'!$C$62:$N$62,1,C238)</x:f>
        <x:v>68511</x:v>
      </x:c>
      <x:c r="F238" s="89">
        <x:f>E238*D238/SUMIFS($D$104:$D$468,$C$104:$C$468,C238)</x:f>
        <x:v>2710.24384679059</x:v>
      </x:c>
      <x:c r="G238" s="90">
        <x:f>F238/10000</x:f>
        <x:v>0.271024384679059</x:v>
      </x:c>
      <x:c r="H238" s="90">
        <x:f>AVERAGE(G232:G238)</x:f>
        <x:v>0.189382787707739</x:v>
      </x:c>
      <x:c r="I238" s="91" t="str">
        <x:f>TEXT(B238,"m/d")</x:f>
        <x:v>5/15</x:v>
      </x:c>
    </x:row>
    <x:row r="239" ht="22" customHeight="1">
      <x:c r="B239" s="85" t="n">
        <x:v>45793</x:v>
      </x:c>
      <x:c r="C239" s="84" t="n">
        <x:v>5</x:v>
      </x:c>
      <x:c r="D239" s="88" t="n">
        <x:v>0.996852</x:v>
      </x:c>
      <x:c r="E239" s="89">
        <x:f>INDEX('增长质量'!$C$62:$N$62,1,C239)</x:f>
        <x:v>68511</x:v>
      </x:c>
      <x:c r="F239" s="89">
        <x:f>E239*D239/SUMIFS($D$104:$D$468,$C$104:$C$468,C239)</x:f>
        <x:v>1847.30044475381</x:v>
      </x:c>
      <x:c r="G239" s="90">
        <x:f>F239/10000</x:f>
        <x:v>0.184730044475381</x:v>
      </x:c>
      <x:c r="H239" s="90">
        <x:f>AVERAGE(G233:G239)</x:f>
        <x:v>0.17788917343152</x:v>
      </x:c>
      <x:c r="I239" s="91" t="str">
        <x:f>TEXT(B239,"m/d")</x:f>
        <x:v>5/16</x:v>
      </x:c>
    </x:row>
    <x:row r="240" ht="22" customHeight="1">
      <x:c r="B240" s="85" t="n">
        <x:v>45794</x:v>
      </x:c>
      <x:c r="C240" s="84" t="n">
        <x:v>5</x:v>
      </x:c>
      <x:c r="D240" s="88" t="n">
        <x:v>0.493011</x:v>
      </x:c>
      <x:c r="E240" s="89">
        <x:f>INDEX('增长质量'!$C$62:$N$62,1,C240)</x:f>
        <x:v>68511</x:v>
      </x:c>
      <x:c r="F240" s="89">
        <x:f>E240*D240/SUMIFS($D$104:$D$468,$C$104:$C$468,C240)</x:f>
        <x:v>913.615501166192</x:v>
      </x:c>
      <x:c r="G240" s="90">
        <x:f>F240/10000</x:f>
        <x:v>0.0913615501166192</x:v>
      </x:c>
      <x:c r="H240" s="90">
        <x:f>AVERAGE(G234:G240)</x:f>
        <x:v>0.176272790439929</x:v>
      </x:c>
      <x:c r="I240" s="91" t="str">
        <x:f>TEXT(B240,"m/d")</x:f>
        <x:v>5/17</x:v>
      </x:c>
    </x:row>
    <x:row r="241" ht="22" customHeight="1">
      <x:c r="B241" s="85" t="n">
        <x:v>45795</x:v>
      </x:c>
      <x:c r="C241" s="84" t="n">
        <x:v>5</x:v>
      </x:c>
      <x:c r="D241" s="88" t="n">
        <x:v>0.388789</x:v>
      </x:c>
      <x:c r="E241" s="89">
        <x:f>INDEX('增长质量'!$C$62:$N$62,1,C241)</x:f>
        <x:v>68511</x:v>
      </x:c>
      <x:c r="F241" s="89">
        <x:f>E241*D241/SUMIFS($D$104:$D$468,$C$104:$C$468,C241)</x:f>
        <x:v>720.478157856321</x:v>
      </x:c>
      <x:c r="G241" s="90">
        <x:f>F241/10000</x:f>
        <x:v>0.0720478157856321</x:v>
      </x:c>
      <x:c r="H241" s="90">
        <x:f>AVERAGE(G235:G241)</x:f>
        <x:v>0.175973853434491</x:v>
      </x:c>
      <x:c r="I241" s="91" t="str">
        <x:f>TEXT(B241,"m/d")</x:f>
        <x:v>5/18</x:v>
      </x:c>
    </x:row>
    <x:row r="242" ht="22" customHeight="1">
      <x:c r="B242" s="85" t="n">
        <x:v>45796</x:v>
      </x:c>
      <x:c r="C242" s="84" t="n">
        <x:v>5</x:v>
      </x:c>
      <x:c r="D242" s="88" t="n">
        <x:v>1.664659</x:v>
      </x:c>
      <x:c r="E242" s="89">
        <x:f>INDEX('增长质量'!$C$62:$N$62,1,C242)</x:f>
        <x:v>68511</x:v>
      </x:c>
      <x:c r="F242" s="89">
        <x:f>E242*D242/SUMIFS($D$104:$D$468,$C$104:$C$468,C242)</x:f>
        <x:v>3084.836375975</x:v>
      </x:c>
      <x:c r="G242" s="90">
        <x:f>F242/10000</x:f>
        <x:v>0.3084836375975</x:v>
      </x:c>
      <x:c r="H242" s="90">
        <x:f>AVERAGE(G236:G242)</x:f>
        <x:v>0.179344095495359</x:v>
      </x:c>
      <x:c r="I242" s="91" t="str">
        <x:f>TEXT(B242,"m/d")</x:f>
        <x:v>5/19</x:v>
      </x:c>
    </x:row>
    <x:row r="243" ht="22" customHeight="1">
      <x:c r="B243" s="85" t="n">
        <x:v>45797</x:v>
      </x:c>
      <x:c r="C243" s="84" t="n">
        <x:v>5</x:v>
      </x:c>
      <x:c r="D243" s="88" t="n">
        <x:v>1.946339</x:v>
      </x:c>
      <x:c r="E243" s="89">
        <x:f>INDEX('增长质量'!$C$62:$N$62,1,C243)</x:f>
        <x:v>68511</x:v>
      </x:c>
      <x:c r="F243" s="89">
        <x:f>E243*D243/SUMIFS($D$104:$D$468,$C$104:$C$468,C243)</x:f>
        <x:v>3606.82719234318</x:v>
      </x:c>
      <x:c r="G243" s="90">
        <x:f>F243/10000</x:f>
        <x:v>0.360682719234318</x:v>
      </x:c>
      <x:c r="H243" s="90">
        <x:f>AVERAGE(G237:G243)</x:f>
        <x:v>0.20540514407095</x:v>
      </x:c>
      <x:c r="I243" s="91" t="str">
        <x:f>TEXT(B243,"m/d")</x:f>
        <x:v>5/20</x:v>
      </x:c>
    </x:row>
    <x:row r="244" ht="22" customHeight="1">
      <x:c r="B244" s="85" t="n">
        <x:v>45798</x:v>
      </x:c>
      <x:c r="C244" s="84" t="n">
        <x:v>5</x:v>
      </x:c>
      <x:c r="D244" s="88" t="n">
        <x:v>0.793751</x:v>
      </x:c>
      <x:c r="E244" s="89">
        <x:f>INDEX('增长质量'!$C$62:$N$62,1,C244)</x:f>
        <x:v>68511</x:v>
      </x:c>
      <x:c r="F244" s="89">
        <x:f>E244*D244/SUMIFS($D$104:$D$468,$C$104:$C$468,C244)</x:f>
        <x:v>1470.92705368879</x:v>
      </x:c>
      <x:c r="G244" s="90">
        <x:f>F244/10000</x:f>
        <x:v>0.147092705368879</x:v>
      </x:c>
      <x:c r="H244" s="90">
        <x:f>AVERAGE(G238:G244)</x:f>
        <x:v>0.205060408179627</x:v>
      </x:c>
      <x:c r="I244" s="91" t="str">
        <x:f>TEXT(B244,"m/d")</x:f>
        <x:v>5/21</x:v>
      </x:c>
    </x:row>
    <x:row r="245" ht="22" customHeight="1">
      <x:c r="B245" s="85" t="n">
        <x:v>45799</x:v>
      </x:c>
      <x:c r="C245" s="84" t="n">
        <x:v>5</x:v>
      </x:c>
      <x:c r="D245" s="88" t="n">
        <x:v>1.657715</x:v>
      </x:c>
      <x:c r="E245" s="89">
        <x:f>INDEX('增长质量'!$C$62:$N$62,1,C245)</x:f>
        <x:v>68511</x:v>
      </x:c>
      <x:c r="F245" s="89">
        <x:f>E245*D245/SUMIFS($D$104:$D$468,$C$104:$C$468,C245)</x:f>
        <x:v>3071.96821270867</x:v>
      </x:c>
      <x:c r="G245" s="90">
        <x:f>F245/10000</x:f>
        <x:v>0.307196821270867</x:v>
      </x:c>
      <x:c r="H245" s="90">
        <x:f>AVERAGE(G239:G245)</x:f>
        <x:v>0.210227899121314</x:v>
      </x:c>
      <x:c r="I245" s="91" t="str">
        <x:f>TEXT(B245,"m/d")</x:f>
        <x:v>5/22</x:v>
      </x:c>
    </x:row>
    <x:row r="246" ht="22" customHeight="1">
      <x:c r="B246" s="85" t="n">
        <x:v>45800</x:v>
      </x:c>
      <x:c r="C246" s="84" t="n">
        <x:v>5</x:v>
      </x:c>
      <x:c r="D246" s="88" t="n">
        <x:v>0.400926</x:v>
      </x:c>
      <x:c r="E246" s="89">
        <x:f>INDEX('增长质量'!$C$62:$N$62,1,C246)</x:f>
        <x:v>68511</x:v>
      </x:c>
      <x:c r="F246" s="89">
        <x:f>E246*D246/SUMIFS($D$104:$D$468,$C$104:$C$468,C246)</x:f>
        <x:v>742.969646560739</x:v>
      </x:c>
      <x:c r="G246" s="90">
        <x:f>F246/10000</x:f>
        <x:v>0.0742969646560739</x:v>
      </x:c>
      <x:c r="H246" s="90">
        <x:f>AVERAGE(G240:G246)</x:f>
        <x:v>0.194451744861413</x:v>
      </x:c>
      <x:c r="I246" s="91" t="str">
        <x:f>TEXT(B246,"m/d")</x:f>
        <x:v>5/23</x:v>
      </x:c>
    </x:row>
    <x:row r="247" ht="22" customHeight="1">
      <x:c r="B247" s="85" t="n">
        <x:v>45801</x:v>
      </x:c>
      <x:c r="C247" s="84" t="n">
        <x:v>5</x:v>
      </x:c>
      <x:c r="D247" s="88" t="n">
        <x:v>0.525658</x:v>
      </x:c>
      <x:c r="E247" s="89">
        <x:f>INDEX('增长质量'!$C$62:$N$62,1,C247)</x:f>
        <x:v>68511</x:v>
      </x:c>
      <x:c r="F247" s="89">
        <x:f>E247*D247/SUMIFS($D$104:$D$468,$C$104:$C$468,C247)</x:f>
        <x:v>974.114770485888</x:v>
      </x:c>
      <x:c r="G247" s="90">
        <x:f>F247/10000</x:f>
        <x:v>0.0974114770485888</x:v>
      </x:c>
      <x:c r="H247" s="90">
        <x:f>AVERAGE(G241:G247)</x:f>
        <x:v>0.195316020137408</x:v>
      </x:c>
      <x:c r="I247" s="91" t="str">
        <x:f>TEXT(B247,"m/d")</x:f>
        <x:v>5/24</x:v>
      </x:c>
    </x:row>
    <x:row r="248" ht="22" customHeight="1">
      <x:c r="B248" s="85" t="n">
        <x:v>45802</x:v>
      </x:c>
      <x:c r="C248" s="84" t="n">
        <x:v>5</x:v>
      </x:c>
      <x:c r="D248" s="88" t="n">
        <x:v>0.224729</x:v>
      </x:c>
      <x:c r="E248" s="89">
        <x:f>INDEX('增长质量'!$C$62:$N$62,1,C248)</x:f>
        <x:v>68511</x:v>
      </x:c>
      <x:c r="F248" s="89">
        <x:f>E248*D248/SUMIFS($D$104:$D$468,$C$104:$C$468,C248)</x:f>
        <x:v>416.452975616319</x:v>
      </x:c>
      <x:c r="G248" s="90">
        <x:f>F248/10000</x:f>
        <x:v>0.0416452975616319</x:v>
      </x:c>
      <x:c r="H248" s="90">
        <x:f>AVERAGE(G242:G248)</x:f>
        <x:v>0.190972803248266</x:v>
      </x:c>
      <x:c r="I248" s="91" t="str">
        <x:f>TEXT(B248,"m/d")</x:f>
        <x:v>5/25</x:v>
      </x:c>
    </x:row>
    <x:row r="249" ht="22" customHeight="1">
      <x:c r="B249" s="85" t="n">
        <x:v>45803</x:v>
      </x:c>
      <x:c r="C249" s="84" t="n">
        <x:v>5</x:v>
      </x:c>
      <x:c r="D249" s="88" t="n">
        <x:v>1.06282</x:v>
      </x:c>
      <x:c r="E249" s="89">
        <x:f>INDEX('增长质量'!$C$62:$N$62,1,C249)</x:f>
        <x:v>68511</x:v>
      </x:c>
      <x:c r="F249" s="89">
        <x:f>E249*D249/SUMIFS($D$104:$D$468,$C$104:$C$468,C249)</x:f>
        <x:v>1969.54799578397</x:v>
      </x:c>
      <x:c r="G249" s="90">
        <x:f>F249/10000</x:f>
        <x:v>0.196954799578397</x:v>
      </x:c>
      <x:c r="H249" s="90">
        <x:f>AVERAGE(G243:G249)</x:f>
        <x:v>0.175040112102679</x:v>
      </x:c>
      <x:c r="I249" s="91" t="str">
        <x:f>TEXT(B249,"m/d")</x:f>
        <x:v>5/26</x:v>
      </x:c>
    </x:row>
    <x:row r="250" ht="22" customHeight="1">
      <x:c r="B250" s="85" t="n">
        <x:v>45804</x:v>
      </x:c>
      <x:c r="C250" s="84" t="n">
        <x:v>5</x:v>
      </x:c>
      <x:c r="D250" s="88" t="n">
        <x:v>1.574626</x:v>
      </x:c>
      <x:c r="E250" s="89">
        <x:f>INDEX('增长质量'!$C$62:$N$62,1,C250)</x:f>
        <x:v>68511</x:v>
      </x:c>
      <x:c r="F250" s="89">
        <x:f>E250*D250/SUMIFS($D$104:$D$468,$C$104:$C$468,C250)</x:f>
        <x:v>2917.99315256519</x:v>
      </x:c>
      <x:c r="G250" s="90">
        <x:f>F250/10000</x:f>
        <x:v>0.291799315256519</x:v>
      </x:c>
      <x:c r="H250" s="90">
        <x:f>AVERAGE(G244:G250)</x:f>
        <x:v>0.165199625820137</x:v>
      </x:c>
      <x:c r="I250" s="91" t="str">
        <x:f>TEXT(B250,"m/d")</x:f>
        <x:v>5/27</x:v>
      </x:c>
    </x:row>
    <x:row r="251" ht="22" customHeight="1">
      <x:c r="B251" s="85" t="n">
        <x:v>45805</x:v>
      </x:c>
      <x:c r="C251" s="84" t="n">
        <x:v>5</x:v>
      </x:c>
      <x:c r="D251" s="88" t="n">
        <x:v>1.622213</x:v>
      </x:c>
      <x:c r="E251" s="89">
        <x:f>INDEX('增长质量'!$C$62:$N$62,1,C251)</x:f>
        <x:v>68511</x:v>
      </x:c>
      <x:c r="F251" s="89">
        <x:f>E251*D251/SUMIFS($D$104:$D$468,$C$104:$C$468,C251)</x:f>
        <x:v>3006.17824550225</x:v>
      </x:c>
      <x:c r="G251" s="90">
        <x:f>F251/10000</x:f>
        <x:v>0.300617824550225</x:v>
      </x:c>
      <x:c r="H251" s="90">
        <x:f>AVERAGE(G245:G251)</x:f>
        <x:v>0.187131785703186</x:v>
      </x:c>
      <x:c r="I251" s="91" t="str">
        <x:f>TEXT(B251,"m/d")</x:f>
        <x:v>5/28</x:v>
      </x:c>
    </x:row>
    <x:row r="252" ht="22" customHeight="1">
      <x:c r="B252" s="85" t="n">
        <x:v>45806</x:v>
      </x:c>
      <x:c r="C252" s="84" t="n">
        <x:v>5</x:v>
      </x:c>
      <x:c r="D252" s="88" t="n">
        <x:v>5.100793</x:v>
      </x:c>
      <x:c r="E252" s="89">
        <x:f>INDEX('增长质量'!$C$62:$N$62,1,C252)</x:f>
        <x:v>68511</x:v>
      </x:c>
      <x:c r="F252" s="89">
        <x:f>E252*D252/SUMIFS($D$104:$D$468,$C$104:$C$468,C252)</x:f>
        <x:v>9452.45350111864</x:v>
      </x:c>
      <x:c r="G252" s="90">
        <x:f>F252/10000</x:f>
        <x:v>0.945245350111864</x:v>
      </x:c>
      <x:c r="H252" s="90">
        <x:f>AVERAGE(G246:G252)</x:f>
        <x:v>0.278281575537614</x:v>
      </x:c>
      <x:c r="I252" s="91" t="str">
        <x:f>TEXT(B252,"m/d")</x:f>
        <x:v>5/29</x:v>
      </x:c>
    </x:row>
    <x:row r="253" ht="22" customHeight="1">
      <x:c r="B253" s="85" t="n">
        <x:v>45807</x:v>
      </x:c>
      <x:c r="C253" s="84" t="n">
        <x:v>5</x:v>
      </x:c>
      <x:c r="D253" s="88" t="n">
        <x:v>2.727506</x:v>
      </x:c>
      <x:c r="E253" s="89">
        <x:f>INDEX('增长质量'!$C$62:$N$62,1,C253)</x:f>
        <x:v>68511</x:v>
      </x:c>
      <x:c r="F253" s="89">
        <x:f>E253*D253/SUMIFS($D$104:$D$468,$C$104:$C$468,C253)</x:f>
        <x:v>5054.43440637997</x:v>
      </x:c>
      <x:c r="G253" s="90">
        <x:f>F253/10000</x:f>
        <x:v>0.505443440637997</x:v>
      </x:c>
      <x:c r="H253" s="90">
        <x:f>AVERAGE(G247:G253)</x:f>
        <x:v>0.339873929249318</x:v>
      </x:c>
      <x:c r="I253" s="91" t="str">
        <x:f>TEXT(B253,"m/d")</x:f>
        <x:v>5/30</x:v>
      </x:c>
    </x:row>
    <x:row r="254" ht="22" customHeight="1">
      <x:c r="B254" s="85" t="n">
        <x:v>45808</x:v>
      </x:c>
      <x:c r="C254" s="84" t="n">
        <x:v>5</x:v>
      </x:c>
      <x:c r="D254" s="88" t="n">
        <x:v>1.178885</x:v>
      </x:c>
      <x:c r="E254" s="89">
        <x:f>INDEX('增长质量'!$C$62:$N$62,1,C254)</x:f>
        <x:v>68511</x:v>
      </x:c>
      <x:c r="F254" s="89">
        <x:f>E254*D254/SUMIFS($D$104:$D$468,$C$104:$C$468,C254)</x:f>
        <x:v>2184.63200636965</x:v>
      </x:c>
      <x:c r="G254" s="90">
        <x:f>F254/10000</x:f>
        <x:v>0.218463200636965</x:v>
      </x:c>
      <x:c r="H254" s="90">
        <x:f>AVERAGE(G248:G254)</x:f>
        <x:v>0.357167032619086</x:v>
      </x:c>
      <x:c r="I254" s="91" t="str">
        <x:f>TEXT(B254,"m/d")</x:f>
        <x:v>5/31</x:v>
      </x:c>
    </x:row>
    <x:row r="255" ht="22" customHeight="1">
      <x:c r="B255" s="85" t="n">
        <x:v>45809</x:v>
      </x:c>
      <x:c r="C255" s="84" t="n">
        <x:v>6</x:v>
      </x:c>
      <x:c r="D255" s="88" t="n">
        <x:v>0.217431</x:v>
      </x:c>
      <x:c r="E255" s="89">
        <x:f>INDEX('增长质量'!$C$62:$N$62,1,C255)</x:f>
        <x:v>73308</x:v>
      </x:c>
      <x:c r="F255" s="89">
        <x:f>E255*D255/SUMIFS($D$104:$D$468,$C$104:$C$468,C255)</x:f>
        <x:v>366.095780685283</x:v>
      </x:c>
      <x:c r="G255" s="90">
        <x:f>F255/10000</x:f>
        <x:v>0.0366095780685283</x:v>
      </x:c>
      <x:c r="H255" s="90">
        <x:f>AVERAGE(G249:G255)</x:f>
        <x:v>0.356447644120071</x:v>
      </x:c>
      <x:c r="I255" s="91" t="str">
        <x:f>TEXT(B255,"m/d")</x:f>
        <x:v>6/1</x:v>
      </x:c>
    </x:row>
    <x:row r="256" ht="22" customHeight="1">
      <x:c r="B256" s="85" t="n">
        <x:v>45810</x:v>
      </x:c>
      <x:c r="C256" s="84" t="n">
        <x:v>6</x:v>
      </x:c>
      <x:c r="D256" s="88" t="n">
        <x:v>0.858071</x:v>
      </x:c>
      <x:c r="E256" s="89">
        <x:f>INDEX('增长质量'!$C$62:$N$62,1,C256)</x:f>
        <x:v>73308</x:v>
      </x:c>
      <x:c r="F256" s="89">
        <x:f>E256*D256/SUMIFS($D$104:$D$468,$C$104:$C$468,C256)</x:f>
        <x:v>1444.76258044346</x:v>
      </x:c>
      <x:c r="G256" s="90">
        <x:f>F256/10000</x:f>
        <x:v>0.144476258044346</x:v>
      </x:c>
      <x:c r="H256" s="90">
        <x:f>AVERAGE(G250:G256)</x:f>
        <x:v>0.348950709615206</x:v>
      </x:c>
      <x:c r="I256" s="91" t="str">
        <x:f>TEXT(B256,"m/d")</x:f>
        <x:v>6/2</x:v>
      </x:c>
    </x:row>
    <x:row r="257" ht="22" customHeight="1">
      <x:c r="B257" s="85" t="n">
        <x:v>45811</x:v>
      </x:c>
      <x:c r="C257" s="84" t="n">
        <x:v>6</x:v>
      </x:c>
      <x:c r="D257" s="88" t="n">
        <x:v>1.962608</x:v>
      </x:c>
      <x:c r="E257" s="89">
        <x:f>INDEX('增长质量'!$C$62:$N$62,1,C257)</x:f>
        <x:v>73308</x:v>
      </x:c>
      <x:c r="F257" s="89">
        <x:f>E257*D257/SUMIFS($D$104:$D$468,$C$104:$C$468,C257)</x:f>
        <x:v>3304.50813333509</x:v>
      </x:c>
      <x:c r="G257" s="90">
        <x:f>F257/10000</x:f>
        <x:v>0.330450813333509</x:v>
      </x:c>
      <x:c r="H257" s="90">
        <x:f>AVERAGE(G251:G257)</x:f>
        <x:v>0.354472352197633</x:v>
      </x:c>
      <x:c r="I257" s="91" t="str">
        <x:f>TEXT(B257,"m/d")</x:f>
        <x:v>6/3</x:v>
      </x:c>
    </x:row>
    <x:row r="258" ht="22" customHeight="1">
      <x:c r="B258" s="85" t="n">
        <x:v>45812</x:v>
      </x:c>
      <x:c r="C258" s="84" t="n">
        <x:v>6</x:v>
      </x:c>
      <x:c r="D258" s="88" t="n">
        <x:v>1.171534</x:v>
      </x:c>
      <x:c r="E258" s="89">
        <x:f>INDEX('增长质量'!$C$62:$N$62,1,C258)</x:f>
        <x:v>73308</x:v>
      </x:c>
      <x:c r="F258" s="89">
        <x:f>E258*D258/SUMIFS($D$104:$D$468,$C$104:$C$468,C258)</x:f>
        <x:v>1972.55062217141</x:v>
      </x:c>
      <x:c r="G258" s="90">
        <x:f>F258/10000</x:f>
        <x:v>0.197255062217141</x:v>
      </x:c>
      <x:c r="H258" s="90">
        <x:f>AVERAGE(G252:G258)</x:f>
        <x:v>0.339706243292907</x:v>
      </x:c>
      <x:c r="I258" s="91" t="str">
        <x:f>TEXT(B258,"m/d")</x:f>
        <x:v>6/4</x:v>
      </x:c>
    </x:row>
    <x:row r="259" ht="22" customHeight="1">
      <x:c r="B259" s="85" t="n">
        <x:v>45813</x:v>
      </x:c>
      <x:c r="C259" s="84" t="n">
        <x:v>6</x:v>
      </x:c>
      <x:c r="D259" s="88" t="n">
        <x:v>0.767426</x:v>
      </x:c>
      <x:c r="E259" s="89">
        <x:f>INDEX('增长质量'!$C$62:$N$62,1,C259)</x:f>
        <x:v>73308</x:v>
      </x:c>
      <x:c r="F259" s="89">
        <x:f>E259*D259/SUMIFS($D$104:$D$468,$C$104:$C$468,C259)</x:f>
        <x:v>1292.14058983394</x:v>
      </x:c>
      <x:c r="G259" s="90">
        <x:f>F259/10000</x:f>
        <x:v>0.129214058983394</x:v>
      </x:c>
      <x:c r="H259" s="90">
        <x:f>AVERAGE(G253:G259)</x:f>
        <x:v>0.223130344560269</x:v>
      </x:c>
      <x:c r="I259" s="91" t="str">
        <x:f>TEXT(B259,"m/d")</x:f>
        <x:v>6/5</x:v>
      </x:c>
    </x:row>
    <x:row r="260" ht="22" customHeight="1">
      <x:c r="B260" s="85" t="n">
        <x:v>45814</x:v>
      </x:c>
      <x:c r="C260" s="84" t="n">
        <x:v>6</x:v>
      </x:c>
      <x:c r="D260" s="88" t="n">
        <x:v>0.814443</x:v>
      </x:c>
      <x:c r="E260" s="89">
        <x:f>INDEX('增长质量'!$C$62:$N$62,1,C260)</x:f>
        <x:v>73308</x:v>
      </x:c>
      <x:c r="F260" s="89">
        <x:f>E260*D260/SUMIFS($D$104:$D$468,$C$104:$C$468,C260)</x:f>
        <x:v>1371.30467094694</x:v>
      </x:c>
      <x:c r="G260" s="90">
        <x:f>F260/10000</x:f>
        <x:v>0.137130467094694</x:v>
      </x:c>
      <x:c r="H260" s="90">
        <x:f>AVERAGE(G254:G260)</x:f>
        <x:v>0.170514205482654</x:v>
      </x:c>
      <x:c r="I260" s="91" t="str">
        <x:f>TEXT(B260,"m/d")</x:f>
        <x:v>6/6</x:v>
      </x:c>
    </x:row>
    <x:row r="261" ht="22" customHeight="1">
      <x:c r="B261" s="85" t="n">
        <x:v>45815</x:v>
      </x:c>
      <x:c r="C261" s="84" t="n">
        <x:v>6</x:v>
      </x:c>
      <x:c r="D261" s="88" t="n">
        <x:v>0.339901</x:v>
      </x:c>
      <x:c r="E261" s="89">
        <x:f>INDEX('增长质量'!$C$62:$N$62,1,C261)</x:f>
        <x:v>73308</x:v>
      </x:c>
      <x:c r="F261" s="89">
        <x:f>E261*D261/SUMIFS($D$104:$D$468,$C$104:$C$468,C261)</x:f>
        <x:v>572.302578522421</x:v>
      </x:c>
      <x:c r="G261" s="90">
        <x:f>F261/10000</x:f>
        <x:v>0.0572302578522421</x:v>
      </x:c>
      <x:c r="H261" s="90">
        <x:f>AVERAGE(G255:G261)</x:f>
        <x:v>0.147480927941979</x:v>
      </x:c>
      <x:c r="I261" s="91" t="str">
        <x:f>TEXT(B261,"m/d")</x:f>
        <x:v>6/7</x:v>
      </x:c>
    </x:row>
    <x:row r="262" ht="22" customHeight="1">
      <x:c r="B262" s="85" t="n">
        <x:v>45816</x:v>
      </x:c>
      <x:c r="C262" s="84" t="n">
        <x:v>6</x:v>
      </x:c>
      <x:c r="D262" s="88" t="n">
        <x:v>0.409692</x:v>
      </x:c>
      <x:c r="E262" s="89">
        <x:f>INDEX('增长质量'!$C$62:$N$62,1,C262)</x:f>
        <x:v>73308</x:v>
      </x:c>
      <x:c r="F262" s="89">
        <x:f>E262*D262/SUMIFS($D$104:$D$468,$C$104:$C$468,C262)</x:f>
        <x:v>689.811998199498</x:v>
      </x:c>
      <x:c r="G262" s="90">
        <x:f>F262/10000</x:f>
        <x:v>0.0689811998199498</x:v>
      </x:c>
      <x:c r="H262" s="90">
        <x:f>AVERAGE(G256:G262)</x:f>
        <x:v>0.152105445335039</x:v>
      </x:c>
      <x:c r="I262" s="91" t="str">
        <x:f>TEXT(B262,"m/d")</x:f>
        <x:v>6/8</x:v>
      </x:c>
    </x:row>
    <x:row r="263" ht="22" customHeight="1">
      <x:c r="B263" s="85" t="n">
        <x:v>45817</x:v>
      </x:c>
      <x:c r="C263" s="84" t="n">
        <x:v>6</x:v>
      </x:c>
      <x:c r="D263" s="88" t="n">
        <x:v>1.42525</x:v>
      </x:c>
      <x:c r="E263" s="89">
        <x:f>INDEX('增长质量'!$C$62:$N$62,1,C263)</x:f>
        <x:v>73308</x:v>
      </x:c>
      <x:c r="F263" s="89">
        <x:f>E263*D263/SUMIFS($D$104:$D$468,$C$104:$C$468,C263)</x:f>
        <x:v>2399.74065989532</x:v>
      </x:c>
      <x:c r="G263" s="90">
        <x:f>F263/10000</x:f>
        <x:v>0.239974065989532</x:v>
      </x:c>
      <x:c r="H263" s="90">
        <x:f>AVERAGE(G257:G263)</x:f>
        <x:v>0.165747989327209</x:v>
      </x:c>
      <x:c r="I263" s="91" t="str">
        <x:f>TEXT(B263,"m/d")</x:f>
        <x:v>6/9</x:v>
      </x:c>
    </x:row>
    <x:row r="264" ht="22" customHeight="1">
      <x:c r="B264" s="85" t="n">
        <x:v>45818</x:v>
      </x:c>
      <x:c r="C264" s="84" t="n">
        <x:v>6</x:v>
      </x:c>
      <x:c r="D264" s="88" t="n">
        <x:v>3.416348</x:v>
      </x:c>
      <x:c r="E264" s="89">
        <x:f>INDEX('增长质量'!$C$62:$N$62,1,C264)</x:f>
        <x:v>73308</x:v>
      </x:c>
      <x:c r="F264" s="89">
        <x:f>E264*D264/SUMIFS($D$104:$D$468,$C$104:$C$468,C264)</x:f>
        <x:v>5752.2183504312</x:v>
      </x:c>
      <x:c r="G264" s="90">
        <x:f>F264/10000</x:f>
        <x:v>0.57522183504312</x:v>
      </x:c>
      <x:c r="H264" s="90">
        <x:f>AVERAGE(G258:G264)</x:f>
        <x:v>0.200715278142868</x:v>
      </x:c>
      <x:c r="I264" s="91" t="str">
        <x:f>TEXT(B264,"m/d")</x:f>
        <x:v>6/10</x:v>
      </x:c>
    </x:row>
    <x:row r="265" ht="22" customHeight="1">
      <x:c r="B265" s="85" t="n">
        <x:v>45819</x:v>
      </x:c>
      <x:c r="C265" s="84" t="n">
        <x:v>6</x:v>
      </x:c>
      <x:c r="D265" s="88" t="n">
        <x:v>0.9112</x:v>
      </x:c>
      <x:c r="E265" s="89">
        <x:f>INDEX('增长质量'!$C$62:$N$62,1,C265)</x:f>
        <x:v>73308</x:v>
      </x:c>
      <x:c r="F265" s="89">
        <x:f>E265*D265/SUMIFS($D$104:$D$468,$C$104:$C$468,C265)</x:f>
        <x:v>1534.21763851718</x:v>
      </x:c>
      <x:c r="G265" s="90">
        <x:f>F265/10000</x:f>
        <x:v>0.153421763851718</x:v>
      </x:c>
      <x:c r="H265" s="90">
        <x:f>AVERAGE(G259:G265)</x:f>
        <x:v>0.194453378376379</x:v>
      </x:c>
      <x:c r="I265" s="91" t="str">
        <x:f>TEXT(B265,"m/d")</x:f>
        <x:v>6/11</x:v>
      </x:c>
    </x:row>
    <x:row r="266" ht="22" customHeight="1">
      <x:c r="B266" s="85" t="n">
        <x:v>45820</x:v>
      </x:c>
      <x:c r="C266" s="84" t="n">
        <x:v>6</x:v>
      </x:c>
      <x:c r="D266" s="88" t="n">
        <x:v>1.324724</x:v>
      </x:c>
      <x:c r="E266" s="89">
        <x:f>INDEX('增长质量'!$C$62:$N$62,1,C266)</x:f>
        <x:v>73308</x:v>
      </x:c>
      <x:c r="F266" s="89">
        <x:f>E266*D266/SUMIFS($D$104:$D$468,$C$104:$C$468,C266)</x:f>
        <x:v>2230.48170211484</x:v>
      </x:c>
      <x:c r="G266" s="90">
        <x:f>F266/10000</x:f>
        <x:v>0.223048170211484</x:v>
      </x:c>
      <x:c r="H266" s="90">
        <x:f>AVERAGE(G260:G266)</x:f>
        <x:v>0.207858251408963</x:v>
      </x:c>
      <x:c r="I266" s="91" t="str">
        <x:f>TEXT(B266,"m/d")</x:f>
        <x:v>6/12</x:v>
      </x:c>
    </x:row>
    <x:row r="267" ht="22" customHeight="1">
      <x:c r="B267" s="85" t="n">
        <x:v>45821</x:v>
      </x:c>
      <x:c r="C267" s="84" t="n">
        <x:v>6</x:v>
      </x:c>
      <x:c r="D267" s="88" t="n">
        <x:v>1.117809</x:v>
      </x:c>
      <x:c r="E267" s="89">
        <x:f>INDEX('增长质量'!$C$62:$N$62,1,C267)</x:f>
        <x:v>73308</x:v>
      </x:c>
      <x:c r="F267" s="89">
        <x:f>E267*D267/SUMIFS($D$104:$D$468,$C$104:$C$468,C267)</x:f>
        <x:v>1882.09205914536</x:v>
      </x:c>
      <x:c r="G267" s="90">
        <x:f>F267/10000</x:f>
        <x:v>0.188209205914536</x:v>
      </x:c>
      <x:c r="H267" s="90">
        <x:f>AVERAGE(G261:G267)</x:f>
        <x:v>0.215155214097512</x:v>
      </x:c>
      <x:c r="I267" s="91" t="str">
        <x:f>TEXT(B267,"m/d")</x:f>
        <x:v>6/13</x:v>
      </x:c>
    </x:row>
    <x:row r="268" ht="22" customHeight="1">
      <x:c r="B268" s="85" t="n">
        <x:v>45822</x:v>
      </x:c>
      <x:c r="C268" s="84" t="n">
        <x:v>6</x:v>
      </x:c>
      <x:c r="D268" s="88" t="n">
        <x:v>0.841199</x:v>
      </x:c>
      <x:c r="E268" s="89">
        <x:f>INDEX('增长质量'!$C$62:$N$62,1,C268)</x:f>
        <x:v>73308</x:v>
      </x:c>
      <x:c r="F268" s="89">
        <x:f>E268*D268/SUMIFS($D$104:$D$468,$C$104:$C$468,C268)</x:f>
        <x:v>1416.3546348804</x:v>
      </x:c>
      <x:c r="G268" s="90">
        <x:f>F268/10000</x:f>
        <x:v>0.14163546348804</x:v>
      </x:c>
      <x:c r="H268" s="90">
        <x:f>AVERAGE(G262:G268)</x:f>
        <x:v>0.227213100616911</x:v>
      </x:c>
      <x:c r="I268" s="91" t="str">
        <x:f>TEXT(B268,"m/d")</x:f>
        <x:v>6/14</x:v>
      </x:c>
    </x:row>
    <x:row r="269" ht="22" customHeight="1">
      <x:c r="B269" s="85" t="n">
        <x:v>45823</x:v>
      </x:c>
      <x:c r="C269" s="84" t="n">
        <x:v>6</x:v>
      </x:c>
      <x:c r="D269" s="88" t="n">
        <x:v>0.300327</x:v>
      </x:c>
      <x:c r="E269" s="89">
        <x:f>INDEX('增长质量'!$C$62:$N$62,1,C269)</x:f>
        <x:v>73308</x:v>
      </x:c>
      <x:c r="F269" s="89">
        <x:f>E269*D269/SUMIFS($D$104:$D$468,$C$104:$C$468,C269)</x:f>
        <x:v>505.670523181465</x:v>
      </x:c>
      <x:c r="G269" s="90">
        <x:f>F269/10000</x:f>
        <x:v>0.0505670523181465</x:v>
      </x:c>
      <x:c r="H269" s="90">
        <x:f>AVERAGE(G263:G269)</x:f>
        <x:v>0.224582508116654</x:v>
      </x:c>
      <x:c r="I269" s="91" t="str">
        <x:f>TEXT(B269,"m/d")</x:f>
        <x:v>6/15</x:v>
      </x:c>
    </x:row>
    <x:row r="270" ht="22" customHeight="1">
      <x:c r="B270" s="85" t="n">
        <x:v>45824</x:v>
      </x:c>
      <x:c r="C270" s="84" t="n">
        <x:v>6</x:v>
      </x:c>
      <x:c r="D270" s="88" t="n">
        <x:v>3.644876</x:v>
      </x:c>
      <x:c r="E270" s="89">
        <x:f>INDEX('增长质量'!$C$62:$N$62,1,C270)</x:f>
        <x:v>73308</x:v>
      </x:c>
      <x:c r="F270" s="89">
        <x:f>E270*D270/SUMIFS($D$104:$D$468,$C$104:$C$468,C270)</x:f>
        <x:v>6136.99851778749</x:v>
      </x:c>
      <x:c r="G270" s="90">
        <x:f>F270/10000</x:f>
        <x:v>0.613699851778749</x:v>
      </x:c>
      <x:c r="H270" s="90">
        <x:f>AVERAGE(G264:G270)</x:f>
        <x:v>0.277971906086542</x:v>
      </x:c>
      <x:c r="I270" s="91" t="str">
        <x:f>TEXT(B270,"m/d")</x:f>
        <x:v>6/16</x:v>
      </x:c>
    </x:row>
    <x:row r="271" ht="22" customHeight="1">
      <x:c r="B271" s="85" t="n">
        <x:v>45825</x:v>
      </x:c>
      <x:c r="C271" s="84" t="n">
        <x:v>6</x:v>
      </x:c>
      <x:c r="D271" s="88" t="n">
        <x:v>2.111002</x:v>
      </x:c>
      <x:c r="E271" s="89">
        <x:f>INDEX('增长质量'!$C$62:$N$62,1,C271)</x:f>
        <x:v>73308</x:v>
      </x:c>
      <x:c r="F271" s="89">
        <x:f>E271*D271/SUMIFS($D$104:$D$468,$C$104:$C$468,C271)</x:f>
        <x:v>3554.36402913197</x:v>
      </x:c>
      <x:c r="G271" s="90">
        <x:f>F271/10000</x:f>
        <x:v>0.355436402913197</x:v>
      </x:c>
      <x:c r="H271" s="90">
        <x:f>AVERAGE(G265:G271)</x:f>
        <x:v>0.246573987210839</x:v>
      </x:c>
      <x:c r="I271" s="91" t="str">
        <x:f>TEXT(B271,"m/d")</x:f>
        <x:v>6/17</x:v>
      </x:c>
    </x:row>
    <x:row r="272" ht="22" customHeight="1">
      <x:c r="B272" s="85" t="n">
        <x:v>45826</x:v>
      </x:c>
      <x:c r="C272" s="84" t="n">
        <x:v>6</x:v>
      </x:c>
      <x:c r="D272" s="88" t="n">
        <x:v>1.278923</x:v>
      </x:c>
      <x:c r="E272" s="89">
        <x:f>INDEX('增长质量'!$C$62:$N$62,1,C272)</x:f>
        <x:v>73308</x:v>
      </x:c>
      <x:c r="F272" s="89">
        <x:f>E272*D272/SUMIFS($D$104:$D$468,$C$104:$C$468,C272)</x:f>
        <x:v>2153.36504050188</x:v>
      </x:c>
      <x:c r="G272" s="90">
        <x:f>F272/10000</x:f>
        <x:v>0.215336504050188</x:v>
      </x:c>
      <x:c r="H272" s="90">
        <x:f>AVERAGE(G266:G272)</x:f>
        <x:v>0.255418950096334</x:v>
      </x:c>
      <x:c r="I272" s="91" t="str">
        <x:f>TEXT(B272,"m/d")</x:f>
        <x:v>6/18</x:v>
      </x:c>
    </x:row>
    <x:row r="273" ht="22" customHeight="1">
      <x:c r="B273" s="85" t="n">
        <x:v>45827</x:v>
      </x:c>
      <x:c r="C273" s="84" t="n">
        <x:v>6</x:v>
      </x:c>
      <x:c r="D273" s="88" t="n">
        <x:v>1.341827</x:v>
      </x:c>
      <x:c r="E273" s="89">
        <x:f>INDEX('增长质量'!$C$62:$N$62,1,C273)</x:f>
        <x:v>73308</x:v>
      </x:c>
      <x:c r="F273" s="89">
        <x:f>E273*D273/SUMIFS($D$104:$D$468,$C$104:$C$468,C273)</x:f>
        <x:v>2259.27859003358</x:v>
      </x:c>
      <x:c r="G273" s="90">
        <x:f>F273/10000</x:f>
        <x:v>0.225927859003358</x:v>
      </x:c>
      <x:c r="H273" s="90">
        <x:f>AVERAGE(G267:G273)</x:f>
        <x:v>0.255830334209459</x:v>
      </x:c>
      <x:c r="I273" s="91" t="str">
        <x:f>TEXT(B273,"m/d")</x:f>
        <x:v>6/19</x:v>
      </x:c>
    </x:row>
    <x:row r="274" ht="22" customHeight="1">
      <x:c r="B274" s="85" t="n">
        <x:v>45828</x:v>
      </x:c>
      <x:c r="C274" s="84" t="n">
        <x:v>6</x:v>
      </x:c>
      <x:c r="D274" s="88" t="n">
        <x:v>1.892132</x:v>
      </x:c>
      <x:c r="E274" s="89">
        <x:f>INDEX('增长质量'!$C$62:$N$62,1,C274)</x:f>
        <x:v>73308</x:v>
      </x:c>
      <x:c r="F274" s="89">
        <x:f>E274*D274/SUMIFS($D$104:$D$468,$C$104:$C$468,C274)</x:f>
        <x:v>3185.8453564561</x:v>
      </x:c>
      <x:c r="G274" s="90">
        <x:f>F274/10000</x:f>
        <x:v>0.31858453564561</x:v>
      </x:c>
      <x:c r="H274" s="90">
        <x:f>AVERAGE(G268:G274)</x:f>
        <x:v>0.274455381313898</x:v>
      </x:c>
      <x:c r="I274" s="91" t="str">
        <x:f>TEXT(B274,"m/d")</x:f>
        <x:v>6/20</x:v>
      </x:c>
    </x:row>
    <x:row r="275" ht="22" customHeight="1">
      <x:c r="B275" s="85" t="n">
        <x:v>45829</x:v>
      </x:c>
      <x:c r="C275" s="84" t="n">
        <x:v>6</x:v>
      </x:c>
      <x:c r="D275" s="88" t="n">
        <x:v>0.273138</x:v>
      </x:c>
      <x:c r="E275" s="89">
        <x:f>INDEX('增长质量'!$C$62:$N$62,1,C275)</x:f>
        <x:v>73308</x:v>
      </x:c>
      <x:c r="F275" s="89">
        <x:f>E275*D275/SUMIFS($D$104:$D$468,$C$104:$C$468,C275)</x:f>
        <x:v>459.891502797747</x:v>
      </x:c>
      <x:c r="G275" s="90">
        <x:f>F275/10000</x:f>
        <x:v>0.0459891502797747</x:v>
      </x:c>
      <x:c r="H275" s="90">
        <x:f>AVERAGE(G269:G275)</x:f>
        <x:v>0.260791622284146</x:v>
      </x:c>
      <x:c r="I275" s="91" t="str">
        <x:f>TEXT(B275,"m/d")</x:f>
        <x:v>6/21</x:v>
      </x:c>
    </x:row>
    <x:row r="276" ht="22" customHeight="1">
      <x:c r="B276" s="85" t="n">
        <x:v>45830</x:v>
      </x:c>
      <x:c r="C276" s="84" t="n">
        <x:v>6</x:v>
      </x:c>
      <x:c r="D276" s="88" t="n">
        <x:v>0.140334</x:v>
      </x:c>
      <x:c r="E276" s="89">
        <x:f>INDEX('增长质量'!$C$62:$N$62,1,C276)</x:f>
        <x:v>73308</x:v>
      </x:c>
      <x:c r="F276" s="89">
        <x:f>E276*D276/SUMIFS($D$104:$D$468,$C$104:$C$468,C276)</x:f>
        <x:v>236.285006676548</x:v>
      </x:c>
      <x:c r="G276" s="90">
        <x:f>F276/10000</x:f>
        <x:v>0.0236285006676548</x:v>
      </x:c>
      <x:c r="H276" s="90">
        <x:f>AVERAGE(G270:G276)</x:f>
        <x:v>0.256943257762647</x:v>
      </x:c>
      <x:c r="I276" s="91" t="str">
        <x:f>TEXT(B276,"m/d")</x:f>
        <x:v>6/22</x:v>
      </x:c>
    </x:row>
    <x:row r="277" ht="22" customHeight="1">
      <x:c r="B277" s="85" t="n">
        <x:v>45831</x:v>
      </x:c>
      <x:c r="C277" s="84" t="n">
        <x:v>6</x:v>
      </x:c>
      <x:c r="D277" s="88" t="n">
        <x:v>1.608564</x:v>
      </x:c>
      <x:c r="E277" s="89">
        <x:f>INDEX('增长质量'!$C$62:$N$62,1,C277)</x:f>
        <x:v>73308</x:v>
      </x:c>
      <x:c r="F277" s="89">
        <x:f>E277*D277/SUMIFS($D$104:$D$468,$C$104:$C$468,C277)</x:f>
        <x:v>2708.39251699271</x:v>
      </x:c>
      <x:c r="G277" s="90">
        <x:f>F277/10000</x:f>
        <x:v>0.270839251699271</x:v>
      </x:c>
      <x:c r="H277" s="90">
        <x:f>AVERAGE(G271:G277)</x:f>
        <x:v>0.207963172037008</x:v>
      </x:c>
      <x:c r="I277" s="91" t="str">
        <x:f>TEXT(B277,"m/d")</x:f>
        <x:v>6/23</x:v>
      </x:c>
    </x:row>
    <x:row r="278" ht="22" customHeight="1">
      <x:c r="B278" s="85" t="n">
        <x:v>45832</x:v>
      </x:c>
      <x:c r="C278" s="84" t="n">
        <x:v>6</x:v>
      </x:c>
      <x:c r="D278" s="88" t="n">
        <x:v>1.304962</x:v>
      </x:c>
      <x:c r="E278" s="89">
        <x:f>INDEX('增长质量'!$C$62:$N$62,1,C278)</x:f>
        <x:v>73308</x:v>
      </x:c>
      <x:c r="F278" s="89">
        <x:f>E278*D278/SUMIFS($D$104:$D$468,$C$104:$C$468,C278)</x:f>
        <x:v>2197.2077677729</x:v>
      </x:c>
      <x:c r="G278" s="90">
        <x:f>F278/10000</x:f>
        <x:v>0.21972077677729</x:v>
      </x:c>
      <x:c r="H278" s="90">
        <x:f>AVERAGE(G272:G278)</x:f>
        <x:v>0.188575225446164</x:v>
      </x:c>
      <x:c r="I278" s="91" t="str">
        <x:f>TEXT(B278,"m/d")</x:f>
        <x:v>6/24</x:v>
      </x:c>
    </x:row>
    <x:row r="279" ht="22" customHeight="1">
      <x:c r="B279" s="85" t="n">
        <x:v>45833</x:v>
      </x:c>
      <x:c r="C279" s="84" t="n">
        <x:v>6</x:v>
      </x:c>
      <x:c r="D279" s="88" t="n">
        <x:v>1.89491</x:v>
      </x:c>
      <x:c r="E279" s="89">
        <x:f>INDEX('增长质量'!$C$62:$N$62,1,C279)</x:f>
        <x:v>73308</x:v>
      </x:c>
      <x:c r="F279" s="89">
        <x:f>E279*D279/SUMIFS($D$104:$D$468,$C$104:$C$468,C279)</x:f>
        <x:v>3190.52276712313</x:v>
      </x:c>
      <x:c r="G279" s="90">
        <x:f>F279/10000</x:f>
        <x:v>0.319052276712313</x:v>
      </x:c>
      <x:c r="H279" s="90">
        <x:f>AVERAGE(G273:G279)</x:f>
        <x:v>0.203391764397896</x:v>
      </x:c>
      <x:c r="I279" s="91" t="str">
        <x:f>TEXT(B279,"m/d")</x:f>
        <x:v>6/25</x:v>
      </x:c>
    </x:row>
    <x:row r="280" ht="22" customHeight="1">
      <x:c r="B280" s="85" t="n">
        <x:v>45834</x:v>
      </x:c>
      <x:c r="C280" s="84" t="n">
        <x:v>6</x:v>
      </x:c>
      <x:c r="D280" s="88" t="n">
        <x:v>1.417298</x:v>
      </x:c>
      <x:c r="E280" s="89">
        <x:f>INDEX('增长质量'!$C$62:$N$62,1,C280)</x:f>
        <x:v>73308</x:v>
      </x:c>
      <x:c r="F280" s="89">
        <x:f>E280*D280/SUMIFS($D$104:$D$468,$C$104:$C$468,C280)</x:f>
        <x:v>2386.35161395427</x:v>
      </x:c>
      <x:c r="G280" s="90">
        <x:f>F280/10000</x:f>
        <x:v>0.238635161395427</x:v>
      </x:c>
      <x:c r="H280" s="90">
        <x:f>AVERAGE(G274:G280)</x:f>
        <x:v>0.205207093311049</x:v>
      </x:c>
      <x:c r="I280" s="91" t="str">
        <x:f>TEXT(B280,"m/d")</x:f>
        <x:v>6/26</x:v>
      </x:c>
    </x:row>
    <x:row r="281" ht="22" customHeight="1">
      <x:c r="B281" s="85" t="n">
        <x:v>45835</x:v>
      </x:c>
      <x:c r="C281" s="84" t="n">
        <x:v>6</x:v>
      </x:c>
      <x:c r="D281" s="88" t="n">
        <x:v>2.378579</x:v>
      </x:c>
      <x:c r="E281" s="89">
        <x:f>INDEX('增长质量'!$C$62:$N$62,1,C281)</x:f>
        <x:v>73308</x:v>
      </x:c>
      <x:c r="F281" s="89">
        <x:f>E281*D281/SUMIFS($D$104:$D$468,$C$104:$C$468,C281)</x:f>
        <x:v>4004.89229192995</x:v>
      </x:c>
      <x:c r="G281" s="90">
        <x:f>F281/10000</x:f>
        <x:v>0.400489229192995</x:v>
      </x:c>
      <x:c r="H281" s="90">
        <x:f>AVERAGE(G275:G281)</x:f>
        <x:v>0.216907763817818</x:v>
      </x:c>
      <x:c r="I281" s="91" t="str">
        <x:f>TEXT(B281,"m/d")</x:f>
        <x:v>6/27</x:v>
      </x:c>
    </x:row>
    <x:row r="282" ht="22" customHeight="1">
      <x:c r="B282" s="85" t="n">
        <x:v>45836</x:v>
      </x:c>
      <x:c r="C282" s="84" t="n">
        <x:v>6</x:v>
      </x:c>
      <x:c r="D282" s="88" t="n">
        <x:v>0.841655</x:v>
      </x:c>
      <x:c r="E282" s="89">
        <x:f>INDEX('增长质量'!$C$62:$N$62,1,C282)</x:f>
        <x:v>73308</x:v>
      </x:c>
      <x:c r="F282" s="89">
        <x:f>E282*D282/SUMIFS($D$104:$D$468,$C$104:$C$468,C282)</x:f>
        <x:v>1417.12241719291</x:v>
      </x:c>
      <x:c r="G282" s="90">
        <x:f>F282/10000</x:f>
        <x:v>0.141712241719291</x:v>
      </x:c>
      <x:c r="H282" s="90">
        <x:f>AVERAGE(G276:G282)</x:f>
        <x:v>0.23058249116632</x:v>
      </x:c>
      <x:c r="I282" s="91" t="str">
        <x:f>TEXT(B282,"m/d")</x:f>
        <x:v>6/28</x:v>
      </x:c>
    </x:row>
    <x:row r="283" ht="22" customHeight="1">
      <x:c r="B283" s="85" t="n">
        <x:v>45837</x:v>
      </x:c>
      <x:c r="C283" s="84" t="n">
        <x:v>6</x:v>
      </x:c>
      <x:c r="D283" s="88" t="n">
        <x:v>0.994894</x:v>
      </x:c>
      <x:c r="E283" s="89">
        <x:f>INDEX('增长质量'!$C$62:$N$62,1,C283)</x:f>
        <x:v>73308</x:v>
      </x:c>
      <x:c r="F283" s="89">
        <x:f>E283*D283/SUMIFS($D$104:$D$468,$C$104:$C$468,C283)</x:f>
        <x:v>1675.13600006027</x:v>
      </x:c>
      <x:c r="G283" s="90">
        <x:f>F283/10000</x:f>
        <x:v>0.167513600006027</x:v>
      </x:c>
      <x:c r="H283" s="90">
        <x:f>AVERAGE(G277:G283)</x:f>
        <x:v>0.251137505357516</x:v>
      </x:c>
      <x:c r="I283" s="91" t="str">
        <x:f>TEXT(B283,"m/d")</x:f>
        <x:v>6/29</x:v>
      </x:c>
    </x:row>
    <x:row r="284" ht="22" customHeight="1">
      <x:c r="B284" s="85" t="n">
        <x:v>45838</x:v>
      </x:c>
      <x:c r="C284" s="84" t="n">
        <x:v>6</x:v>
      </x:c>
      <x:c r="D284" s="88" t="n">
        <x:v>6.537909</x:v>
      </x:c>
      <x:c r="E284" s="89">
        <x:f>INDEX('增长质量'!$C$62:$N$62,1,C284)</x:f>
        <x:v>73308</x:v>
      </x:c>
      <x:c r="F284" s="89">
        <x:f>E284*D284/SUMIFS($D$104:$D$468,$C$104:$C$468,C284)</x:f>
        <x:v>11008.0940592847</x:v>
      </x:c>
      <x:c r="G284" s="90">
        <x:f>F284/10000</x:f>
        <x:v>1.10080940592847</x:v>
      </x:c>
      <x:c r="H284" s="90">
        <x:f>AVERAGE(G278:G284)</x:f>
        <x:v>0.369704670247402</x:v>
      </x:c>
      <x:c r="I284" s="91" t="str">
        <x:f>TEXT(B284,"m/d")</x:f>
        <x:v>6/30</x:v>
      </x:c>
    </x:row>
    <x:row r="285" ht="22" customHeight="1">
      <x:c r="B285" s="85" t="n">
        <x:v>45839</x:v>
      </x:c>
      <x:c r="C285" s="84" t="n">
        <x:v>7</x:v>
      </x:c>
      <x:c r="D285" s="88" t="n">
        <x:v>1.068582</x:v>
      </x:c>
      <x:c r="E285" s="89">
        <x:f>INDEX('增长质量'!$C$62:$N$62,1,C285)</x:f>
        <x:v>85362</x:v>
      </x:c>
      <x:c r="F285" s="89">
        <x:f>E285*D285/SUMIFS($D$104:$D$468,$C$104:$C$468,C285)</x:f>
        <x:v>1980.8389522322</x:v>
      </x:c>
      <x:c r="G285" s="90">
        <x:f>F285/10000</x:f>
        <x:v>0.19808389522322</x:v>
      </x:c>
      <x:c r="H285" s="90">
        <x:f>AVERAGE(G279:G285)</x:f>
        <x:v>0.366613687168249</x:v>
      </x:c>
      <x:c r="I285" s="91" t="str">
        <x:f>TEXT(B285,"m/d")</x:f>
        <x:v>7/1</x:v>
      </x:c>
    </x:row>
    <x:row r="286" ht="22" customHeight="1">
      <x:c r="B286" s="85" t="n">
        <x:v>45840</x:v>
      </x:c>
      <x:c r="C286" s="84" t="n">
        <x:v>7</x:v>
      </x:c>
      <x:c r="D286" s="88" t="n">
        <x:v>1.311258</x:v>
      </x:c>
      <x:c r="E286" s="89">
        <x:f>INDEX('增长质量'!$C$62:$N$62,1,C286)</x:f>
        <x:v>85362</x:v>
      </x:c>
      <x:c r="F286" s="89">
        <x:f>E286*D286/SUMIFS($D$104:$D$468,$C$104:$C$468,C286)</x:f>
        <x:v>2430.68938352517</x:v>
      </x:c>
      <x:c r="G286" s="90">
        <x:f>F286/10000</x:f>
        <x:v>0.243068938352517</x:v>
      </x:c>
      <x:c r="H286" s="90">
        <x:f>AVERAGE(G280:G286)</x:f>
        <x:v>0.355758924545421</x:v>
      </x:c>
      <x:c r="I286" s="91" t="str">
        <x:f>TEXT(B286,"m/d")</x:f>
        <x:v>7/2</x:v>
      </x:c>
    </x:row>
    <x:row r="287" ht="22" customHeight="1">
      <x:c r="B287" s="85" t="n">
        <x:v>45841</x:v>
      </x:c>
      <x:c r="C287" s="84" t="n">
        <x:v>7</x:v>
      </x:c>
      <x:c r="D287" s="88" t="n">
        <x:v>2.263547</x:v>
      </x:c>
      <x:c r="E287" s="89">
        <x:f>INDEX('增长质量'!$C$62:$N$62,1,C287)</x:f>
        <x:v>85362</x:v>
      </x:c>
      <x:c r="F287" s="89">
        <x:f>E287*D287/SUMIFS($D$104:$D$468,$C$104:$C$468,C287)</x:f>
        <x:v>4195.95507673565</x:v>
      </x:c>
      <x:c r="G287" s="90">
        <x:f>F287/10000</x:f>
        <x:v>0.419595507673565</x:v>
      </x:c>
      <x:c r="H287" s="90">
        <x:f>AVERAGE(G281:G287)</x:f>
        <x:v>0.381610402585155</x:v>
      </x:c>
      <x:c r="I287" s="91" t="str">
        <x:f>TEXT(B287,"m/d")</x:f>
        <x:v>7/3</x:v>
      </x:c>
    </x:row>
    <x:row r="288" ht="22" customHeight="1">
      <x:c r="B288" s="85" t="n">
        <x:v>45842</x:v>
      </x:c>
      <x:c r="C288" s="84" t="n">
        <x:v>7</x:v>
      </x:c>
      <x:c r="D288" s="88" t="n">
        <x:v>1.101067</x:v>
      </x:c>
      <x:c r="E288" s="89">
        <x:f>INDEX('增长质量'!$C$62:$N$62,1,C288)</x:f>
        <x:v>85362</x:v>
      </x:c>
      <x:c r="F288" s="89">
        <x:f>E288*D288/SUMIFS($D$104:$D$468,$C$104:$C$468,C288)</x:f>
        <x:v>2041.05665509755</x:v>
      </x:c>
      <x:c r="G288" s="90">
        <x:f>F288/10000</x:f>
        <x:v>0.204105665509755</x:v>
      </x:c>
      <x:c r="H288" s="90">
        <x:f>AVERAGE(G282:G288)</x:f>
        <x:v>0.353555607773264</x:v>
      </x:c>
      <x:c r="I288" s="91" t="str">
        <x:f>TEXT(B288,"m/d")</x:f>
        <x:v>7/4</x:v>
      </x:c>
    </x:row>
    <x:row r="289" ht="22" customHeight="1">
      <x:c r="B289" s="85" t="n">
        <x:v>45843</x:v>
      </x:c>
      <x:c r="C289" s="84" t="n">
        <x:v>7</x:v>
      </x:c>
      <x:c r="D289" s="88" t="n">
        <x:v>0.571566</x:v>
      </x:c>
      <x:c r="E289" s="89">
        <x:f>INDEX('增长质量'!$C$62:$N$62,1,C289)</x:f>
        <x:v>85362</x:v>
      </x:c>
      <x:c r="F289" s="89">
        <x:f>E289*D289/SUMIFS($D$104:$D$468,$C$104:$C$468,C289)</x:f>
        <x:v>1059.51644007811</x:v>
      </x:c>
      <x:c r="G289" s="90">
        <x:f>F289/10000</x:f>
        <x:v>0.105951644007811</x:v>
      </x:c>
      <x:c r="H289" s="90">
        <x:f>AVERAGE(G283:G289)</x:f>
        <x:v>0.348446950957338</x:v>
      </x:c>
      <x:c r="I289" s="91" t="str">
        <x:f>TEXT(B289,"m/d")</x:f>
        <x:v>7/5</x:v>
      </x:c>
    </x:row>
    <x:row r="290" ht="22" customHeight="1">
      <x:c r="B290" s="85" t="n">
        <x:v>45844</x:v>
      </x:c>
      <x:c r="C290" s="84" t="n">
        <x:v>7</x:v>
      </x:c>
      <x:c r="D290" s="88" t="n">
        <x:v>0.372106</x:v>
      </x:c>
      <x:c r="E290" s="89">
        <x:f>INDEX('增长质量'!$C$62:$N$62,1,C290)</x:f>
        <x:v>85362</x:v>
      </x:c>
      <x:c r="F290" s="89">
        <x:f>E290*D290/SUMIFS($D$104:$D$468,$C$104:$C$468,C290)</x:f>
        <x:v>689.775851698152</x:v>
      </x:c>
      <x:c r="G290" s="90">
        <x:f>F290/10000</x:f>
        <x:v>0.0689775851698152</x:v>
      </x:c>
      <x:c r="H290" s="90">
        <x:f>AVERAGE(G284:G290)</x:f>
        <x:v>0.334370377409308</x:v>
      </x:c>
      <x:c r="I290" s="91" t="str">
        <x:f>TEXT(B290,"m/d")</x:f>
        <x:v>7/6</x:v>
      </x:c>
    </x:row>
    <x:row r="291" ht="22" customHeight="1">
      <x:c r="B291" s="85" t="n">
        <x:v>45845</x:v>
      </x:c>
      <x:c r="C291" s="84" t="n">
        <x:v>7</x:v>
      </x:c>
      <x:c r="D291" s="88" t="n">
        <x:v>1.604287</x:v>
      </x:c>
      <x:c r="E291" s="89">
        <x:f>INDEX('增长质量'!$C$62:$N$62,1,C291)</x:f>
        <x:v>85362</x:v>
      </x:c>
      <x:c r="F291" s="89">
        <x:f>E291*D291/SUMIFS($D$104:$D$468,$C$104:$C$468,C291)</x:f>
        <x:v>2973.87957139437</x:v>
      </x:c>
      <x:c r="G291" s="90">
        <x:f>F291/10000</x:f>
        <x:v>0.297387957139437</x:v>
      </x:c>
      <x:c r="H291" s="90">
        <x:f>AVERAGE(G285:G291)</x:f>
        <x:v>0.21959588472516</x:v>
      </x:c>
      <x:c r="I291" s="91" t="str">
        <x:f>TEXT(B291,"m/d")</x:f>
        <x:v>7/7</x:v>
      </x:c>
    </x:row>
    <x:row r="292" ht="22" customHeight="1">
      <x:c r="B292" s="85" t="n">
        <x:v>45846</x:v>
      </x:c>
      <x:c r="C292" s="84" t="n">
        <x:v>7</x:v>
      </x:c>
      <x:c r="D292" s="88" t="n">
        <x:v>2.287874</x:v>
      </x:c>
      <x:c r="E292" s="89">
        <x:f>INDEX('增长质量'!$C$62:$N$62,1,C292)</x:f>
        <x:v>85362</x:v>
      </x:c>
      <x:c r="F292" s="89">
        <x:f>E292*D292/SUMIFS($D$104:$D$468,$C$104:$C$468,C292)</x:f>
        <x:v>4241.05023011738</x:v>
      </x:c>
      <x:c r="G292" s="90">
        <x:f>F292/10000</x:f>
        <x:v>0.424105023011738</x:v>
      </x:c>
      <x:c r="H292" s="90">
        <x:f>AVERAGE(G286:G292)</x:f>
        <x:v>0.251884617266377</x:v>
      </x:c>
      <x:c r="I292" s="91" t="str">
        <x:f>TEXT(B292,"m/d")</x:f>
        <x:v>7/8</x:v>
      </x:c>
    </x:row>
    <x:row r="293" ht="22" customHeight="1">
      <x:c r="B293" s="85" t="n">
        <x:v>45847</x:v>
      </x:c>
      <x:c r="C293" s="84" t="n">
        <x:v>7</x:v>
      </x:c>
      <x:c r="D293" s="88" t="n">
        <x:v>1.294905</x:v>
      </x:c>
      <x:c r="E293" s="89">
        <x:f>INDEX('增长质量'!$C$62:$N$62,1,C293)</x:f>
        <x:v>85362</x:v>
      </x:c>
      <x:c r="F293" s="89">
        <x:f>E293*D293/SUMIFS($D$104:$D$468,$C$104:$C$468,C293)</x:f>
        <x:v>2400.37569736364</x:v>
      </x:c>
      <x:c r="G293" s="90">
        <x:f>F293/10000</x:f>
        <x:v>0.240037569736364</x:v>
      </x:c>
      <x:c r="H293" s="90">
        <x:f>AVERAGE(G287:G293)</x:f>
        <x:v>0.251451564606927</x:v>
      </x:c>
      <x:c r="I293" s="91" t="str">
        <x:f>TEXT(B293,"m/d")</x:f>
        <x:v>7/9</x:v>
      </x:c>
    </x:row>
    <x:row r="294" ht="22" customHeight="1">
      <x:c r="B294" s="85" t="n">
        <x:v>45848</x:v>
      </x:c>
      <x:c r="C294" s="84" t="n">
        <x:v>7</x:v>
      </x:c>
      <x:c r="D294" s="88" t="n">
        <x:v>1.805691</x:v>
      </x:c>
      <x:c r="E294" s="89">
        <x:f>INDEX('增长质量'!$C$62:$N$62,1,C294)</x:f>
        <x:v>85362</x:v>
      </x:c>
      <x:c r="F294" s="89">
        <x:f>E294*D294/SUMIFS($D$104:$D$468,$C$104:$C$468,C294)</x:f>
        <x:v>3347.22376803569</x:v>
      </x:c>
      <x:c r="G294" s="90">
        <x:f>F294/10000</x:f>
        <x:v>0.334722376803569</x:v>
      </x:c>
      <x:c r="H294" s="90">
        <x:f>AVERAGE(G288:G294)</x:f>
        <x:v>0.239326831625498</x:v>
      </x:c>
      <x:c r="I294" s="91" t="str">
        <x:f>TEXT(B294,"m/d")</x:f>
        <x:v>7/10</x:v>
      </x:c>
    </x:row>
    <x:row r="295" ht="22" customHeight="1">
      <x:c r="B295" s="85" t="n">
        <x:v>45849</x:v>
      </x:c>
      <x:c r="C295" s="84" t="n">
        <x:v>7</x:v>
      </x:c>
      <x:c r="D295" s="88" t="n">
        <x:v>1.432129</x:v>
      </x:c>
      <x:c r="E295" s="89">
        <x:f>INDEX('增长质量'!$C$62:$N$62,1,C295)</x:f>
        <x:v>85362</x:v>
      </x:c>
      <x:c r="F295" s="89">
        <x:f>E295*D295/SUMIFS($D$104:$D$468,$C$104:$C$468,C295)</x:f>
        <x:v>2654.74891755742</x:v>
      </x:c>
      <x:c r="G295" s="90">
        <x:f>F295/10000</x:f>
        <x:v>0.265474891755742</x:v>
      </x:c>
      <x:c r="H295" s="90">
        <x:f>AVERAGE(G289:G295)</x:f>
        <x:v>0.248093863946354</x:v>
      </x:c>
      <x:c r="I295" s="91" t="str">
        <x:f>TEXT(B295,"m/d")</x:f>
        <x:v>7/11</x:v>
      </x:c>
    </x:row>
    <x:row r="296" ht="22" customHeight="1">
      <x:c r="B296" s="85" t="n">
        <x:v>45850</x:v>
      </x:c>
      <x:c r="C296" s="84" t="n">
        <x:v>7</x:v>
      </x:c>
      <x:c r="D296" s="88" t="n">
        <x:v>0.245989</x:v>
      </x:c>
      <x:c r="E296" s="89">
        <x:f>INDEX('增长质量'!$C$62:$N$62,1,C296)</x:f>
        <x:v>85362</x:v>
      </x:c>
      <x:c r="F296" s="89">
        <x:f>E296*D296/SUMIFS($D$104:$D$468,$C$104:$C$468,C296)</x:f>
        <x:v>455.991765742495</x:v>
      </x:c>
      <x:c r="G296" s="90">
        <x:f>F296/10000</x:f>
        <x:v>0.0455991765742495</x:v>
      </x:c>
      <x:c r="H296" s="90">
        <x:f>AVERAGE(G290:G296)</x:f>
        <x:v>0.239472082884416</x:v>
      </x:c>
      <x:c r="I296" s="91" t="str">
        <x:f>TEXT(B296,"m/d")</x:f>
        <x:v>7/12</x:v>
      </x:c>
    </x:row>
    <x:row r="297" ht="22" customHeight="1">
      <x:c r="B297" s="85" t="n">
        <x:v>45851</x:v>
      </x:c>
      <x:c r="C297" s="84" t="n">
        <x:v>7</x:v>
      </x:c>
      <x:c r="D297" s="88" t="n">
        <x:v>0.125299</x:v>
      </x:c>
      <x:c r="E297" s="89">
        <x:f>INDEX('增长质量'!$C$62:$N$62,1,C297)</x:f>
        <x:v>85362</x:v>
      </x:c>
      <x:c r="F297" s="89">
        <x:f>E297*D297/SUMIFS($D$104:$D$468,$C$104:$C$468,C297)</x:f>
        <x:v>232.267752849798</x:v>
      </x:c>
      <x:c r="G297" s="90">
        <x:f>F297/10000</x:f>
        <x:v>0.0232267752849798</x:v>
      </x:c>
      <x:c r="H297" s="90">
        <x:f>AVERAGE(G291:G297)</x:f>
        <x:v>0.232936252900869</x:v>
      </x:c>
      <x:c r="I297" s="91" t="str">
        <x:f>TEXT(B297,"m/d")</x:f>
        <x:v>7/13</x:v>
      </x:c>
    </x:row>
    <x:row r="298" ht="22" customHeight="1">
      <x:c r="B298" s="85" t="n">
        <x:v>45852</x:v>
      </x:c>
      <x:c r="C298" s="84" t="n">
        <x:v>7</x:v>
      </x:c>
      <x:c r="D298" s="88" t="n">
        <x:v>1.860417</x:v>
      </x:c>
      <x:c r="E298" s="89">
        <x:f>INDEX('增长质量'!$C$62:$N$62,1,C298)</x:f>
        <x:v>85362</x:v>
      </x:c>
      <x:c r="F298" s="89">
        <x:f>E298*D298/SUMIFS($D$104:$D$468,$C$104:$C$468,C298)</x:f>
        <x:v>3448.66978949203</x:v>
      </x:c>
      <x:c r="G298" s="90">
        <x:f>F298/10000</x:f>
        <x:v>0.344866978949203</x:v>
      </x:c>
      <x:c r="H298" s="90">
        <x:f>AVERAGE(G292:G298)</x:f>
        <x:v>0.239718970302264</x:v>
      </x:c>
      <x:c r="I298" s="91" t="str">
        <x:f>TEXT(B298,"m/d")</x:f>
        <x:v>7/14</x:v>
      </x:c>
    </x:row>
    <x:row r="299" ht="22" customHeight="1">
      <x:c r="B299" s="85" t="n">
        <x:v>45853</x:v>
      </x:c>
      <x:c r="C299" s="84" t="n">
        <x:v>7</x:v>
      </x:c>
      <x:c r="D299" s="88" t="n">
        <x:v>1.847114</x:v>
      </x:c>
      <x:c r="E299" s="89">
        <x:f>INDEX('增长质量'!$C$62:$N$62,1,C299)</x:f>
        <x:v>85362</x:v>
      </x:c>
      <x:c r="F299" s="89">
        <x:f>E299*D299/SUMIFS($D$104:$D$468,$C$104:$C$468,C299)</x:f>
        <x:v>3424.0099125883</x:v>
      </x:c>
      <x:c r="G299" s="90">
        <x:f>F299/10000</x:f>
        <x:v>0.34240099125883</x:v>
      </x:c>
      <x:c r="H299" s="90">
        <x:f>AVERAGE(G293:G299)</x:f>
        <x:v>0.228046965766134</x:v>
      </x:c>
      <x:c r="I299" s="91" t="str">
        <x:f>TEXT(B299,"m/d")</x:f>
        <x:v>7/15</x:v>
      </x:c>
    </x:row>
    <x:row r="300" ht="22" customHeight="1">
      <x:c r="B300" s="85" t="n">
        <x:v>45854</x:v>
      </x:c>
      <x:c r="C300" s="84" t="n">
        <x:v>7</x:v>
      </x:c>
      <x:c r="D300" s="88" t="n">
        <x:v>1.628595</x:v>
      </x:c>
      <x:c r="E300" s="89">
        <x:f>INDEX('增长质量'!$C$62:$N$62,1,C300)</x:f>
        <x:v>85362</x:v>
      </x:c>
      <x:c r="F300" s="89">
        <x:f>E300*D300/SUMIFS($D$104:$D$468,$C$104:$C$468,C300)</x:f>
        <x:v>3018.93950432498</x:v>
      </x:c>
      <x:c r="G300" s="90">
        <x:f>F300/10000</x:f>
        <x:v>0.301893950432498</x:v>
      </x:c>
      <x:c r="H300" s="90">
        <x:f>AVERAGE(G294:G300)</x:f>
        <x:v>0.236883591579867</x:v>
      </x:c>
      <x:c r="I300" s="91" t="str">
        <x:f>TEXT(B300,"m/d")</x:f>
        <x:v>7/16</x:v>
      </x:c>
    </x:row>
    <x:row r="301" ht="22" customHeight="1">
      <x:c r="B301" s="85" t="n">
        <x:v>45855</x:v>
      </x:c>
      <x:c r="C301" s="84" t="n">
        <x:v>7</x:v>
      </x:c>
      <x:c r="D301" s="88" t="n">
        <x:v>0.73716</x:v>
      </x:c>
      <x:c r="E301" s="89">
        <x:f>INDEX('增长质量'!$C$62:$N$62,1,C301)</x:f>
        <x:v>85362</x:v>
      </x:c>
      <x:c r="F301" s="89">
        <x:f>E301*D301/SUMIFS($D$104:$D$468,$C$104:$C$468,C301)</x:f>
        <x:v>1366.47935490911</x:v>
      </x:c>
      <x:c r="G301" s="90">
        <x:f>F301/10000</x:f>
        <x:v>0.136647935490911</x:v>
      </x:c>
      <x:c r="H301" s="90">
        <x:f>AVERAGE(G295:G301)</x:f>
        <x:v>0.208587242820916</x:v>
      </x:c>
      <x:c r="I301" s="91" t="str">
        <x:f>TEXT(B301,"m/d")</x:f>
        <x:v>7/17</x:v>
      </x:c>
    </x:row>
    <x:row r="302" ht="22" customHeight="1">
      <x:c r="B302" s="85" t="n">
        <x:v>45856</x:v>
      </x:c>
      <x:c r="C302" s="84" t="n">
        <x:v>7</x:v>
      </x:c>
      <x:c r="D302" s="88" t="n">
        <x:v>0.379406</x:v>
      </x:c>
      <x:c r="E302" s="89">
        <x:f>INDEX('增长质量'!$C$62:$N$62,1,C302)</x:f>
        <x:v>85362</x:v>
      </x:c>
      <x:c r="F302" s="89">
        <x:f>E302*D302/SUMIFS($D$104:$D$468,$C$104:$C$468,C302)</x:f>
        <x:v>703.307919757782</x:v>
      </x:c>
      <x:c r="G302" s="90">
        <x:f>F302/10000</x:f>
        <x:v>0.0703307919757782</x:v>
      </x:c>
      <x:c r="H302" s="90">
        <x:f>AVERAGE(G296:G302)</x:f>
        <x:v>0.180709514280921</x:v>
      </x:c>
      <x:c r="I302" s="91" t="str">
        <x:f>TEXT(B302,"m/d")</x:f>
        <x:v>7/18</x:v>
      </x:c>
    </x:row>
    <x:row r="303" ht="22" customHeight="1">
      <x:c r="B303" s="85" t="n">
        <x:v>45857</x:v>
      </x:c>
      <x:c r="C303" s="84" t="n">
        <x:v>7</x:v>
      </x:c>
      <x:c r="D303" s="88" t="n">
        <x:v>0.19764</x:v>
      </x:c>
      <x:c r="E303" s="89">
        <x:f>INDEX('增长质量'!$C$62:$N$62,1,C303)</x:f>
        <x:v>85362</x:v>
      </x:c>
      <x:c r="F303" s="89">
        <x:f>E303*D303/SUMIFS($D$104:$D$468,$C$104:$C$468,C303)</x:f>
        <x:v>366.366839904819</x:v>
      </x:c>
      <x:c r="G303" s="90">
        <x:f>F303/10000</x:f>
        <x:v>0.036636683990482</x:v>
      </x:c>
      <x:c r="H303" s="90">
        <x:f>AVERAGE(G297:G303)</x:f>
        <x:v>0.179429158197526</x:v>
      </x:c>
      <x:c r="I303" s="91" t="str">
        <x:f>TEXT(B303,"m/d")</x:f>
        <x:v>7/19</x:v>
      </x:c>
    </x:row>
    <x:row r="304" ht="22" customHeight="1">
      <x:c r="B304" s="85" t="n">
        <x:v>45858</x:v>
      </x:c>
      <x:c r="C304" s="84" t="n">
        <x:v>7</x:v>
      </x:c>
      <x:c r="D304" s="88" t="n">
        <x:v>0.411552</x:v>
      </x:c>
      <x:c r="E304" s="89">
        <x:f>INDEX('增长质量'!$C$62:$N$62,1,C304)</x:f>
        <x:v>85362</x:v>
      </x:c>
      <x:c r="F304" s="89">
        <x:f>E304*D304/SUMIFS($D$104:$D$468,$C$104:$C$468,C304)</x:f>
        <x:v>762.897215626939</x:v>
      </x:c>
      <x:c r="G304" s="90">
        <x:f>F304/10000</x:f>
        <x:v>0.0762897215626939</x:v>
      </x:c>
      <x:c r="H304" s="90">
        <x:f>AVERAGE(G298:G304)</x:f>
        <x:v>0.187009579094342</x:v>
      </x:c>
      <x:c r="I304" s="91" t="str">
        <x:f>TEXT(B304,"m/d")</x:f>
        <x:v>7/20</x:v>
      </x:c>
    </x:row>
    <x:row r="305" ht="22" customHeight="1">
      <x:c r="B305" s="85" t="n">
        <x:v>45859</x:v>
      </x:c>
      <x:c r="C305" s="84" t="n">
        <x:v>7</x:v>
      </x:c>
      <x:c r="D305" s="88" t="n">
        <x:v>0.692914</x:v>
      </x:c>
      <x:c r="E305" s="89">
        <x:f>INDEX('增长质量'!$C$62:$N$62,1,C305)</x:f>
        <x:v>85362</x:v>
      </x:c>
      <x:c r="F305" s="89">
        <x:f>E305*D305/SUMIFS($D$104:$D$468,$C$104:$C$468,C305)</x:f>
        <x:v>1284.46019280413</x:v>
      </x:c>
      <x:c r="G305" s="90">
        <x:f>F305/10000</x:f>
        <x:v>0.128446019280413</x:v>
      </x:c>
      <x:c r="H305" s="90">
        <x:f>AVERAGE(G299:G305)</x:f>
        <x:v>0.156092299141658</x:v>
      </x:c>
      <x:c r="I305" s="91" t="str">
        <x:f>TEXT(B305,"m/d")</x:f>
        <x:v>7/21</x:v>
      </x:c>
    </x:row>
    <x:row r="306" ht="22" customHeight="1">
      <x:c r="B306" s="85" t="n">
        <x:v>45860</x:v>
      </x:c>
      <x:c r="C306" s="84" t="n">
        <x:v>7</x:v>
      </x:c>
      <x:c r="D306" s="88" t="n">
        <x:v>2.190715</x:v>
      </x:c>
      <x:c r="E306" s="89">
        <x:f>INDEX('增长质量'!$C$62:$N$62,1,C306)</x:f>
        <x:v>85362</x:v>
      </x:c>
      <x:c r="F306" s="89">
        <x:f>E306*D306/SUMIFS($D$104:$D$468,$C$104:$C$468,C306)</x:f>
        <x:v>4060.94581907552</x:v>
      </x:c>
      <x:c r="G306" s="90">
        <x:f>F306/10000</x:f>
        <x:v>0.406094581907552</x:v>
      </x:c>
      <x:c r="H306" s="90">
        <x:f>AVERAGE(G300:G306)</x:f>
        <x:v>0.165191383520047</x:v>
      </x:c>
      <x:c r="I306" s="91" t="str">
        <x:f>TEXT(B306,"m/d")</x:f>
        <x:v>7/22</x:v>
      </x:c>
    </x:row>
    <x:row r="307" ht="22" customHeight="1">
      <x:c r="B307" s="85" t="n">
        <x:v>45861</x:v>
      </x:c>
      <x:c r="C307" s="84" t="n">
        <x:v>7</x:v>
      </x:c>
      <x:c r="D307" s="88" t="n">
        <x:v>1.53056</x:v>
      </x:c>
      <x:c r="E307" s="89">
        <x:f>INDEX('增长质量'!$C$62:$N$62,1,C307)</x:f>
        <x:v>85362</x:v>
      </x:c>
      <x:c r="F307" s="89">
        <x:f>E307*D307/SUMIFS($D$104:$D$468,$C$104:$C$468,C307)</x:f>
        <x:v>2837.21124511597</x:v>
      </x:c>
      <x:c r="G307" s="90">
        <x:f>F307/10000</x:f>
        <x:v>0.283721124511597</x:v>
      </x:c>
      <x:c r="H307" s="90">
        <x:f>AVERAGE(G301:G307)</x:f>
        <x:v>0.162595265531347</x:v>
      </x:c>
      <x:c r="I307" s="91" t="str">
        <x:f>TEXT(B307,"m/d")</x:f>
        <x:v>7/23</x:v>
      </x:c>
    </x:row>
    <x:row r="308" ht="22" customHeight="1">
      <x:c r="B308" s="85" t="n">
        <x:v>45862</x:v>
      </x:c>
      <x:c r="C308" s="84" t="n">
        <x:v>7</x:v>
      </x:c>
      <x:c r="D308" s="88" t="n">
        <x:v>2.51154</x:v>
      </x:c>
      <x:c r="E308" s="89">
        <x:f>INDEX('增长质量'!$C$62:$N$62,1,C308)</x:f>
        <x:v>85362</x:v>
      </x:c>
      <x:c r="F308" s="89">
        <x:f>E308*D308/SUMIFS($D$104:$D$468,$C$104:$C$468,C308)</x:f>
        <x:v>4655.66167321671</x:v>
      </x:c>
      <x:c r="G308" s="90">
        <x:f>F308/10000</x:f>
        <x:v>0.465566167321671</x:v>
      </x:c>
      <x:c r="H308" s="90">
        <x:f>AVERAGE(G302:G308)</x:f>
        <x:v>0.209583584364313</x:v>
      </x:c>
      <x:c r="I308" s="91" t="str">
        <x:f>TEXT(B308,"m/d")</x:f>
        <x:v>7/24</x:v>
      </x:c>
    </x:row>
    <x:row r="309" ht="22" customHeight="1">
      <x:c r="B309" s="85" t="n">
        <x:v>45863</x:v>
      </x:c>
      <x:c r="C309" s="84" t="n">
        <x:v>7</x:v>
      </x:c>
      <x:c r="D309" s="88" t="n">
        <x:v>0.502006</x:v>
      </x:c>
      <x:c r="E309" s="89">
        <x:f>INDEX('增长质量'!$C$62:$N$62,1,C309)</x:f>
        <x:v>85362</x:v>
      </x:c>
      <x:c r="F309" s="89">
        <x:f>E309*D309/SUMIFS($D$104:$D$468,$C$104:$C$468,C309)</x:f>
        <x:v>930.572514841423</x:v>
      </x:c>
      <x:c r="G309" s="90">
        <x:f>F309/10000</x:f>
        <x:v>0.0930572514841423</x:v>
      </x:c>
      <x:c r="H309" s="90">
        <x:f>AVERAGE(G303:G309)</x:f>
        <x:v>0.212830221436936</x:v>
      </x:c>
      <x:c r="I309" s="91" t="str">
        <x:f>TEXT(B309,"m/d")</x:f>
        <x:v>7/25</x:v>
      </x:c>
    </x:row>
    <x:row r="310" ht="22" customHeight="1">
      <x:c r="B310" s="85" t="n">
        <x:v>45864</x:v>
      </x:c>
      <x:c r="C310" s="84" t="n">
        <x:v>7</x:v>
      </x:c>
      <x:c r="D310" s="88" t="n">
        <x:v>0.900287</x:v>
      </x:c>
      <x:c r="E310" s="89">
        <x:f>INDEX('增长质量'!$C$62:$N$62,1,C310)</x:f>
        <x:v>85362</x:v>
      </x:c>
      <x:c r="F310" s="89">
        <x:f>E310*D310/SUMIFS($D$104:$D$468,$C$104:$C$468,C310)</x:f>
        <x:v>1668.86917221914</x:v>
      </x:c>
      <x:c r="G310" s="90">
        <x:f>F310/10000</x:f>
        <x:v>0.166886917221914</x:v>
      </x:c>
      <x:c r="H310" s="90">
        <x:f>AVERAGE(G304:G310)</x:f>
        <x:v>0.231437397612855</x:v>
      </x:c>
      <x:c r="I310" s="91" t="str">
        <x:f>TEXT(B310,"m/d")</x:f>
        <x:v>7/26</x:v>
      </x:c>
    </x:row>
    <x:row r="311" ht="22" customHeight="1">
      <x:c r="B311" s="85" t="n">
        <x:v>45865</x:v>
      </x:c>
      <x:c r="C311" s="84" t="n">
        <x:v>7</x:v>
      </x:c>
      <x:c r="D311" s="88" t="n">
        <x:v>0.559391</x:v>
      </x:c>
      <x:c r="E311" s="89">
        <x:f>INDEX('增长质量'!$C$62:$N$62,1,C311)</x:f>
        <x:v>85362</x:v>
      </x:c>
      <x:c r="F311" s="89">
        <x:f>E311*D311/SUMIFS($D$104:$D$468,$C$104:$C$468,C311)</x:f>
        <x:v>1036.94754574578</x:v>
      </x:c>
      <x:c r="G311" s="90">
        <x:f>F311/10000</x:f>
        <x:v>0.103694754574578</x:v>
      </x:c>
      <x:c r="H311" s="90">
        <x:f>AVERAGE(G305:G311)</x:f>
        <x:v>0.235352402328838</x:v>
      </x:c>
      <x:c r="I311" s="91" t="str">
        <x:f>TEXT(B311,"m/d")</x:f>
        <x:v>7/27</x:v>
      </x:c>
    </x:row>
    <x:row r="312" ht="22" customHeight="1">
      <x:c r="B312" s="85" t="n">
        <x:v>45866</x:v>
      </x:c>
      <x:c r="C312" s="84" t="n">
        <x:v>7</x:v>
      </x:c>
      <x:c r="D312" s="88" t="n">
        <x:v>2.501711</x:v>
      </x:c>
      <x:c r="E312" s="89">
        <x:f>INDEX('增长质量'!$C$62:$N$62,1,C312)</x:f>
        <x:v>85362</x:v>
      </x:c>
      <x:c r="F312" s="89">
        <x:f>E312*D312/SUMIFS($D$104:$D$468,$C$104:$C$468,C312)</x:f>
        <x:v>4637.441577743</x:v>
      </x:c>
      <x:c r="G312" s="90">
        <x:f>F312/10000</x:f>
        <x:v>0.4637441577743</x:v>
      </x:c>
      <x:c r="H312" s="90">
        <x:f>AVERAGE(G306:G312)</x:f>
        <x:v>0.283252136399393</x:v>
      </x:c>
      <x:c r="I312" s="91" t="str">
        <x:f>TEXT(B312,"m/d")</x:f>
        <x:v>7/28</x:v>
      </x:c>
    </x:row>
    <x:row r="313" ht="22" customHeight="1">
      <x:c r="B313" s="85" t="n">
        <x:v>45867</x:v>
      </x:c>
      <x:c r="C313" s="84" t="n">
        <x:v>7</x:v>
      </x:c>
      <x:c r="D313" s="88" t="n">
        <x:v>4.882376</x:v>
      </x:c>
      <x:c r="E313" s="89">
        <x:f>INDEX('增长质量'!$C$62:$N$62,1,C313)</x:f>
        <x:v>85362</x:v>
      </x:c>
      <x:c r="F313" s="89">
        <x:f>E313*D313/SUMIFS($D$104:$D$468,$C$104:$C$468,C313)</x:f>
        <x:v>9050.4992225619</x:v>
      </x:c>
      <x:c r="G313" s="90">
        <x:f>F313/10000</x:f>
        <x:v>0.90504992225619</x:v>
      </x:c>
      <x:c r="H313" s="90">
        <x:f>AVERAGE(G307:G313)</x:f>
        <x:v>0.354531470734913</x:v>
      </x:c>
      <x:c r="I313" s="91" t="str">
        <x:f>TEXT(B313,"m/d")</x:f>
        <x:v>7/29</x:v>
      </x:c>
    </x:row>
    <x:row r="314" ht="22" customHeight="1">
      <x:c r="B314" s="85" t="n">
        <x:v>45868</x:v>
      </x:c>
      <x:c r="C314" s="84" t="n">
        <x:v>7</x:v>
      </x:c>
      <x:c r="D314" s="88" t="n">
        <x:v>4.639463</x:v>
      </x:c>
      <x:c r="E314" s="89">
        <x:f>INDEX('增长质量'!$C$62:$N$62,1,C314)</x:f>
        <x:v>85362</x:v>
      </x:c>
      <x:c r="F314" s="89">
        <x:f>E314*D314/SUMIFS($D$104:$D$468,$C$104:$C$468,C314)</x:f>
        <x:v>8600.20946248398</x:v>
      </x:c>
      <x:c r="G314" s="90">
        <x:f>F314/10000</x:f>
        <x:v>0.860020946248398</x:v>
      </x:c>
      <x:c r="H314" s="90">
        <x:f>AVERAGE(G308:G314)</x:f>
        <x:v>0.436860016697313</x:v>
      </x:c>
      <x:c r="I314" s="91" t="str">
        <x:f>TEXT(B314,"m/d")</x:f>
        <x:v>7/30</x:v>
      </x:c>
    </x:row>
    <x:row r="315" ht="22" customHeight="1">
      <x:c r="B315" s="85" t="n">
        <x:v>45869</x:v>
      </x:c>
      <x:c r="C315" s="84" t="n">
        <x:v>7</x:v>
      </x:c>
      <x:c r="D315" s="88" t="n">
        <x:v>2.592178</x:v>
      </x:c>
      <x:c r="E315" s="89">
        <x:f>INDEX('增长质量'!$C$62:$N$62,1,C315)</x:f>
        <x:v>85362</x:v>
      </x:c>
      <x:c r="F315" s="89">
        <x:f>E315*D315/SUMIFS($D$104:$D$468,$C$104:$C$468,C315)</x:f>
        <x:v>4805.14097516087</x:v>
      </x:c>
      <x:c r="G315" s="90">
        <x:f>F315/10000</x:f>
        <x:v>0.480514097516087</x:v>
      </x:c>
      <x:c r="H315" s="90">
        <x:f>AVERAGE(G309:G315)</x:f>
        <x:v>0.438995435296516</x:v>
      </x:c>
      <x:c r="I315" s="91" t="str">
        <x:f>TEXT(B315,"m/d")</x:f>
        <x:v>7/31</x:v>
      </x:c>
    </x:row>
    <x:row r="316" ht="22" customHeight="1">
      <x:c r="B316" s="85" t="n">
        <x:v>45870</x:v>
      </x:c>
      <x:c r="C316" s="84" t="n">
        <x:v>8</x:v>
      </x:c>
      <x:c r="D316" s="88" t="n">
        <x:v>1.5812</x:v>
      </x:c>
      <x:c r="E316" s="89">
        <x:f>INDEX('增长质量'!$C$62:$N$62,1,C316)</x:f>
        <x:v>88990.5</x:v>
      </x:c>
      <x:c r="F316" s="89">
        <x:f>E316*D316/SUMIFS($D$104:$D$468,$C$104:$C$468,C316)</x:f>
        <x:v>3845.39301313683</x:v>
      </x:c>
      <x:c r="G316" s="90">
        <x:f>F316/10000</x:f>
        <x:v>0.384539301313683</x:v>
      </x:c>
      <x:c r="H316" s="90">
        <x:f>AVERAGE(G310:G316)</x:f>
        <x:v>0.480635728129307</x:v>
      </x:c>
      <x:c r="I316" s="91" t="str">
        <x:f>TEXT(B316,"m/d")</x:f>
        <x:v>8/1</x:v>
      </x:c>
    </x:row>
    <x:row r="317" ht="22" customHeight="1">
      <x:c r="B317" s="85" t="n">
        <x:v>45871</x:v>
      </x:c>
      <x:c r="C317" s="84" t="n">
        <x:v>8</x:v>
      </x:c>
      <x:c r="D317" s="88" t="n">
        <x:v>0.251919</x:v>
      </x:c>
      <x:c r="E317" s="89">
        <x:f>INDEX('增长质量'!$C$62:$N$62,1,C317)</x:f>
        <x:v>88990.5</x:v>
      </x:c>
      <x:c r="F317" s="89">
        <x:f>E317*D317/SUMIFS($D$104:$D$468,$C$104:$C$468,C317)</x:f>
        <x:v>612.653404045294</x:v>
      </x:c>
      <x:c r="G317" s="90">
        <x:f>F317/10000</x:f>
        <x:v>0.0612653404045294</x:v>
      </x:c>
      <x:c r="H317" s="90">
        <x:f>AVERAGE(G311:G317)</x:f>
        <x:v>0.465546931441109</x:v>
      </x:c>
      <x:c r="I317" s="91" t="str">
        <x:f>TEXT(B317,"m/d")</x:f>
        <x:v>8/2</x:v>
      </x:c>
    </x:row>
    <x:row r="318" ht="22" customHeight="1">
      <x:c r="B318" s="85" t="n">
        <x:v>45872</x:v>
      </x:c>
      <x:c r="C318" s="84" t="n">
        <x:v>8</x:v>
      </x:c>
      <x:c r="D318" s="88" t="n">
        <x:v>0.219427</x:v>
      </x:c>
      <x:c r="E318" s="89">
        <x:f>INDEX('增长质量'!$C$62:$N$62,1,C318)</x:f>
        <x:v>88990.5</x:v>
      </x:c>
      <x:c r="F318" s="89">
        <x:f>E318*D318/SUMIFS($D$104:$D$468,$C$104:$C$468,C318)</x:f>
        <x:v>533.63461465569</x:v>
      </x:c>
      <x:c r="G318" s="90">
        <x:f>F318/10000</x:f>
        <x:v>0.053363461465569</x:v>
      </x:c>
      <x:c r="H318" s="90">
        <x:f>AVERAGE(G312:G318)</x:f>
        <x:v>0.458356746711251</x:v>
      </x:c>
      <x:c r="I318" s="91" t="str">
        <x:f>TEXT(B318,"m/d")</x:f>
        <x:v>8/3</x:v>
      </x:c>
    </x:row>
    <x:row r="319" ht="22" customHeight="1">
      <x:c r="B319" s="85" t="n">
        <x:v>45873</x:v>
      </x:c>
      <x:c r="C319" s="84" t="n">
        <x:v>8</x:v>
      </x:c>
      <x:c r="D319" s="88" t="n">
        <x:v>0.789703</x:v>
      </x:c>
      <x:c r="E319" s="89">
        <x:f>INDEX('增长质量'!$C$62:$N$62,1,C319)</x:f>
        <x:v>88990.5</x:v>
      </x:c>
      <x:c r="F319" s="89">
        <x:f>E319*D319/SUMIFS($D$104:$D$468,$C$104:$C$468,C319)</x:f>
        <x:v>1920.51505100759</x:v>
      </x:c>
      <x:c r="G319" s="90">
        <x:f>F319/10000</x:f>
        <x:v>0.192051505100759</x:v>
      </x:c>
      <x:c r="H319" s="90">
        <x:f>AVERAGE(G313:G319)</x:f>
        <x:v>0.419543510615031</x:v>
      </x:c>
      <x:c r="I319" s="91" t="str">
        <x:f>TEXT(B319,"m/d")</x:f>
        <x:v>8/4</x:v>
      </x:c>
    </x:row>
    <x:row r="320" ht="22" customHeight="1">
      <x:c r="B320" s="85" t="n">
        <x:v>45874</x:v>
      </x:c>
      <x:c r="C320" s="84" t="n">
        <x:v>8</x:v>
      </x:c>
      <x:c r="D320" s="88" t="n">
        <x:v>2.185847</x:v>
      </x:c>
      <x:c r="E320" s="89">
        <x:f>INDEX('增长质量'!$C$62:$N$62,1,C320)</x:f>
        <x:v>88990.5</x:v>
      </x:c>
      <x:c r="F320" s="89">
        <x:f>E320*D320/SUMIFS($D$104:$D$468,$C$104:$C$468,C320)</x:f>
        <x:v>5315.86186540989</x:v>
      </x:c>
      <x:c r="G320" s="90">
        <x:f>F320/10000</x:f>
        <x:v>0.531586186540988</x:v>
      </x:c>
      <x:c r="H320" s="90">
        <x:f>AVERAGE(G314:G320)</x:f>
        <x:v>0.366191548370002</x:v>
      </x:c>
      <x:c r="I320" s="91" t="str">
        <x:f>TEXT(B320,"m/d")</x:f>
        <x:v>8/5</x:v>
      </x:c>
    </x:row>
    <x:row r="321" ht="22" customHeight="1">
      <x:c r="B321" s="85" t="n">
        <x:v>45875</x:v>
      </x:c>
      <x:c r="C321" s="84" t="n">
        <x:v>8</x:v>
      </x:c>
      <x:c r="D321" s="88" t="n">
        <x:v>0.417454</x:v>
      </x:c>
      <x:c r="E321" s="89">
        <x:f>INDEX('增长质量'!$C$62:$N$62,1,C321)</x:f>
        <x:v>88990.5</x:v>
      </x:c>
      <x:c r="F321" s="89">
        <x:f>E321*D321/SUMIFS($D$104:$D$468,$C$104:$C$468,C321)</x:f>
        <x:v>1015.2255849393</x:v>
      </x:c>
      <x:c r="G321" s="90">
        <x:f>F321/10000</x:f>
        <x:v>0.10152255849393</x:v>
      </x:c>
      <x:c r="H321" s="90">
        <x:f>AVERAGE(G315:G321)</x:f>
        <x:v>0.25783463583365</x:v>
      </x:c>
      <x:c r="I321" s="91" t="str">
        <x:f>TEXT(B321,"m/d")</x:f>
        <x:v>8/6</x:v>
      </x:c>
    </x:row>
    <x:row r="322" ht="22" customHeight="1">
      <x:c r="B322" s="85" t="n">
        <x:v>45876</x:v>
      </x:c>
      <x:c r="C322" s="84" t="n">
        <x:v>8</x:v>
      </x:c>
      <x:c r="D322" s="88" t="n">
        <x:v>1.358572</x:v>
      </x:c>
      <x:c r="E322" s="89">
        <x:f>INDEX('增长质量'!$C$62:$N$62,1,C322)</x:f>
        <x:v>88990.5</x:v>
      </x:c>
      <x:c r="F322" s="89">
        <x:f>E322*D322/SUMIFS($D$104:$D$468,$C$104:$C$468,C322)</x:f>
        <x:v>3303.97373933932</x:v>
      </x:c>
      <x:c r="G322" s="90">
        <x:f>F322/10000</x:f>
        <x:v>0.330397373933932</x:v>
      </x:c>
      <x:c r="H322" s="90">
        <x:f>AVERAGE(G316:G322)</x:f>
        <x:v>0.236389389607627</x:v>
      </x:c>
      <x:c r="I322" s="91" t="str">
        <x:f>TEXT(B322,"m/d")</x:f>
        <x:v>8/7</x:v>
      </x:c>
    </x:row>
    <x:row r="323" ht="22" customHeight="1">
      <x:c r="B323" s="85" t="n">
        <x:v>45877</x:v>
      </x:c>
      <x:c r="C323" s="84" t="n">
        <x:v>8</x:v>
      </x:c>
      <x:c r="D323" s="88" t="n">
        <x:v>1.750963</x:v>
      </x:c>
      <x:c r="E323" s="89">
        <x:f>INDEX('增长质量'!$C$62:$N$62,1,C323)</x:f>
        <x:v>88990.5</x:v>
      </x:c>
      <x:c r="F323" s="89">
        <x:f>E323*D323/SUMIFS($D$104:$D$468,$C$104:$C$468,C323)</x:f>
        <x:v>4258.24746171333</x:v>
      </x:c>
      <x:c r="G323" s="90">
        <x:f>F323/10000</x:f>
        <x:v>0.425824746171333</x:v>
      </x:c>
      <x:c r="H323" s="90">
        <x:f>AVERAGE(G317:G323)</x:f>
        <x:v>0.242287310301577</x:v>
      </x:c>
      <x:c r="I323" s="91" t="str">
        <x:f>TEXT(B323,"m/d")</x:f>
        <x:v>8/8</x:v>
      </x:c>
    </x:row>
    <x:row r="324" ht="22" customHeight="1">
      <x:c r="B324" s="85" t="n">
        <x:v>45878</x:v>
      </x:c>
      <x:c r="C324" s="84" t="n">
        <x:v>8</x:v>
      </x:c>
      <x:c r="D324" s="88" t="n">
        <x:v>0.608246</x:v>
      </x:c>
      <x:c r="E324" s="89">
        <x:f>INDEX('增长质量'!$C$62:$N$62,1,C324)</x:f>
        <x:v>88990.5</x:v>
      </x:c>
      <x:c r="F324" s="89">
        <x:f>E324*D324/SUMIFS($D$104:$D$468,$C$104:$C$468,C324)</x:f>
        <x:v>1479.22142592235</x:v>
      </x:c>
      <x:c r="G324" s="90">
        <x:f>F324/10000</x:f>
        <x:v>0.147922142592235</x:v>
      </x:c>
      <x:c r="H324" s="90">
        <x:f>AVERAGE(G318:G324)</x:f>
        <x:v>0.25466685347125</x:v>
      </x:c>
      <x:c r="I324" s="91" t="str">
        <x:f>TEXT(B324,"m/d")</x:f>
        <x:v>8/9</x:v>
      </x:c>
    </x:row>
    <x:row r="325" ht="22" customHeight="1">
      <x:c r="B325" s="85" t="n">
        <x:v>45879</x:v>
      </x:c>
      <x:c r="C325" s="84" t="n">
        <x:v>8</x:v>
      </x:c>
      <x:c r="D325" s="88" t="n">
        <x:v>0.155263</x:v>
      </x:c>
      <x:c r="E325" s="89">
        <x:f>INDEX('增长质量'!$C$62:$N$62,1,C325)</x:f>
        <x:v>88990.5</x:v>
      </x:c>
      <x:c r="F325" s="89">
        <x:f>E325*D325/SUMIFS($D$104:$D$468,$C$104:$C$468,C325)</x:f>
        <x:v>377.591231595411</x:v>
      </x:c>
      <x:c r="G325" s="90">
        <x:f>F325/10000</x:f>
        <x:v>0.0377591231595411</x:v>
      </x:c>
      <x:c r="H325" s="90">
        <x:f>AVERAGE(G319:G325)</x:f>
        <x:v>0.252437662284674</x:v>
      </x:c>
      <x:c r="I325" s="91" t="str">
        <x:f>TEXT(B325,"m/d")</x:f>
        <x:v>8/10</x:v>
      </x:c>
    </x:row>
    <x:row r="326" ht="22" customHeight="1">
      <x:c r="B326" s="85" t="n">
        <x:v>45880</x:v>
      </x:c>
      <x:c r="C326" s="84" t="n">
        <x:v>8</x:v>
      </x:c>
      <x:c r="D326" s="88" t="n">
        <x:v>0.70366</x:v>
      </x:c>
      <x:c r="E326" s="89">
        <x:f>INDEX('增长质量'!$C$62:$N$62,1,C326)</x:f>
        <x:v>88990.5</x:v>
      </x:c>
      <x:c r="F326" s="89">
        <x:f>E326*D326/SUMIFS($D$104:$D$468,$C$104:$C$468,C326)</x:f>
        <x:v>1711.26312144186</x:v>
      </x:c>
      <x:c r="G326" s="90">
        <x:f>F326/10000</x:f>
        <x:v>0.171126312144186</x:v>
      </x:c>
      <x:c r="H326" s="90">
        <x:f>AVERAGE(G320:G326)</x:f>
        <x:v>0.249448349005164</x:v>
      </x:c>
      <x:c r="I326" s="91" t="str">
        <x:f>TEXT(B326,"m/d")</x:f>
        <x:v>8/11</x:v>
      </x:c>
    </x:row>
    <x:row r="327" ht="22" customHeight="1">
      <x:c r="B327" s="85" t="n">
        <x:v>45881</x:v>
      </x:c>
      <x:c r="C327" s="84" t="n">
        <x:v>8</x:v>
      </x:c>
      <x:c r="D327" s="88" t="n">
        <x:v>1.481798</x:v>
      </x:c>
      <x:c r="E327" s="89">
        <x:f>INDEX('增长质量'!$C$62:$N$62,1,C327)</x:f>
        <x:v>88990.5</x:v>
      </x:c>
      <x:c r="F327" s="89">
        <x:f>E327*D327/SUMIFS($D$104:$D$468,$C$104:$C$468,C327)</x:f>
        <x:v>3603.65271697454</x:v>
      </x:c>
      <x:c r="G327" s="90">
        <x:f>F327/10000</x:f>
        <x:v>0.360365271697454</x:v>
      </x:c>
      <x:c r="H327" s="90">
        <x:f>AVERAGE(G321:G327)</x:f>
        <x:v>0.22498821831323</x:v>
      </x:c>
      <x:c r="I327" s="91" t="str">
        <x:f>TEXT(B327,"m/d")</x:f>
        <x:v>8/12</x:v>
      </x:c>
    </x:row>
    <x:row r="328" ht="22" customHeight="1">
      <x:c r="B328" s="85" t="n">
        <x:v>45882</x:v>
      </x:c>
      <x:c r="C328" s="84" t="n">
        <x:v>8</x:v>
      </x:c>
      <x:c r="D328" s="88" t="n">
        <x:v>0.331999</x:v>
      </x:c>
      <x:c r="E328" s="89">
        <x:f>INDEX('增长质量'!$C$62:$N$62,1,C328)</x:f>
        <x:v>88990.5</x:v>
      </x:c>
      <x:c r="F328" s="89">
        <x:f>E328*D328/SUMIFS($D$104:$D$468,$C$104:$C$468,C328)</x:f>
        <x:v>807.403639620804</x:v>
      </x:c>
      <x:c r="G328" s="90">
        <x:f>F328/10000</x:f>
        <x:v>0.0807403639620804</x:v>
      </x:c>
      <x:c r="H328" s="90">
        <x:f>AVERAGE(G322:G328)</x:f>
        <x:v>0.222019333380109</x:v>
      </x:c>
      <x:c r="I328" s="91" t="str">
        <x:f>TEXT(B328,"m/d")</x:f>
        <x:v>8/13</x:v>
      </x:c>
    </x:row>
    <x:row r="329" ht="22" customHeight="1">
      <x:c r="B329" s="85" t="n">
        <x:v>45883</x:v>
      </x:c>
      <x:c r="C329" s="84" t="n">
        <x:v>8</x:v>
      </x:c>
      <x:c r="D329" s="88" t="n">
        <x:v>1.074326</x:v>
      </x:c>
      <x:c r="E329" s="89">
        <x:f>INDEX('增长质量'!$C$62:$N$62,1,C329)</x:f>
        <x:v>88990.5</x:v>
      </x:c>
      <x:c r="F329" s="89">
        <x:f>E329*D329/SUMIFS($D$104:$D$468,$C$104:$C$468,C329)</x:f>
        <x:v>2612.70281699421</x:v>
      </x:c>
      <x:c r="G329" s="90">
        <x:f>F329/10000</x:f>
        <x:v>0.261270281699421</x:v>
      </x:c>
      <x:c r="H329" s="90">
        <x:f>AVERAGE(G323:G329)</x:f>
        <x:v>0.212144034489464</x:v>
      </x:c>
      <x:c r="I329" s="91" t="str">
        <x:f>TEXT(B329,"m/d")</x:f>
        <x:v>8/14</x:v>
      </x:c>
    </x:row>
    <x:row r="330" ht="22" customHeight="1">
      <x:c r="B330" s="85" t="n">
        <x:v>45884</x:v>
      </x:c>
      <x:c r="C330" s="84" t="n">
        <x:v>8</x:v>
      </x:c>
      <x:c r="D330" s="88" t="n">
        <x:v>1.077713</x:v>
      </x:c>
      <x:c r="E330" s="89">
        <x:f>INDEX('增长质量'!$C$62:$N$62,1,C330)</x:f>
        <x:v>88990.5</x:v>
      </x:c>
      <x:c r="F330" s="89">
        <x:f>E330*D330/SUMIFS($D$104:$D$468,$C$104:$C$468,C330)</x:f>
        <x:v>2620.93981809179</x:v>
      </x:c>
      <x:c r="G330" s="90">
        <x:f>F330/10000</x:f>
        <x:v>0.262093981809179</x:v>
      </x:c>
      <x:c r="H330" s="90">
        <x:f>AVERAGE(G324:G330)</x:f>
        <x:v>0.188753925294871</x:v>
      </x:c>
      <x:c r="I330" s="91" t="str">
        <x:f>TEXT(B330,"m/d")</x:f>
        <x:v>8/15</x:v>
      </x:c>
    </x:row>
    <x:row r="331" ht="22" customHeight="1">
      <x:c r="B331" s="85" t="n">
        <x:v>45885</x:v>
      </x:c>
      <x:c r="C331" s="84" t="n">
        <x:v>8</x:v>
      </x:c>
      <x:c r="D331" s="88" t="n">
        <x:v>0.385958</x:v>
      </x:c>
      <x:c r="E331" s="89">
        <x:f>INDEX('增长质量'!$C$62:$N$62,1,C331)</x:f>
        <x:v>88990.5</x:v>
      </x:c>
      <x:c r="F331" s="89">
        <x:f>E331*D331/SUMIFS($D$104:$D$468,$C$104:$C$468,C331)</x:f>
        <x:v>938.629013764398</x:v>
      </x:c>
      <x:c r="G331" s="90">
        <x:f>F331/10000</x:f>
        <x:v>0.0938629013764398</x:v>
      </x:c>
      <x:c r="H331" s="90">
        <x:f>AVERAGE(G325:G331)</x:f>
        <x:v>0.181031176549757</x:v>
      </x:c>
      <x:c r="I331" s="91" t="str">
        <x:f>TEXT(B331,"m/d")</x:f>
        <x:v>8/16</x:v>
      </x:c>
    </x:row>
    <x:row r="332" ht="22" customHeight="1">
      <x:c r="B332" s="85" t="n">
        <x:v>45886</x:v>
      </x:c>
      <x:c r="C332" s="84" t="n">
        <x:v>8</x:v>
      </x:c>
      <x:c r="D332" s="88" t="n">
        <x:v>0.22441</x:v>
      </x:c>
      <x:c r="E332" s="89">
        <x:f>INDEX('增长质量'!$C$62:$N$62,1,C332)</x:f>
        <x:v>88990.5</x:v>
      </x:c>
      <x:c r="F332" s="89">
        <x:f>E332*D332/SUMIFS($D$104:$D$468,$C$104:$C$468,C332)</x:f>
        <x:v>545.753001567188</x:v>
      </x:c>
      <x:c r="G332" s="90">
        <x:f>F332/10000</x:f>
        <x:v>0.0545753001567188</x:v>
      </x:c>
      <x:c r="H332" s="90">
        <x:f>AVERAGE(G326:G332)</x:f>
        <x:v>0.183433487549354</x:v>
      </x:c>
      <x:c r="I332" s="91" t="str">
        <x:f>TEXT(B332,"m/d")</x:f>
        <x:v>8/17</x:v>
      </x:c>
    </x:row>
    <x:row r="333" ht="22" customHeight="1">
      <x:c r="B333" s="85" t="n">
        <x:v>45887</x:v>
      </x:c>
      <x:c r="C333" s="84" t="n">
        <x:v>8</x:v>
      </x:c>
      <x:c r="D333" s="88" t="n">
        <x:v>1.90464</x:v>
      </x:c>
      <x:c r="E333" s="89">
        <x:f>INDEX('增长质量'!$C$62:$N$62,1,C333)</x:f>
        <x:v>88990.5</x:v>
      </x:c>
      <x:c r="F333" s="89">
        <x:f>E333*D333/SUMIFS($D$104:$D$468,$C$104:$C$468,C333)</x:f>
        <x:v>4631.98162695481</x:v>
      </x:c>
      <x:c r="G333" s="90">
        <x:f>F333/10000</x:f>
        <x:v>0.463198162695481</x:v>
      </x:c>
      <x:c r="H333" s="90">
        <x:f>AVERAGE(G327:G333)</x:f>
        <x:v>0.22515803762811</x:v>
      </x:c>
      <x:c r="I333" s="91" t="str">
        <x:f>TEXT(B333,"m/d")</x:f>
        <x:v>8/18</x:v>
      </x:c>
    </x:row>
    <x:row r="334" ht="22" customHeight="1">
      <x:c r="B334" s="85" t="n">
        <x:v>45888</x:v>
      </x:c>
      <x:c r="C334" s="84" t="n">
        <x:v>8</x:v>
      </x:c>
      <x:c r="D334" s="88" t="n">
        <x:v>1.554353</x:v>
      </x:c>
      <x:c r="E334" s="89">
        <x:f>INDEX('增长质量'!$C$62:$N$62,1,C334)</x:f>
        <x:v>88990.5</x:v>
      </x:c>
      <x:c r="F334" s="89">
        <x:f>E334*D334/SUMIFS($D$104:$D$468,$C$104:$C$468,C334)</x:f>
        <x:v>3780.10255890987</x:v>
      </x:c>
      <x:c r="G334" s="90">
        <x:f>F334/10000</x:f>
        <x:v>0.378010255890986</x:v>
      </x:c>
      <x:c r="H334" s="90">
        <x:f>AVERAGE(G328:G334)</x:f>
        <x:v>0.227678749655758</x:v>
      </x:c>
      <x:c r="I334" s="91" t="str">
        <x:f>TEXT(B334,"m/d")</x:f>
        <x:v>8/19</x:v>
      </x:c>
    </x:row>
    <x:row r="335" ht="22" customHeight="1">
      <x:c r="B335" s="85" t="n">
        <x:v>45889</x:v>
      </x:c>
      <x:c r="C335" s="84" t="n">
        <x:v>8</x:v>
      </x:c>
      <x:c r="D335" s="88" t="n">
        <x:v>1.085413</x:v>
      </x:c>
      <x:c r="E335" s="89">
        <x:f>INDEX('增长质量'!$C$62:$N$62,1,C335)</x:f>
        <x:v>88990.5</x:v>
      </x:c>
      <x:c r="F335" s="89">
        <x:f>E335*D335/SUMIFS($D$104:$D$468,$C$104:$C$468,C335)</x:f>
        <x:v>2639.66580228174</x:v>
      </x:c>
      <x:c r="G335" s="90">
        <x:f>F335/10000</x:f>
        <x:v>0.263966580228174</x:v>
      </x:c>
      <x:c r="H335" s="90">
        <x:f>AVERAGE(G329:G335)</x:f>
        <x:v>0.253853923408057</x:v>
      </x:c>
      <x:c r="I335" s="91" t="str">
        <x:f>TEXT(B335,"m/d")</x:f>
        <x:v>8/20</x:v>
      </x:c>
    </x:row>
    <x:row r="336" ht="22" customHeight="1">
      <x:c r="B336" s="85" t="n">
        <x:v>45890</x:v>
      </x:c>
      <x:c r="C336" s="84" t="n">
        <x:v>8</x:v>
      </x:c>
      <x:c r="D336" s="88" t="n">
        <x:v>1.345994</x:v>
      </x:c>
      <x:c r="E336" s="89">
        <x:f>INDEX('增长质量'!$C$62:$N$62,1,C336)</x:f>
        <x:v>88990.5</x:v>
      </x:c>
      <x:c r="F336" s="89">
        <x:f>E336*D336/SUMIFS($D$104:$D$468,$C$104:$C$468,C336)</x:f>
        <x:v>3273.38472256773</x:v>
      </x:c>
      <x:c r="G336" s="90">
        <x:f>F336/10000</x:f>
        <x:v>0.327338472256773</x:v>
      </x:c>
      <x:c r="H336" s="90">
        <x:f>AVERAGE(G330:G336)</x:f>
        <x:v>0.263292236344822</x:v>
      </x:c>
      <x:c r="I336" s="91" t="str">
        <x:f>TEXT(B336,"m/d")</x:f>
        <x:v>8/21</x:v>
      </x:c>
    </x:row>
    <x:row r="337" ht="22" customHeight="1">
      <x:c r="B337" s="85" t="n">
        <x:v>45891</x:v>
      </x:c>
      <x:c r="C337" s="84" t="n">
        <x:v>8</x:v>
      </x:c>
      <x:c r="D337" s="88" t="n">
        <x:v>0.791688</x:v>
      </x:c>
      <x:c r="E337" s="89">
        <x:f>INDEX('增长质量'!$C$62:$N$62,1,C337)</x:f>
        <x:v>88990.5</x:v>
      </x:c>
      <x:c r="F337" s="89">
        <x:f>E337*D337/SUMIFS($D$104:$D$468,$C$104:$C$468,C337)</x:f>
        <x:v>1925.342463815</x:v>
      </x:c>
      <x:c r="G337" s="90">
        <x:f>F337/10000</x:f>
        <x:v>0.1925342463815</x:v>
      </x:c>
      <x:c r="H337" s="90">
        <x:f>AVERAGE(G331:G337)</x:f>
        <x:v>0.253355131283725</x:v>
      </x:c>
      <x:c r="I337" s="91" t="str">
        <x:f>TEXT(B337,"m/d")</x:f>
        <x:v>8/22</x:v>
      </x:c>
    </x:row>
    <x:row r="338" ht="22" customHeight="1">
      <x:c r="B338" s="85" t="n">
        <x:v>45892</x:v>
      </x:c>
      <x:c r="C338" s="84" t="n">
        <x:v>8</x:v>
      </x:c>
      <x:c r="D338" s="88" t="n">
        <x:v>0.478989</x:v>
      </x:c>
      <x:c r="E338" s="89">
        <x:f>INDEX('增长质量'!$C$62:$N$62,1,C338)</x:f>
        <x:v>88990.5</x:v>
      </x:c>
      <x:c r="F338" s="89">
        <x:f>E338*D338/SUMIFS($D$104:$D$468,$C$104:$C$468,C338)</x:f>
        <x:v>1164.87538196901</x:v>
      </x:c>
      <x:c r="G338" s="90">
        <x:f>F338/10000</x:f>
        <x:v>0.116487538196901</x:v>
      </x:c>
      <x:c r="H338" s="90">
        <x:f>AVERAGE(G332:G338)</x:f>
        <x:v>0.256587222258076</x:v>
      </x:c>
      <x:c r="I338" s="91" t="str">
        <x:f>TEXT(B338,"m/d")</x:f>
        <x:v>8/23</x:v>
      </x:c>
    </x:row>
    <x:row r="339" ht="22" customHeight="1">
      <x:c r="B339" s="85" t="n">
        <x:v>45893</x:v>
      </x:c>
      <x:c r="C339" s="84" t="n">
        <x:v>8</x:v>
      </x:c>
      <x:c r="D339" s="88" t="n">
        <x:v>0.407972</x:v>
      </x:c>
      <x:c r="E339" s="89">
        <x:f>INDEX('增长质量'!$C$62:$N$62,1,C339)</x:f>
        <x:v>88990.5</x:v>
      </x:c>
      <x:c r="F339" s="89">
        <x:f>E339*D339/SUMIFS($D$104:$D$468,$C$104:$C$468,C339)</x:f>
        <x:v>992.165872979674</x:v>
      </x:c>
      <x:c r="G339" s="90">
        <x:f>F339/10000</x:f>
        <x:v>0.0992165872979674</x:v>
      </x:c>
      <x:c r="H339" s="90">
        <x:f>AVERAGE(G333:G339)</x:f>
        <x:v>0.26296454899254</x:v>
      </x:c>
      <x:c r="I339" s="91" t="str">
        <x:f>TEXT(B339,"m/d")</x:f>
        <x:v>8/24</x:v>
      </x:c>
    </x:row>
    <x:row r="340" ht="22" customHeight="1">
      <x:c r="B340" s="85" t="n">
        <x:v>45894</x:v>
      </x:c>
      <x:c r="C340" s="84" t="n">
        <x:v>8</x:v>
      </x:c>
      <x:c r="D340" s="88" t="n">
        <x:v>1.312344</x:v>
      </x:c>
      <x:c r="E340" s="89">
        <x:f>INDEX('增长质量'!$C$62:$N$62,1,C340)</x:f>
        <x:v>88990.5</x:v>
      </x:c>
      <x:c r="F340" s="89">
        <x:f>E340*D340/SUMIFS($D$104:$D$468,$C$104:$C$468,C340)</x:f>
        <x:v>3191.54973971164</x:v>
      </x:c>
      <x:c r="G340" s="90">
        <x:f>F340/10000</x:f>
        <x:v>0.319154973971164</x:v>
      </x:c>
      <x:c r="H340" s="90">
        <x:f>AVERAGE(G334:G340)</x:f>
        <x:v>0.242386950603352</x:v>
      </x:c>
      <x:c r="I340" s="91" t="str">
        <x:f>TEXT(B340,"m/d")</x:f>
        <x:v>8/25</x:v>
      </x:c>
    </x:row>
    <x:row r="341" ht="22" customHeight="1">
      <x:c r="B341" s="85" t="n">
        <x:v>45895</x:v>
      </x:c>
      <x:c r="C341" s="84" t="n">
        <x:v>8</x:v>
      </x:c>
      <x:c r="D341" s="88" t="n">
        <x:v>1.171861</x:v>
      </x:c>
      <x:c r="E341" s="89">
        <x:f>INDEX('增长质量'!$C$62:$N$62,1,C341)</x:f>
        <x:v>88990.5</x:v>
      </x:c>
      <x:c r="F341" s="89">
        <x:f>E341*D341/SUMIFS($D$104:$D$468,$C$104:$C$468,C341)</x:f>
        <x:v>2849.90266997694</x:v>
      </x:c>
      <x:c r="G341" s="90">
        <x:f>F341/10000</x:f>
        <x:v>0.284990266997694</x:v>
      </x:c>
      <x:c r="H341" s="90">
        <x:f>AVERAGE(G335:G341)</x:f>
        <x:v>0.229098380761453</x:v>
      </x:c>
      <x:c r="I341" s="91" t="str">
        <x:f>TEXT(B341,"m/d")</x:f>
        <x:v>8/26</x:v>
      </x:c>
    </x:row>
    <x:row r="342" ht="22" customHeight="1">
      <x:c r="B342" s="85" t="n">
        <x:v>45896</x:v>
      </x:c>
      <x:c r="C342" s="84" t="n">
        <x:v>8</x:v>
      </x:c>
      <x:c r="D342" s="88" t="n">
        <x:v>1.991518</x:v>
      </x:c>
      <x:c r="E342" s="89">
        <x:f>INDEX('增长质量'!$C$62:$N$62,1,C342)</x:f>
        <x:v>88990.5</x:v>
      </x:c>
      <x:c r="F342" s="89">
        <x:f>E342*D342/SUMIFS($D$104:$D$468,$C$104:$C$468,C342)</x:f>
        <x:v>4843.26423142945</x:v>
      </x:c>
      <x:c r="G342" s="90">
        <x:f>F342/10000</x:f>
        <x:v>0.484326423142945</x:v>
      </x:c>
      <x:c r="H342" s="90">
        <x:f>AVERAGE(G336:G342)</x:f>
        <x:v>0.260578358320706</x:v>
      </x:c>
      <x:c r="I342" s="91" t="str">
        <x:f>TEXT(B342,"m/d")</x:f>
        <x:v>8/27</x:v>
      </x:c>
    </x:row>
    <x:row r="343" ht="22" customHeight="1">
      <x:c r="B343" s="85" t="n">
        <x:v>45897</x:v>
      </x:c>
      <x:c r="C343" s="84" t="n">
        <x:v>8</x:v>
      </x:c>
      <x:c r="D343" s="88" t="n">
        <x:v>2.97313</x:v>
      </x:c>
      <x:c r="E343" s="89">
        <x:f>INDEX('增长质量'!$C$62:$N$62,1,C343)</x:f>
        <x:v>88990.5</x:v>
      </x:c>
      <x:c r="F343" s="89">
        <x:f>E343*D343/SUMIFS($D$104:$D$468,$C$104:$C$468,C343)</x:f>
        <x:v>7230.49160710063</x:v>
      </x:c>
      <x:c r="G343" s="90">
        <x:f>F343/10000</x:f>
        <x:v>0.723049160710063</x:v>
      </x:c>
      <x:c r="H343" s="90">
        <x:f>AVERAGE(G337:G343)</x:f>
        <x:v>0.317108456671176</x:v>
      </x:c>
      <x:c r="I343" s="91" t="str">
        <x:f>TEXT(B343,"m/d")</x:f>
        <x:v>8/28</x:v>
      </x:c>
    </x:row>
    <x:row r="344" ht="22" customHeight="1">
      <x:c r="B344" s="85" t="n">
        <x:v>45898</x:v>
      </x:c>
      <x:c r="C344" s="84" t="n">
        <x:v>8</x:v>
      </x:c>
      <x:c r="D344" s="88" t="n">
        <x:v>4.279614</x:v>
      </x:c>
      <x:c r="E344" s="89">
        <x:f>INDEX('增长质量'!$C$62:$N$62,1,C344)</x:f>
        <x:v>88990.5</x:v>
      </x:c>
      <x:c r="F344" s="89">
        <x:f>E344*D344/SUMIFS($D$104:$D$468,$C$104:$C$468,C344)</x:f>
        <x:v>10407.7901432599</x:v>
      </x:c>
      <x:c r="G344" s="90">
        <x:f>F344/10000</x:f>
        <x:v>1.04077901432599</x:v>
      </x:c>
      <x:c r="H344" s="90">
        <x:f>AVERAGE(G338:G344)</x:f>
        <x:v>0.438286280663247</x:v>
      </x:c>
      <x:c r="I344" s="91" t="str">
        <x:f>TEXT(B344,"m/d")</x:f>
        <x:v>8/29</x:v>
      </x:c>
    </x:row>
    <x:row r="345" ht="22" customHeight="1">
      <x:c r="B345" s="85" t="n">
        <x:v>45899</x:v>
      </x:c>
      <x:c r="C345" s="84" t="n">
        <x:v>8</x:v>
      </x:c>
      <x:c r="D345" s="88" t="n">
        <x:v>1.571693</x:v>
      </x:c>
      <x:c r="E345" s="89">
        <x:f>INDEX('增长质量'!$C$62:$N$62,1,C345)</x:f>
        <x:v>88990.5</x:v>
      </x:c>
      <x:c r="F345" s="89">
        <x:f>E345*D345/SUMIFS($D$104:$D$468,$C$104:$C$468,C345)</x:f>
        <x:v>3822.27250252724</x:v>
      </x:c>
      <x:c r="G345" s="90">
        <x:f>F345/10000</x:f>
        <x:v>0.382227250252724</x:v>
      </x:c>
      <x:c r="H345" s="90">
        <x:f>AVERAGE(G339:G345)</x:f>
        <x:v>0.476249096671221</x:v>
      </x:c>
      <x:c r="I345" s="91" t="str">
        <x:f>TEXT(B345,"m/d")</x:f>
        <x:v>8/30</x:v>
      </x:c>
    </x:row>
    <x:row r="346" ht="22" customHeight="1">
      <x:c r="B346" s="85" t="n">
        <x:v>45900</x:v>
      </x:c>
      <x:c r="C346" s="84" t="n">
        <x:v>8</x:v>
      </x:c>
      <x:c r="D346" s="88" t="n">
        <x:v>1.124634</x:v>
      </x:c>
      <x:c r="E346" s="89">
        <x:f>INDEX('增长质量'!$C$62:$N$62,1,C346)</x:f>
        <x:v>88990.5</x:v>
      </x:c>
      <x:c r="F346" s="89">
        <x:f>E346*D346/SUMIFS($D$104:$D$468,$C$104:$C$468,C346)</x:f>
        <x:v>2735.04915629657</x:v>
      </x:c>
      <x:c r="G346" s="90">
        <x:f>F346/10000</x:f>
        <x:v>0.273504915629657</x:v>
      </x:c>
      <x:c r="H346" s="90">
        <x:f>AVERAGE(G340:G346)</x:f>
        <x:v>0.501147429290034</x:v>
      </x:c>
      <x:c r="I346" s="91" t="str">
        <x:f>TEXT(B346,"m/d")</x:f>
        <x:v>8/31</x:v>
      </x:c>
    </x:row>
    <x:row r="347" ht="22" customHeight="1">
      <x:c r="B347" s="85" t="n">
        <x:v>45901</x:v>
      </x:c>
      <x:c r="C347" s="84" t="n">
        <x:v>9</x:v>
      </x:c>
      <x:c r="D347" s="88" t="n">
        <x:v>1.047131</x:v>
      </x:c>
      <x:c r="E347" s="89">
        <x:f>INDEX('增长质量'!$C$62:$N$62,1,C347)</x:f>
        <x:v>92862</x:v>
      </x:c>
      <x:c r="F347" s="89">
        <x:f>E347*D347/SUMIFS($D$104:$D$468,$C$104:$C$468,C347)</x:f>
        <x:v>2095.27568003275</x:v>
      </x:c>
      <x:c r="G347" s="90">
        <x:f>F347/10000</x:f>
        <x:v>0.209527568003275</x:v>
      </x:c>
      <x:c r="H347" s="90">
        <x:f>AVERAGE(G341:G347)</x:f>
        <x:v>0.485486371294621</x:v>
      </x:c>
      <x:c r="I347" s="91" t="str">
        <x:f>TEXT(B347,"m/d")</x:f>
        <x:v>9/1</x:v>
      </x:c>
    </x:row>
    <x:row r="348" ht="22" customHeight="1">
      <x:c r="B348" s="85" t="n">
        <x:v>45902</x:v>
      </x:c>
      <x:c r="C348" s="84" t="n">
        <x:v>9</x:v>
      </x:c>
      <x:c r="D348" s="88" t="n">
        <x:v>1.400147</x:v>
      </x:c>
      <x:c r="E348" s="89">
        <x:f>INDEX('增长质量'!$C$62:$N$62,1,C348)</x:f>
        <x:v>92862</x:v>
      </x:c>
      <x:c r="F348" s="89">
        <x:f>E348*D348/SUMIFS($D$104:$D$468,$C$104:$C$468,C348)</x:f>
        <x:v>2801.64941881275</x:v>
      </x:c>
      <x:c r="G348" s="90">
        <x:f>F348/10000</x:f>
        <x:v>0.280164941881275</x:v>
      </x:c>
      <x:c r="H348" s="90">
        <x:f>AVERAGE(G342:G348)</x:f>
        <x:v>0.484797039135133</x:v>
      </x:c>
      <x:c r="I348" s="91" t="str">
        <x:f>TEXT(B348,"m/d")</x:f>
        <x:v>9/2</x:v>
      </x:c>
    </x:row>
    <x:row r="349" ht="22" customHeight="1">
      <x:c r="B349" s="85" t="n">
        <x:v>45903</x:v>
      </x:c>
      <x:c r="C349" s="84" t="n">
        <x:v>9</x:v>
      </x:c>
      <x:c r="D349" s="88" t="n">
        <x:v>1.037366</x:v>
      </x:c>
      <x:c r="E349" s="89">
        <x:f>INDEX('增长质量'!$C$62:$N$62,1,C349)</x:f>
        <x:v>92862</x:v>
      </x:c>
      <x:c r="F349" s="89">
        <x:f>E349*D349/SUMIFS($D$104:$D$468,$C$104:$C$468,C349)</x:f>
        <x:v>2075.7362269791</x:v>
      </x:c>
      <x:c r="G349" s="90">
        <x:f>F349/10000</x:f>
        <x:v>0.20757362269791</x:v>
      </x:c>
      <x:c r="H349" s="90">
        <x:f>AVERAGE(G343:G349)</x:f>
        <x:v>0.445260924785842</x:v>
      </x:c>
      <x:c r="I349" s="91" t="str">
        <x:f>TEXT(B349,"m/d")</x:f>
        <x:v>9/3</x:v>
      </x:c>
    </x:row>
    <x:row r="350" ht="22" customHeight="1">
      <x:c r="B350" s="85" t="n">
        <x:v>45904</x:v>
      </x:c>
      <x:c r="C350" s="84" t="n">
        <x:v>9</x:v>
      </x:c>
      <x:c r="D350" s="88" t="n">
        <x:v>2.505026</x:v>
      </x:c>
      <x:c r="E350" s="89">
        <x:f>INDEX('增长质量'!$C$62:$N$62,1,C350)</x:f>
        <x:v>92862</x:v>
      </x:c>
      <x:c r="F350" s="89">
        <x:f>E350*D350/SUMIFS($D$104:$D$468,$C$104:$C$468,C350)</x:f>
        <x:v>5012.47700206537</x:v>
      </x:c>
      <x:c r="G350" s="90">
        <x:f>F350/10000</x:f>
        <x:v>0.501247700206537</x:v>
      </x:c>
      <x:c r="H350" s="90">
        <x:f>AVERAGE(G344:G350)</x:f>
        <x:v>0.413575001856767</x:v>
      </x:c>
      <x:c r="I350" s="91" t="str">
        <x:f>TEXT(B350,"m/d")</x:f>
        <x:v>9/4</x:v>
      </x:c>
    </x:row>
    <x:row r="351" ht="22" customHeight="1">
      <x:c r="B351" s="85" t="n">
        <x:v>45905</x:v>
      </x:c>
      <x:c r="C351" s="84" t="n">
        <x:v>9</x:v>
      </x:c>
      <x:c r="D351" s="88" t="n">
        <x:v>0.707625</x:v>
      </x:c>
      <x:c r="E351" s="89">
        <x:f>INDEX('增长质量'!$C$62:$N$62,1,C351)</x:f>
        <x:v>92862</x:v>
      </x:c>
      <x:c r="F351" s="89">
        <x:f>E351*D351/SUMIFS($D$104:$D$468,$C$104:$C$468,C351)</x:f>
        <x:v>1415.93501967106</x:v>
      </x:c>
      <x:c r="G351" s="90">
        <x:f>F351/10000</x:f>
        <x:v>0.141593501967106</x:v>
      </x:c>
      <x:c r="H351" s="90">
        <x:f>AVERAGE(G345:G351)</x:f>
        <x:v>0.285119928662641</x:v>
      </x:c>
      <x:c r="I351" s="91" t="str">
        <x:f>TEXT(B351,"m/d")</x:f>
        <x:v>9/5</x:v>
      </x:c>
    </x:row>
    <x:row r="352" ht="22" customHeight="1">
      <x:c r="B352" s="85" t="n">
        <x:v>45906</x:v>
      </x:c>
      <x:c r="C352" s="84" t="n">
        <x:v>9</x:v>
      </x:c>
      <x:c r="D352" s="88" t="n">
        <x:v>0.445601</x:v>
      </x:c>
      <x:c r="E352" s="89">
        <x:f>INDEX('增长质量'!$C$62:$N$62,1,C352)</x:f>
        <x:v>92862</x:v>
      </x:c>
      <x:c r="F352" s="89">
        <x:f>E352*D352/SUMIFS($D$104:$D$468,$C$104:$C$468,C352)</x:f>
        <x:v>891.633366119686</x:v>
      </x:c>
      <x:c r="G352" s="90">
        <x:f>F352/10000</x:f>
        <x:v>0.0891633366119686</x:v>
      </x:c>
      <x:c r="H352" s="90">
        <x:f>AVERAGE(G346:G352)</x:f>
        <x:v>0.24325365528539</x:v>
      </x:c>
      <x:c r="I352" s="91" t="str">
        <x:f>TEXT(B352,"m/d")</x:f>
        <x:v>9/6</x:v>
      </x:c>
    </x:row>
    <x:row r="353" ht="22" customHeight="1">
      <x:c r="B353" s="85" t="n">
        <x:v>45907</x:v>
      </x:c>
      <x:c r="C353" s="84" t="n">
        <x:v>9</x:v>
      </x:c>
      <x:c r="D353" s="88" t="n">
        <x:v>0.140181</x:v>
      </x:c>
      <x:c r="E353" s="89">
        <x:f>INDEX('增长质量'!$C$62:$N$62,1,C353)</x:f>
        <x:v>92862</x:v>
      </x:c>
      <x:c r="F353" s="89">
        <x:f>E353*D353/SUMIFS($D$104:$D$468,$C$104:$C$468,C353)</x:f>
        <x:v>280.497702868763</x:v>
      </x:c>
      <x:c r="G353" s="90">
        <x:f>F353/10000</x:f>
        <x:v>0.0280497702868763</x:v>
      </x:c>
      <x:c r="H353" s="90">
        <x:f>AVERAGE(G347:G353)</x:f>
        <x:v>0.208188634522135</x:v>
      </x:c>
      <x:c r="I353" s="91" t="str">
        <x:f>TEXT(B353,"m/d")</x:f>
        <x:v>9/7</x:v>
      </x:c>
    </x:row>
    <x:row r="354" ht="22" customHeight="1">
      <x:c r="B354" s="85" t="n">
        <x:v>45908</x:v>
      </x:c>
      <x:c r="C354" s="84" t="n">
        <x:v>9</x:v>
      </x:c>
      <x:c r="D354" s="88" t="n">
        <x:v>0.895545</x:v>
      </x:c>
      <x:c r="E354" s="89">
        <x:f>INDEX('增长质量'!$C$62:$N$62,1,C354)</x:f>
        <x:v>92862</x:v>
      </x:c>
      <x:c r="F354" s="89">
        <x:f>E354*D354/SUMIFS($D$104:$D$468,$C$104:$C$468,C354)</x:f>
        <x:v>1791.95693650071</x:v>
      </x:c>
      <x:c r="G354" s="90">
        <x:f>F354/10000</x:f>
        <x:v>0.179195693650071</x:v>
      </x:c>
      <x:c r="H354" s="90">
        <x:f>AVERAGE(G348:G354)</x:f>
        <x:v>0.203855509614535</x:v>
      </x:c>
      <x:c r="I354" s="91" t="str">
        <x:f>TEXT(B354,"m/d")</x:f>
        <x:v>9/8</x:v>
      </x:c>
    </x:row>
    <x:row r="355" ht="22" customHeight="1">
      <x:c r="B355" s="85" t="n">
        <x:v>45909</x:v>
      </x:c>
      <x:c r="C355" s="84" t="n">
        <x:v>9</x:v>
      </x:c>
      <x:c r="D355" s="88" t="n">
        <x:v>1.233096</x:v>
      </x:c>
      <x:c r="E355" s="89">
        <x:f>INDEX('增长质量'!$C$62:$N$62,1,C355)</x:f>
        <x:v>92862</x:v>
      </x:c>
      <x:c r="F355" s="89">
        <x:f>E355*D355/SUMIFS($D$104:$D$468,$C$104:$C$468,C355)</x:f>
        <x:v>2467.38570431557</x:v>
      </x:c>
      <x:c r="G355" s="90">
        <x:f>F355/10000</x:f>
        <x:v>0.246738570431557</x:v>
      </x:c>
      <x:c r="H355" s="90">
        <x:f>AVERAGE(G349:G355)</x:f>
        <x:v>0.199080313693147</x:v>
      </x:c>
      <x:c r="I355" s="91" t="str">
        <x:f>TEXT(B355,"m/d")</x:f>
        <x:v>9/9</x:v>
      </x:c>
    </x:row>
    <x:row r="356" ht="22" customHeight="1">
      <x:c r="B356" s="85" t="n">
        <x:v>45910</x:v>
      </x:c>
      <x:c r="C356" s="84" t="n">
        <x:v>9</x:v>
      </x:c>
      <x:c r="D356" s="88" t="n">
        <x:v>2.151795</x:v>
      </x:c>
      <x:c r="E356" s="89">
        <x:f>INDEX('增长质量'!$C$62:$N$62,1,C356)</x:f>
        <x:v>92862</x:v>
      </x:c>
      <x:c r="F356" s="89">
        <x:f>E356*D356/SUMIFS($D$104:$D$468,$C$104:$C$468,C356)</x:f>
        <x:v>4305.67305515362</x:v>
      </x:c>
      <x:c r="G356" s="90">
        <x:f>F356/10000</x:f>
        <x:v>0.430567305515362</x:v>
      </x:c>
      <x:c r="H356" s="90">
        <x:f>AVERAGE(G350:G356)</x:f>
        <x:v>0.23093655409564</x:v>
      </x:c>
      <x:c r="I356" s="91" t="str">
        <x:f>TEXT(B356,"m/d")</x:f>
        <x:v>9/10</x:v>
      </x:c>
    </x:row>
    <x:row r="357" ht="22" customHeight="1">
      <x:c r="B357" s="85" t="n">
        <x:v>45911</x:v>
      </x:c>
      <x:c r="C357" s="84" t="n">
        <x:v>9</x:v>
      </x:c>
      <x:c r="D357" s="88" t="n">
        <x:v>2.770176</x:v>
      </x:c>
      <x:c r="E357" s="89">
        <x:f>INDEX('增长质量'!$C$62:$N$62,1,C357)</x:f>
        <x:v>92862</x:v>
      </x:c>
      <x:c r="F357" s="89">
        <x:f>E357*D357/SUMIFS($D$104:$D$468,$C$104:$C$468,C357)</x:f>
        <x:v>5543.03368175558</x:v>
      </x:c>
      <x:c r="G357" s="90">
        <x:f>F357/10000</x:f>
        <x:v>0.554303368175558</x:v>
      </x:c>
      <x:c r="H357" s="90">
        <x:f>AVERAGE(G351:G357)</x:f>
        <x:v>0.238515935234071</x:v>
      </x:c>
      <x:c r="I357" s="91" t="str">
        <x:f>TEXT(B357,"m/d")</x:f>
        <x:v>9/11</x:v>
      </x:c>
    </x:row>
    <x:row r="358" ht="22" customHeight="1">
      <x:c r="B358" s="85" t="n">
        <x:v>45912</x:v>
      </x:c>
      <x:c r="C358" s="84" t="n">
        <x:v>9</x:v>
      </x:c>
      <x:c r="D358" s="88" t="n">
        <x:v>2.518373</x:v>
      </x:c>
      <x:c r="E358" s="89">
        <x:f>INDEX('增长质量'!$C$62:$N$62,1,C358)</x:f>
        <x:v>92862</x:v>
      </x:c>
      <x:c r="F358" s="89">
        <x:f>E358*D358/SUMIFS($D$104:$D$468,$C$104:$C$468,C358)</x:f>
        <x:v>5039.18392269078</x:v>
      </x:c>
      <x:c r="G358" s="90">
        <x:f>F358/10000</x:f>
        <x:v>0.503918392269078</x:v>
      </x:c>
      <x:c r="H358" s="90">
        <x:f>AVERAGE(G352:G358)</x:f>
        <x:v>0.290276633848639</x:v>
      </x:c>
      <x:c r="I358" s="91" t="str">
        <x:f>TEXT(B358,"m/d")</x:f>
        <x:v>9/12</x:v>
      </x:c>
    </x:row>
    <x:row r="359" ht="22" customHeight="1">
      <x:c r="B359" s="85" t="n">
        <x:v>45913</x:v>
      </x:c>
      <x:c r="C359" s="84" t="n">
        <x:v>9</x:v>
      </x:c>
      <x:c r="D359" s="88" t="n">
        <x:v>0.680999</x:v>
      </x:c>
      <x:c r="E359" s="89">
        <x:f>INDEX('增长质量'!$C$62:$N$62,1,C359)</x:f>
        <x:v>92862</x:v>
      </x:c>
      <x:c r="F359" s="89">
        <x:f>E359*D359/SUMIFS($D$104:$D$468,$C$104:$C$468,C359)</x:f>
        <x:v>1362.65724424797</x:v>
      </x:c>
      <x:c r="G359" s="90">
        <x:f>F359/10000</x:f>
        <x:v>0.136265724424797</x:v>
      </x:c>
      <x:c r="H359" s="90">
        <x:f>AVERAGE(G353:G359)</x:f>
        <x:v>0.297005546393328</x:v>
      </x:c>
      <x:c r="I359" s="91" t="str">
        <x:f>TEXT(B359,"m/d")</x:f>
        <x:v>9/13</x:v>
      </x:c>
    </x:row>
    <x:row r="360" ht="22" customHeight="1">
      <x:c r="B360" s="85" t="n">
        <x:v>45914</x:v>
      </x:c>
      <x:c r="C360" s="84" t="n">
        <x:v>9</x:v>
      </x:c>
      <x:c r="D360" s="88" t="n">
        <x:v>0.684962</x:v>
      </x:c>
      <x:c r="E360" s="89">
        <x:f>INDEX('增长质量'!$C$62:$N$62,1,C360)</x:f>
        <x:v>92862</x:v>
      </x:c>
      <x:c r="F360" s="89">
        <x:f>E360*D360/SUMIFS($D$104:$D$468,$C$104:$C$468,C360)</x:f>
        <x:v>1370.58708064855</x:v>
      </x:c>
      <x:c r="G360" s="90">
        <x:f>F360/10000</x:f>
        <x:v>0.137058708064855</x:v>
      </x:c>
      <x:c r="H360" s="90">
        <x:f>AVERAGE(G354:G360)</x:f>
        <x:v>0.312578251790182</x:v>
      </x:c>
      <x:c r="I360" s="91" t="str">
        <x:f>TEXT(B360,"m/d")</x:f>
        <x:v>9/14</x:v>
      </x:c>
    </x:row>
    <x:row r="361" ht="22" customHeight="1">
      <x:c r="B361" s="85" t="n">
        <x:v>45915</x:v>
      </x:c>
      <x:c r="C361" s="84" t="n">
        <x:v>9</x:v>
      </x:c>
      <x:c r="D361" s="88" t="n">
        <x:v>2.0671</x:v>
      </x:c>
      <x:c r="E361" s="89">
        <x:f>INDEX('增长质量'!$C$62:$N$62,1,C361)</x:f>
        <x:v>92862</x:v>
      </x:c>
      <x:c r="F361" s="89">
        <x:f>E361*D361/SUMIFS($D$104:$D$468,$C$104:$C$468,C361)</x:f>
        <x:v>4136.20106576512</x:v>
      </x:c>
      <x:c r="G361" s="90">
        <x:f>F361/10000</x:f>
        <x:v>0.413620106576512</x:v>
      </x:c>
      <x:c r="H361" s="90">
        <x:f>AVERAGE(G355:G361)</x:f>
        <x:v>0.346067453636817</x:v>
      </x:c>
      <x:c r="I361" s="91" t="str">
        <x:f>TEXT(B361,"m/d")</x:f>
        <x:v>9/15</x:v>
      </x:c>
    </x:row>
    <x:row r="362" ht="22" customHeight="1">
      <x:c r="B362" s="85" t="n">
        <x:v>45916</x:v>
      </x:c>
      <x:c r="C362" s="84" t="n">
        <x:v>9</x:v>
      </x:c>
      <x:c r="D362" s="88" t="n">
        <x:v>4.356233</x:v>
      </x:c>
      <x:c r="E362" s="89">
        <x:f>INDEX('增长质量'!$C$62:$N$62,1,C362)</x:f>
        <x:v>92862</x:v>
      </x:c>
      <x:c r="F362" s="89">
        <x:f>E362*D362/SUMIFS($D$104:$D$468,$C$104:$C$468,C362)</x:f>
        <x:v>8716.68307160814</x:v>
      </x:c>
      <x:c r="G362" s="90">
        <x:f>F362/10000</x:f>
        <x:v>0.871668307160814</x:v>
      </x:c>
      <x:c r="H362" s="90">
        <x:f>AVERAGE(G356:G362)</x:f>
        <x:v>0.435343130312425</x:v>
      </x:c>
      <x:c r="I362" s="91" t="str">
        <x:f>TEXT(B362,"m/d")</x:f>
        <x:v>9/16</x:v>
      </x:c>
    </x:row>
    <x:row r="363" ht="22" customHeight="1">
      <x:c r="B363" s="85" t="n">
        <x:v>45917</x:v>
      </x:c>
      <x:c r="C363" s="84" t="n">
        <x:v>9</x:v>
      </x:c>
      <x:c r="D363" s="88" t="n">
        <x:v>1.082468</x:v>
      </x:c>
      <x:c r="E363" s="89">
        <x:f>INDEX('增长质量'!$C$62:$N$62,1,C363)</x:f>
        <x:v>92862</x:v>
      </x:c>
      <x:c r="F363" s="89">
        <x:f>E363*D363/SUMIFS($D$104:$D$468,$C$104:$C$468,C363)</x:f>
        <x:v>2165.98388817988</x:v>
      </x:c>
      <x:c r="G363" s="90">
        <x:f>F363/10000</x:f>
        <x:v>0.216598388817988</x:v>
      </x:c>
      <x:c r="H363" s="90">
        <x:f>AVERAGE(G357:G363)</x:f>
        <x:v>0.4047761422128</x:v>
      </x:c>
      <x:c r="I363" s="91" t="str">
        <x:f>TEXT(B363,"m/d")</x:f>
        <x:v>9/17</x:v>
      </x:c>
    </x:row>
    <x:row r="364" ht="22" customHeight="1">
      <x:c r="B364" s="85" t="n">
        <x:v>45918</x:v>
      </x:c>
      <x:c r="C364" s="84" t="n">
        <x:v>9</x:v>
      </x:c>
      <x:c r="D364" s="88" t="n">
        <x:v>2.175552</x:v>
      </x:c>
      <x:c r="E364" s="89">
        <x:f>INDEX('增长质量'!$C$62:$N$62,1,C364)</x:f>
        <x:v>92862</x:v>
      </x:c>
      <x:c r="F364" s="89">
        <x:f>E364*D364/SUMIFS($D$104:$D$468,$C$104:$C$468,C364)</x:f>
        <x:v>4353.21005322792</x:v>
      </x:c>
      <x:c r="G364" s="90">
        <x:f>F364/10000</x:f>
        <x:v>0.435321005322792</x:v>
      </x:c>
      <x:c r="H364" s="90">
        <x:f>AVERAGE(G358:G364)</x:f>
        <x:v>0.387778661805262</x:v>
      </x:c>
      <x:c r="I364" s="91" t="str">
        <x:f>TEXT(B364,"m/d")</x:f>
        <x:v>9/18</x:v>
      </x:c>
    </x:row>
    <x:row r="365" ht="22" customHeight="1">
      <x:c r="B365" s="85" t="n">
        <x:v>45919</x:v>
      </x:c>
      <x:c r="C365" s="84" t="n">
        <x:v>9</x:v>
      </x:c>
      <x:c r="D365" s="88" t="n">
        <x:v>0.494682</x:v>
      </x:c>
      <x:c r="E365" s="89">
        <x:f>INDEX('增长质量'!$C$62:$N$62,1,C365)</x:f>
        <x:v>92862</x:v>
      </x:c>
      <x:c r="F365" s="89">
        <x:f>E365*D365/SUMIFS($D$104:$D$468,$C$104:$C$468,C365)</x:f>
        <x:v>989.842879209918</x:v>
      </x:c>
      <x:c r="G365" s="90">
        <x:f>F365/10000</x:f>
        <x:v>0.0989842879209918</x:v>
      </x:c>
      <x:c r="H365" s="90">
        <x:f>AVERAGE(G359:G365)</x:f>
        <x:v>0.329930932612679</x:v>
      </x:c>
      <x:c r="I365" s="91" t="str">
        <x:f>TEXT(B365,"m/d")</x:f>
        <x:v>9/19</x:v>
      </x:c>
    </x:row>
    <x:row r="366" ht="22" customHeight="1">
      <x:c r="B366" s="85" t="n">
        <x:v>45920</x:v>
      </x:c>
      <x:c r="C366" s="84" t="n">
        <x:v>9</x:v>
      </x:c>
      <x:c r="D366" s="88" t="n">
        <x:v>0.626536</x:v>
      </x:c>
      <x:c r="E366" s="89">
        <x:f>INDEX('增长质量'!$C$62:$N$62,1,C366)</x:f>
        <x:v>92862</x:v>
      </x:c>
      <x:c r="F366" s="89">
        <x:f>E366*D366/SUMIFS($D$104:$D$468,$C$104:$C$468,C366)</x:f>
        <x:v>1253.67852108762</x:v>
      </x:c>
      <x:c r="G366" s="90">
        <x:f>F366/10000</x:f>
        <x:v>0.125367852108762</x:v>
      </x:c>
      <x:c r="H366" s="90">
        <x:f>AVERAGE(G360:G366)</x:f>
        <x:v>0.328374093710388</x:v>
      </x:c>
      <x:c r="I366" s="91" t="str">
        <x:f>TEXT(B366,"m/d")</x:f>
        <x:v>9/20</x:v>
      </x:c>
    </x:row>
    <x:row r="367" ht="22" customHeight="1">
      <x:c r="B367" s="85" t="n">
        <x:v>45921</x:v>
      </x:c>
      <x:c r="C367" s="84" t="n">
        <x:v>9</x:v>
      </x:c>
      <x:c r="D367" s="88" t="n">
        <x:v>0.255891</x:v>
      </x:c>
      <x:c r="E367" s="89">
        <x:f>INDEX('增长质量'!$C$62:$N$62,1,C367)</x:f>
        <x:v>92862</x:v>
      </x:c>
      <x:c r="F367" s="89">
        <x:f>E367*D367/SUMIFS($D$104:$D$468,$C$104:$C$468,C367)</x:f>
        <x:v>512.029716472209</x:v>
      </x:c>
      <x:c r="G367" s="90">
        <x:f>F367/10000</x:f>
        <x:v>0.0512029716472209</x:v>
      </x:c>
      <x:c r="H367" s="90">
        <x:f>AVERAGE(G361:G367)</x:f>
        <x:v>0.316108988507869</x:v>
      </x:c>
      <x:c r="I367" s="91" t="str">
        <x:f>TEXT(B367,"m/d")</x:f>
        <x:v>9/21</x:v>
      </x:c>
    </x:row>
    <x:row r="368" ht="22" customHeight="1">
      <x:c r="B368" s="85" t="n">
        <x:v>45922</x:v>
      </x:c>
      <x:c r="C368" s="84" t="n">
        <x:v>9</x:v>
      </x:c>
      <x:c r="D368" s="88" t="n">
        <x:v>1.26475</x:v>
      </x:c>
      <x:c r="E368" s="89">
        <x:f>INDEX('增长质量'!$C$62:$N$62,1,C368)</x:f>
        <x:v>92862</x:v>
      </x:c>
      <x:c r="F368" s="89">
        <x:f>E368*D368/SUMIFS($D$104:$D$468,$C$104:$C$468,C368)</x:f>
        <x:v>2530.72434711743</x:v>
      </x:c>
      <x:c r="G368" s="90">
        <x:f>F368/10000</x:f>
        <x:v>0.253072434711743</x:v>
      </x:c>
      <x:c r="H368" s="90">
        <x:f>AVERAGE(G362:G368)</x:f>
        <x:v>0.293173606812902</x:v>
      </x:c>
      <x:c r="I368" s="91" t="str">
        <x:f>TEXT(B368,"m/d")</x:f>
        <x:v>9/22</x:v>
      </x:c>
    </x:row>
    <x:row r="369" ht="22" customHeight="1">
      <x:c r="B369" s="85" t="n">
        <x:v>45923</x:v>
      </x:c>
      <x:c r="C369" s="84" t="n">
        <x:v>9</x:v>
      </x:c>
      <x:c r="D369" s="88" t="n">
        <x:v>1.477436</x:v>
      </x:c>
      <x:c r="E369" s="89">
        <x:f>INDEX('增长质量'!$C$62:$N$62,1,C369)</x:f>
        <x:v>92862</x:v>
      </x:c>
      <x:c r="F369" s="89">
        <x:f>E369*D369/SUMIFS($D$104:$D$468,$C$104:$C$468,C369)</x:f>
        <x:v>2956.30223878852</x:v>
      </x:c>
      <x:c r="G369" s="90">
        <x:f>F369/10000</x:f>
        <x:v>0.295630223878852</x:v>
      </x:c>
      <x:c r="H369" s="90">
        <x:f>AVERAGE(G363:G369)</x:f>
        <x:v>0.210882452058336</x:v>
      </x:c>
      <x:c r="I369" s="91" t="str">
        <x:f>TEXT(B369,"m/d")</x:f>
        <x:v>9/23</x:v>
      </x:c>
    </x:row>
    <x:row r="370" ht="22" customHeight="1">
      <x:c r="B370" s="85" t="n">
        <x:v>45924</x:v>
      </x:c>
      <x:c r="C370" s="84" t="n">
        <x:v>9</x:v>
      </x:c>
      <x:c r="D370" s="88" t="n">
        <x:v>1.240333</x:v>
      </x:c>
      <x:c r="E370" s="89">
        <x:f>INDEX('增长质量'!$C$62:$N$62,1,C370)</x:f>
        <x:v>92862</x:v>
      </x:c>
      <x:c r="F370" s="89">
        <x:f>E370*D370/SUMIFS($D$104:$D$468,$C$104:$C$468,C370)</x:f>
        <x:v>2481.86671012706</x:v>
      </x:c>
      <x:c r="G370" s="90">
        <x:f>F370/10000</x:f>
        <x:v>0.248186671012706</x:v>
      </x:c>
      <x:c r="H370" s="90">
        <x:f>AVERAGE(G364:G370)</x:f>
        <x:v>0.215395063800438</x:v>
      </x:c>
      <x:c r="I370" s="91" t="str">
        <x:f>TEXT(B370,"m/d")</x:f>
        <x:v>9/24</x:v>
      </x:c>
    </x:row>
    <x:row r="371" ht="22" customHeight="1">
      <x:c r="B371" s="85" t="n">
        <x:v>45925</x:v>
      </x:c>
      <x:c r="C371" s="84" t="n">
        <x:v>9</x:v>
      </x:c>
      <x:c r="D371" s="88" t="n">
        <x:v>2.889456</x:v>
      </x:c>
      <x:c r="E371" s="89">
        <x:f>INDEX('增长质量'!$C$62:$N$62,1,C371)</x:f>
        <x:v>92862</x:v>
      </x:c>
      <x:c r="F371" s="89">
        <x:f>E371*D371/SUMIFS($D$104:$D$468,$C$104:$C$468,C371)</x:f>
        <x:v>5781.70915131412</x:v>
      </x:c>
      <x:c r="G371" s="90">
        <x:f>F371/10000</x:f>
        <x:v>0.578170915131412</x:v>
      </x:c>
      <x:c r="H371" s="90">
        <x:f>AVERAGE(G365:G371)</x:f>
        <x:v>0.235802193773098</x:v>
      </x:c>
      <x:c r="I371" s="91" t="str">
        <x:f>TEXT(B371,"m/d")</x:f>
        <x:v>9/25</x:v>
      </x:c>
    </x:row>
    <x:row r="372" ht="22" customHeight="1">
      <x:c r="B372" s="85" t="n">
        <x:v>45926</x:v>
      </x:c>
      <x:c r="C372" s="84" t="n">
        <x:v>9</x:v>
      </x:c>
      <x:c r="D372" s="88" t="n">
        <x:v>1.572939</x:v>
      </x:c>
      <x:c r="E372" s="89">
        <x:f>INDEX('增长质量'!$C$62:$N$62,1,C372)</x:f>
        <x:v>92862</x:v>
      </x:c>
      <x:c r="F372" s="89">
        <x:f>E372*D372/SUMIFS($D$104:$D$468,$C$104:$C$468,C372)</x:f>
        <x:v>3147.40069091167</x:v>
      </x:c>
      <x:c r="G372" s="90">
        <x:f>F372/10000</x:f>
        <x:v>0.314740069091167</x:v>
      </x:c>
      <x:c r="H372" s="90">
        <x:f>AVERAGE(G366:G372)</x:f>
        <x:v>0.26662444822598</x:v>
      </x:c>
      <x:c r="I372" s="91" t="str">
        <x:f>TEXT(B372,"m/d")</x:f>
        <x:v>9/26</x:v>
      </x:c>
    </x:row>
    <x:row r="373" ht="22" customHeight="1">
      <x:c r="B373" s="85" t="n">
        <x:v>45927</x:v>
      </x:c>
      <x:c r="C373" s="84" t="n">
        <x:v>9</x:v>
      </x:c>
      <x:c r="D373" s="88" t="n">
        <x:v>0.802884</x:v>
      </x:c>
      <x:c r="E373" s="89">
        <x:f>INDEX('增长质量'!$C$62:$N$62,1,C373)</x:f>
        <x:v>92862</x:v>
      </x:c>
      <x:c r="F373" s="89">
        <x:f>E373*D373/SUMIFS($D$104:$D$468,$C$104:$C$468,C373)</x:f>
        <x:v>1606.54523558887</x:v>
      </x:c>
      <x:c r="G373" s="90">
        <x:f>F373/10000</x:f>
        <x:v>0.160654523558887</x:v>
      </x:c>
      <x:c r="H373" s="90">
        <x:f>AVERAGE(G367:G373)</x:f>
        <x:v>0.271665401290284</x:v>
      </x:c>
      <x:c r="I373" s="91" t="str">
        <x:f>TEXT(B373,"m/d")</x:f>
        <x:v>9/27</x:v>
      </x:c>
    </x:row>
    <x:row r="374" ht="22" customHeight="1">
      <x:c r="B374" s="85" t="n">
        <x:v>45928</x:v>
      </x:c>
      <x:c r="C374" s="84" t="n">
        <x:v>9</x:v>
      </x:c>
      <x:c r="D374" s="88" t="n">
        <x:v>1.363466</x:v>
      </x:c>
      <x:c r="E374" s="89">
        <x:f>INDEX('增长质量'!$C$62:$N$62,1,C374)</x:f>
        <x:v>92862</x:v>
      </x:c>
      <x:c r="F374" s="89">
        <x:f>E374*D374/SUMIFS($D$104:$D$468,$C$104:$C$468,C374)</x:f>
        <x:v>2728.25190960017</x:v>
      </x:c>
      <x:c r="G374" s="90">
        <x:f>F374/10000</x:f>
        <x:v>0.272825190960017</x:v>
      </x:c>
      <x:c r="H374" s="90">
        <x:f>AVERAGE(G368:G374)</x:f>
        <x:v>0.303325718334969</x:v>
      </x:c>
      <x:c r="I374" s="91" t="str">
        <x:f>TEXT(B374,"m/d")</x:f>
        <x:v>9/28</x:v>
      </x:c>
    </x:row>
    <x:row r="375" ht="22" customHeight="1">
      <x:c r="B375" s="85" t="n">
        <x:v>45929</x:v>
      </x:c>
      <x:c r="C375" s="84" t="n">
        <x:v>9</x:v>
      </x:c>
      <x:c r="D375" s="88" t="n">
        <x:v>4.378279</x:v>
      </x:c>
      <x:c r="E375" s="89">
        <x:f>INDEX('增长质量'!$C$62:$N$62,1,C375)</x:f>
        <x:v>92862</x:v>
      </x:c>
      <x:c r="F375" s="89">
        <x:f>E375*D375/SUMIFS($D$104:$D$468,$C$104:$C$468,C375)</x:f>
        <x:v>8760.79641334093</x:v>
      </x:c>
      <x:c r="G375" s="90">
        <x:f>F375/10000</x:f>
        <x:v>0.876079641334093</x:v>
      </x:c>
      <x:c r="H375" s="90">
        <x:f>AVERAGE(G369:G375)</x:f>
        <x:v>0.392326747852448</x:v>
      </x:c>
      <x:c r="I375" s="91" t="str">
        <x:f>TEXT(B375,"m/d")</x:f>
        <x:v>9/29</x:v>
      </x:c>
    </x:row>
    <x:row r="376" ht="22" customHeight="1">
      <x:c r="B376" s="85" t="n">
        <x:v>45930</x:v>
      </x:c>
      <x:c r="C376" s="84" t="n">
        <x:v>9</x:v>
      </x:c>
      <x:c r="D376" s="88" t="n">
        <x:v>2.142509</x:v>
      </x:c>
      <x:c r="E376" s="89">
        <x:f>INDEX('增长质量'!$C$62:$N$62,1,C376)</x:f>
        <x:v>92862</x:v>
      </x:c>
      <x:c r="F376" s="89">
        <x:f>E376*D376/SUMIFS($D$104:$D$468,$C$104:$C$468,C376)</x:f>
        <x:v>4287.09206579815</x:v>
      </x:c>
      <x:c r="G376" s="90">
        <x:f>F376/10000</x:f>
        <x:v>0.428709206579815</x:v>
      </x:c>
      <x:c r="H376" s="90">
        <x:f>AVERAGE(G370:G376)</x:f>
        <x:v>0.411338031095443</x:v>
      </x:c>
      <x:c r="I376" s="91" t="str">
        <x:f>TEXT(B376,"m/d")</x:f>
        <x:v>9/30</x:v>
      </x:c>
    </x:row>
    <x:row r="377" ht="22" customHeight="1">
      <x:c r="B377" s="85" t="n">
        <x:v>45931</x:v>
      </x:c>
      <x:c r="C377" s="84" t="n">
        <x:v>10</x:v>
      </x:c>
      <x:c r="D377" s="88" t="n">
        <x:v>0.853846</x:v>
      </x:c>
      <x:c r="E377" s="89">
        <x:f>INDEX('增长质量'!$C$62:$N$62,1,C377)</x:f>
        <x:v>107919</x:v>
      </x:c>
      <x:c r="F377" s="89">
        <x:f>E377*D377/SUMIFS($D$104:$D$468,$C$104:$C$468,C377)</x:f>
        <x:v>1959.06665146689</x:v>
      </x:c>
      <x:c r="G377" s="90">
        <x:f>F377/10000</x:f>
        <x:v>0.195906665146689</x:v>
      </x:c>
      <x:c r="H377" s="90">
        <x:f>AVERAGE(G371:G377)</x:f>
        <x:v>0.403869458828869</x:v>
      </x:c>
      <x:c r="I377" s="91" t="str">
        <x:f>TEXT(B377,"m/d")</x:f>
        <x:v>10/1</x:v>
      </x:c>
    </x:row>
    <x:row r="378" ht="22" customHeight="1">
      <x:c r="B378" s="85" t="n">
        <x:v>45932</x:v>
      </x:c>
      <x:c r="C378" s="84" t="n">
        <x:v>10</x:v>
      </x:c>
      <x:c r="D378" s="88" t="n">
        <x:v>1.171487</x:v>
      </x:c>
      <x:c r="E378" s="89">
        <x:f>INDEX('增长质量'!$C$62:$N$62,1,C378)</x:f>
        <x:v>107919</x:v>
      </x:c>
      <x:c r="F378" s="89">
        <x:f>E378*D378/SUMIFS($D$104:$D$468,$C$104:$C$468,C378)</x:f>
        <x:v>2687.86305062855</x:v>
      </x:c>
      <x:c r="G378" s="90">
        <x:f>F378/10000</x:f>
        <x:v>0.268786305062855</x:v>
      </x:c>
      <x:c r="H378" s="90">
        <x:f>AVERAGE(G372:G378)</x:f>
        <x:v>0.359671657390503</x:v>
      </x:c>
      <x:c r="I378" s="91" t="str">
        <x:f>TEXT(B378,"m/d")</x:f>
        <x:v>10/2</x:v>
      </x:c>
    </x:row>
    <x:row r="379" ht="22" customHeight="1">
      <x:c r="B379" s="85" t="n">
        <x:v>45933</x:v>
      </x:c>
      <x:c r="C379" s="84" t="n">
        <x:v>10</x:v>
      </x:c>
      <x:c r="D379" s="88" t="n">
        <x:v>1.480808</x:v>
      </x:c>
      <x:c r="E379" s="89">
        <x:f>INDEX('增长质量'!$C$62:$N$62,1,C379)</x:f>
        <x:v>107919</x:v>
      </x:c>
      <x:c r="F379" s="89">
        <x:f>E379*D379/SUMIFS($D$104:$D$468,$C$104:$C$468,C379)</x:f>
        <x:v>3397.57001851081</x:v>
      </x:c>
      <x:c r="G379" s="90">
        <x:f>F379/10000</x:f>
        <x:v>0.339757001851081</x:v>
      </x:c>
      <x:c r="H379" s="90">
        <x:f>AVERAGE(G373:G379)</x:f>
        <x:v>0.363245504927634</x:v>
      </x:c>
      <x:c r="I379" s="91" t="str">
        <x:f>TEXT(B379,"m/d")</x:f>
        <x:v>10/3</x:v>
      </x:c>
    </x:row>
    <x:row r="380" ht="22" customHeight="1">
      <x:c r="B380" s="85" t="n">
        <x:v>45934</x:v>
      </x:c>
      <x:c r="C380" s="84" t="n">
        <x:v>10</x:v>
      </x:c>
      <x:c r="D380" s="88" t="n">
        <x:v>0.300351</x:v>
      </x:c>
      <x:c r="E380" s="89">
        <x:f>INDEX('增长质量'!$C$62:$N$62,1,C380)</x:f>
        <x:v>107919</x:v>
      </x:c>
      <x:c r="F380" s="89">
        <x:f>E380*D380/SUMIFS($D$104:$D$468,$C$104:$C$468,C380)</x:f>
        <x:v>689.126174784131</x:v>
      </x:c>
      <x:c r="G380" s="90">
        <x:f>F380/10000</x:f>
        <x:v>0.0689126174784131</x:v>
      </x:c>
      <x:c r="H380" s="90">
        <x:f>AVERAGE(G374:G380)</x:f>
        <x:v>0.350139518344709</x:v>
      </x:c>
      <x:c r="I380" s="91" t="str">
        <x:f>TEXT(B380,"m/d")</x:f>
        <x:v>10/4</x:v>
      </x:c>
    </x:row>
    <x:row r="381" ht="22" customHeight="1">
      <x:c r="B381" s="85" t="n">
        <x:v>45935</x:v>
      </x:c>
      <x:c r="C381" s="84" t="n">
        <x:v>10</x:v>
      </x:c>
      <x:c r="D381" s="88" t="n">
        <x:v>0.105429</x:v>
      </x:c>
      <x:c r="E381" s="89">
        <x:f>INDEX('增长质量'!$C$62:$N$62,1,C381)</x:f>
        <x:v>107919</x:v>
      </x:c>
      <x:c r="F381" s="89">
        <x:f>E381*D381/SUMIFS($D$104:$D$468,$C$104:$C$468,C381)</x:f>
        <x:v>241.896592591056</x:v>
      </x:c>
      <x:c r="G381" s="90">
        <x:f>F381/10000</x:f>
        <x:v>0.0241896592591056</x:v>
      </x:c>
      <x:c r="H381" s="90">
        <x:f>AVERAGE(G375:G381)</x:f>
        <x:v>0.31462015667315</x:v>
      </x:c>
      <x:c r="I381" s="91" t="str">
        <x:f>TEXT(B381,"m/d")</x:f>
        <x:v>10/5</x:v>
      </x:c>
    </x:row>
    <x:row r="382" ht="22" customHeight="1">
      <x:c r="B382" s="85" t="n">
        <x:v>45936</x:v>
      </x:c>
      <x:c r="C382" s="84" t="n">
        <x:v>10</x:v>
      </x:c>
      <x:c r="D382" s="88" t="n">
        <x:v>0.633361</x:v>
      </x:c>
      <x:c r="E382" s="89">
        <x:f>INDEX('增长质量'!$C$62:$N$62,1,C382)</x:f>
        <x:v>107919</x:v>
      </x:c>
      <x:c r="F382" s="89">
        <x:f>E382*D382/SUMIFS($D$104:$D$468,$C$104:$C$468,C382)</x:f>
        <x:v>1453.18525054836</x:v>
      </x:c>
      <x:c r="G382" s="90">
        <x:f>F382/10000</x:f>
        <x:v>0.145318525054836</x:v>
      </x:c>
      <x:c r="H382" s="90">
        <x:f>AVERAGE(G376:G382)</x:f>
        <x:v>0.210225711490399</x:v>
      </x:c>
      <x:c r="I382" s="91" t="str">
        <x:f>TEXT(B382,"m/d")</x:f>
        <x:v>10/6</x:v>
      </x:c>
    </x:row>
    <x:row r="383" ht="22" customHeight="1">
      <x:c r="B383" s="85" t="n">
        <x:v>45937</x:v>
      </x:c>
      <x:c r="C383" s="84" t="n">
        <x:v>10</x:v>
      </x:c>
      <x:c r="D383" s="88" t="n">
        <x:v>1.63575</x:v>
      </x:c>
      <x:c r="E383" s="89">
        <x:f>INDEX('增长质量'!$C$62:$N$62,1,C383)</x:f>
        <x:v>107919</x:v>
      </x:c>
      <x:c r="F383" s="89">
        <x:f>E383*D383/SUMIFS($D$104:$D$468,$C$104:$C$468,C383)</x:f>
        <x:v>3753.06937683957</x:v>
      </x:c>
      <x:c r="G383" s="90">
        <x:f>F383/10000</x:f>
        <x:v>0.375306937683957</x:v>
      </x:c>
      <x:c r="H383" s="90">
        <x:f>AVERAGE(G377:G383)</x:f>
        <x:v>0.202596815933848</x:v>
      </x:c>
      <x:c r="I383" s="91" t="str">
        <x:f>TEXT(B383,"m/d")</x:f>
        <x:v>10/7</x:v>
      </x:c>
    </x:row>
    <x:row r="384" ht="22" customHeight="1">
      <x:c r="B384" s="85" t="n">
        <x:v>45938</x:v>
      </x:c>
      <x:c r="C384" s="84" t="n">
        <x:v>10</x:v>
      </x:c>
      <x:c r="D384" s="88" t="n">
        <x:v>1.670833</x:v>
      </x:c>
      <x:c r="E384" s="89">
        <x:f>INDEX('增长质量'!$C$62:$N$62,1,C384)</x:f>
        <x:v>107919</x:v>
      </x:c>
      <x:c r="F384" s="89">
        <x:f>E384*D384/SUMIFS($D$104:$D$468,$C$104:$C$468,C384)</x:f>
        <x:v>3833.56391020204</x:v>
      </x:c>
      <x:c r="G384" s="90">
        <x:f>F384/10000</x:f>
        <x:v>0.383356391020204</x:v>
      </x:c>
      <x:c r="H384" s="90">
        <x:f>AVERAGE(G378:G384)</x:f>
        <x:v>0.229375348201493</x:v>
      </x:c>
      <x:c r="I384" s="91" t="str">
        <x:f>TEXT(B384,"m/d")</x:f>
        <x:v>10/8</x:v>
      </x:c>
    </x:row>
    <x:row r="385" ht="22" customHeight="1">
      <x:c r="B385" s="85" t="n">
        <x:v>45939</x:v>
      </x:c>
      <x:c r="C385" s="84" t="n">
        <x:v>10</x:v>
      </x:c>
      <x:c r="D385" s="88" t="n">
        <x:v>2.225911</x:v>
      </x:c>
      <x:c r="E385" s="89">
        <x:f>INDEX('增长质量'!$C$62:$N$62,1,C385)</x:f>
        <x:v>107919</x:v>
      </x:c>
      <x:c r="F385" s="89">
        <x:f>E385*D385/SUMIFS($D$104:$D$468,$C$104:$C$468,C385)</x:f>
        <x:v>5107.13642651404</x:v>
      </x:c>
      <x:c r="G385" s="90">
        <x:f>F385/10000</x:f>
        <x:v>0.510713642651404</x:v>
      </x:c>
      <x:c r="H385" s="90">
        <x:f>AVERAGE(G379:G385)</x:f>
        <x:v>0.263936396428429</x:v>
      </x:c>
      <x:c r="I385" s="91" t="str">
        <x:f>TEXT(B385,"m/d")</x:f>
        <x:v>10/9</x:v>
      </x:c>
    </x:row>
    <x:row r="386" ht="22" customHeight="1">
      <x:c r="B386" s="85" t="n">
        <x:v>45940</x:v>
      </x:c>
      <x:c r="C386" s="84" t="n">
        <x:v>10</x:v>
      </x:c>
      <x:c r="D386" s="88" t="n">
        <x:v>1.900824</x:v>
      </x:c>
      <x:c r="E386" s="89">
        <x:f>INDEX('增长质量'!$C$62:$N$62,1,C386)</x:f>
        <x:v>107919</x:v>
      </x:c>
      <x:c r="F386" s="89">
        <x:f>E386*D386/SUMIFS($D$104:$D$468,$C$104:$C$468,C386)</x:f>
        <x:v>4361.25590411842</x:v>
      </x:c>
      <x:c r="G386" s="90">
        <x:f>F386/10000</x:f>
        <x:v>0.436125590411842</x:v>
      </x:c>
      <x:c r="H386" s="90">
        <x:f>AVERAGE(G380:G386)</x:f>
        <x:v>0.277703337651395</x:v>
      </x:c>
      <x:c r="I386" s="91" t="str">
        <x:f>TEXT(B386,"m/d")</x:f>
        <x:v>10/10</x:v>
      </x:c>
    </x:row>
    <x:row r="387" ht="22" customHeight="1">
      <x:c r="B387" s="85" t="n">
        <x:v>45941</x:v>
      </x:c>
      <x:c r="C387" s="84" t="n">
        <x:v>10</x:v>
      </x:c>
      <x:c r="D387" s="88" t="n">
        <x:v>0.226405</x:v>
      </x:c>
      <x:c r="E387" s="89">
        <x:f>INDEX('增长质量'!$C$62:$N$62,1,C387)</x:f>
        <x:v>107919</x:v>
      </x:c>
      <x:c r="F387" s="89">
        <x:f>E387*D387/SUMIFS($D$104:$D$468,$C$104:$C$468,C387)</x:f>
        <x:v>519.464265482722</x:v>
      </x:c>
      <x:c r="G387" s="90">
        <x:f>F387/10000</x:f>
        <x:v>0.0519464265482722</x:v>
      </x:c>
      <x:c r="H387" s="90">
        <x:f>AVERAGE(G381:G387)</x:f>
        <x:v>0.275279596089946</x:v>
      </x:c>
      <x:c r="I387" s="91" t="str">
        <x:f>TEXT(B387,"m/d")</x:f>
        <x:v>10/11</x:v>
      </x:c>
    </x:row>
    <x:row r="388" ht="22" customHeight="1">
      <x:c r="B388" s="85" t="n">
        <x:v>45942</x:v>
      </x:c>
      <x:c r="C388" s="84" t="n">
        <x:v>10</x:v>
      </x:c>
      <x:c r="D388" s="88" t="n">
        <x:v>0.419073</x:v>
      </x:c>
      <x:c r="E388" s="89">
        <x:f>INDEX('增长质量'!$C$62:$N$62,1,C388)</x:f>
        <x:v>107919</x:v>
      </x:c>
      <x:c r="F388" s="89">
        <x:f>E388*D388/SUMIFS($D$104:$D$468,$C$104:$C$468,C388)</x:f>
        <x:v>961.52226376909</x:v>
      </x:c>
      <x:c r="G388" s="90">
        <x:f>F388/10000</x:f>
        <x:v>0.096152226376909</x:v>
      </x:c>
      <x:c r="H388" s="90">
        <x:f>AVERAGE(G382:G388)</x:f>
        <x:v>0.285559962821061</x:v>
      </x:c>
      <x:c r="I388" s="91" t="str">
        <x:f>TEXT(B388,"m/d")</x:f>
        <x:v>10/12</x:v>
      </x:c>
    </x:row>
    <x:row r="389" ht="22" customHeight="1">
      <x:c r="B389" s="85" t="n">
        <x:v>45943</x:v>
      </x:c>
      <x:c r="C389" s="84" t="n">
        <x:v>10</x:v>
      </x:c>
      <x:c r="D389" s="88" t="n">
        <x:v>0.504048</x:v>
      </x:c>
      <x:c r="E389" s="89">
        <x:f>INDEX('增长质量'!$C$62:$N$62,1,C389)</x:f>
        <x:v>107919</x:v>
      </x:c>
      <x:c r="F389" s="89">
        <x:f>E389*D389/SUMIFS($D$104:$D$468,$C$104:$C$468,C389)</x:f>
        <x:v>1156.48914152972</x:v>
      </x:c>
      <x:c r="G389" s="90">
        <x:f>F389/10000</x:f>
        <x:v>0.115648914152972</x:v>
      </x:c>
      <x:c r="H389" s="90">
        <x:f>AVERAGE(G383:G389)</x:f>
        <x:v>0.281321446977937</x:v>
      </x:c>
      <x:c r="I389" s="91" t="str">
        <x:f>TEXT(B389,"m/d")</x:f>
        <x:v>10/13</x:v>
      </x:c>
    </x:row>
    <x:row r="390" ht="22" customHeight="1">
      <x:c r="B390" s="85" t="n">
        <x:v>45944</x:v>
      </x:c>
      <x:c r="C390" s="84" t="n">
        <x:v>10</x:v>
      </x:c>
      <x:c r="D390" s="88" t="n">
        <x:v>1.573156</x:v>
      </x:c>
      <x:c r="E390" s="89">
        <x:f>INDEX('增长质量'!$C$62:$N$62,1,C390)</x:f>
        <x:v>107919</x:v>
      </x:c>
      <x:c r="F390" s="89">
        <x:f>E390*D390/SUMIFS($D$104:$D$468,$C$104:$C$468,C390)</x:f>
        <x:v>3609.45352810114</x:v>
      </x:c>
      <x:c r="G390" s="90">
        <x:f>F390/10000</x:f>
        <x:v>0.360945352810114</x:v>
      </x:c>
      <x:c r="H390" s="90">
        <x:f>AVERAGE(G384:G390)</x:f>
        <x:v>0.27926979199596</x:v>
      </x:c>
      <x:c r="I390" s="91" t="str">
        <x:f>TEXT(B390,"m/d")</x:f>
        <x:v>10/14</x:v>
      </x:c>
    </x:row>
    <x:row r="391" ht="22" customHeight="1">
      <x:c r="B391" s="85" t="n">
        <x:v>45945</x:v>
      </x:c>
      <x:c r="C391" s="84" t="n">
        <x:v>10</x:v>
      </x:c>
      <x:c r="D391" s="88" t="n">
        <x:v>0.664635</x:v>
      </x:c>
      <x:c r="E391" s="89">
        <x:f>INDEX('增长质量'!$C$62:$N$62,1,C391)</x:f>
        <x:v>107919</x:v>
      </x:c>
      <x:c r="F391" s="89">
        <x:f>E391*D391/SUMIFS($D$104:$D$468,$C$104:$C$468,C391)</x:f>
        <x:v>1524.94040365323</x:v>
      </x:c>
      <x:c r="G391" s="90">
        <x:f>F391/10000</x:f>
        <x:v>0.152494040365323</x:v>
      </x:c>
      <x:c r="H391" s="90">
        <x:f>AVERAGE(G385:G391)</x:f>
        <x:v>0.246289456188119</x:v>
      </x:c>
      <x:c r="I391" s="91" t="str">
        <x:f>TEXT(B391,"m/d")</x:f>
        <x:v>10/15</x:v>
      </x:c>
    </x:row>
    <x:row r="392" ht="22" customHeight="1">
      <x:c r="B392" s="85" t="n">
        <x:v>45946</x:v>
      </x:c>
      <x:c r="C392" s="84" t="n">
        <x:v>10</x:v>
      </x:c>
      <x:c r="D392" s="88" t="n">
        <x:v>1.2613</x:v>
      </x:c>
      <x:c r="E392" s="89">
        <x:f>INDEX('增长质量'!$C$62:$N$62,1,C392)</x:f>
        <x:v>107919</x:v>
      </x:c>
      <x:c r="F392" s="89">
        <x:f>E392*D392/SUMIFS($D$104:$D$468,$C$104:$C$468,C392)</x:f>
        <x:v>2893.93024912594</x:v>
      </x:c>
      <x:c r="G392" s="90">
        <x:f>F392/10000</x:f>
        <x:v>0.289393024912594</x:v>
      </x:c>
      <x:c r="H392" s="90">
        <x:f>AVERAGE(G386:G392)</x:f>
        <x:v>0.214672225082575</x:v>
      </x:c>
      <x:c r="I392" s="91" t="str">
        <x:f>TEXT(B392,"m/d")</x:f>
        <x:v>10/16</x:v>
      </x:c>
    </x:row>
    <x:row r="393" ht="22" customHeight="1">
      <x:c r="B393" s="85" t="n">
        <x:v>45947</x:v>
      </x:c>
      <x:c r="C393" s="84" t="n">
        <x:v>10</x:v>
      </x:c>
      <x:c r="D393" s="88" t="n">
        <x:v>1.723434</x:v>
      </x:c>
      <x:c r="E393" s="89">
        <x:f>INDEX('增长质量'!$C$62:$N$62,1,C393)</x:f>
        <x:v>107919</x:v>
      </x:c>
      <x:c r="F393" s="89">
        <x:f>E393*D393/SUMIFS($D$104:$D$468,$C$104:$C$468,C393)</x:f>
        <x:v>3954.25179178</x:v>
      </x:c>
      <x:c r="G393" s="90">
        <x:f>F393/10000</x:f>
        <x:v>0.395425179178</x:v>
      </x:c>
      <x:c r="H393" s="90">
        <x:f>AVERAGE(G387:G393)</x:f>
        <x:v>0.208857880620597</x:v>
      </x:c>
      <x:c r="I393" s="91" t="str">
        <x:f>TEXT(B393,"m/d")</x:f>
        <x:v>10/17</x:v>
      </x:c>
    </x:row>
    <x:row r="394" ht="22" customHeight="1">
      <x:c r="B394" s="85" t="n">
        <x:v>45948</x:v>
      </x:c>
      <x:c r="C394" s="84" t="n">
        <x:v>10</x:v>
      </x:c>
      <x:c r="D394" s="88" t="n">
        <x:v>0.137631</x:v>
      </x:c>
      <x:c r="E394" s="89">
        <x:f>INDEX('增长质量'!$C$62:$N$62,1,C394)</x:f>
        <x:v>107919</x:v>
      </x:c>
      <x:c r="F394" s="89">
        <x:f>E394*D394/SUMIFS($D$104:$D$468,$C$104:$C$468,C394)</x:f>
        <x:v>315.78095149247</x:v>
      </x:c>
      <x:c r="G394" s="90">
        <x:f>F394/10000</x:f>
        <x:v>0.031578095149247</x:v>
      </x:c>
      <x:c r="H394" s="90">
        <x:f>AVERAGE(G388:G394)</x:f>
        <x:v>0.205948118992165</x:v>
      </x:c>
      <x:c r="I394" s="91" t="str">
        <x:f>TEXT(B394,"m/d")</x:f>
        <x:v>10/18</x:v>
      </x:c>
    </x:row>
    <x:row r="395" ht="22" customHeight="1">
      <x:c r="B395" s="85" t="n">
        <x:v>45949</x:v>
      </x:c>
      <x:c r="C395" s="84" t="n">
        <x:v>10</x:v>
      </x:c>
      <x:c r="D395" s="88" t="n">
        <x:v>0.359917</x:v>
      </x:c>
      <x:c r="E395" s="89">
        <x:f>INDEX('增长质量'!$C$62:$N$62,1,C395)</x:f>
        <x:v>107919</x:v>
      </x:c>
      <x:c r="F395" s="89">
        <x:f>E395*D395/SUMIFS($D$104:$D$468,$C$104:$C$468,C395)</x:f>
        <x:v>825.794571850202</x:v>
      </x:c>
      <x:c r="G395" s="90">
        <x:f>F395/10000</x:f>
        <x:v>0.0825794571850202</x:v>
      </x:c>
      <x:c r="H395" s="90">
        <x:f>AVERAGE(G389:G395)</x:f>
        <x:v>0.204009151964753</x:v>
      </x:c>
      <x:c r="I395" s="91" t="str">
        <x:f>TEXT(B395,"m/d")</x:f>
        <x:v>10/19</x:v>
      </x:c>
    </x:row>
    <x:row r="396" ht="22" customHeight="1">
      <x:c r="B396" s="85" t="n">
        <x:v>45950</x:v>
      </x:c>
      <x:c r="C396" s="84" t="n">
        <x:v>10</x:v>
      </x:c>
      <x:c r="D396" s="88" t="n">
        <x:v>2.02843</x:v>
      </x:c>
      <x:c r="E396" s="89">
        <x:f>INDEX('增长质量'!$C$62:$N$62,1,C396)</x:f>
        <x:v>107919</x:v>
      </x:c>
      <x:c r="F396" s="89">
        <x:f>E396*D396/SUMIFS($D$104:$D$468,$C$104:$C$468,C396)</x:f>
        <x:v>4654.03546756087</x:v>
      </x:c>
      <x:c r="G396" s="90">
        <x:f>F396/10000</x:f>
        <x:v>0.465403546756087</x:v>
      </x:c>
      <x:c r="H396" s="90">
        <x:f>AVERAGE(G390:G396)</x:f>
        <x:v>0.253974099479483</x:v>
      </x:c>
      <x:c r="I396" s="91" t="str">
        <x:f>TEXT(B396,"m/d")</x:f>
        <x:v>10/20</x:v>
      </x:c>
    </x:row>
    <x:row r="397" ht="22" customHeight="1">
      <x:c r="B397" s="85" t="n">
        <x:v>45951</x:v>
      </x:c>
      <x:c r="C397" s="84" t="n">
        <x:v>10</x:v>
      </x:c>
      <x:c r="D397" s="88" t="n">
        <x:v>1.876262</x:v>
      </x:c>
      <x:c r="E397" s="89">
        <x:f>INDEX('增长质量'!$C$62:$N$62,1,C397)</x:f>
        <x:v>107919</x:v>
      </x:c>
      <x:c r="F397" s="89">
        <x:f>E397*D397/SUMIFS($D$104:$D$468,$C$104:$C$468,C397)</x:f>
        <x:v>4304.90078259377</x:v>
      </x:c>
      <x:c r="G397" s="90">
        <x:f>F397/10000</x:f>
        <x:v>0.430490078259377</x:v>
      </x:c>
      <x:c r="H397" s="90">
        <x:f>AVERAGE(G391:G397)</x:f>
        <x:v>0.26390906025795</x:v>
      </x:c>
      <x:c r="I397" s="91" t="str">
        <x:f>TEXT(B397,"m/d")</x:f>
        <x:v>10/21</x:v>
      </x:c>
    </x:row>
    <x:row r="398" ht="22" customHeight="1">
      <x:c r="B398" s="85" t="n">
        <x:v>45952</x:v>
      </x:c>
      <x:c r="C398" s="84" t="n">
        <x:v>10</x:v>
      </x:c>
      <x:c r="D398" s="88" t="n">
        <x:v>1.470058</x:v>
      </x:c>
      <x:c r="E398" s="89">
        <x:f>INDEX('增长质量'!$C$62:$N$62,1,C398)</x:f>
        <x:v>107919</x:v>
      </x:c>
      <x:c r="F398" s="89">
        <x:f>E398*D398/SUMIFS($D$104:$D$468,$C$104:$C$468,C398)</x:f>
        <x:v>3372.90518843223</x:v>
      </x:c>
      <x:c r="G398" s="90">
        <x:f>F398/10000</x:f>
        <x:v>0.337290518843223</x:v>
      </x:c>
      <x:c r="H398" s="90">
        <x:f>AVERAGE(G392:G398)</x:f>
        <x:v>0.290308557183364</x:v>
      </x:c>
      <x:c r="I398" s="91" t="str">
        <x:f>TEXT(B398,"m/d")</x:f>
        <x:v>10/22</x:v>
      </x:c>
    </x:row>
    <x:row r="399" ht="22" customHeight="1">
      <x:c r="B399" s="85" t="n">
        <x:v>45953</x:v>
      </x:c>
      <x:c r="C399" s="84" t="n">
        <x:v>10</x:v>
      </x:c>
      <x:c r="D399" s="88" t="n">
        <x:v>2.313713</x:v>
      </x:c>
      <x:c r="E399" s="89">
        <x:f>INDEX('增长质量'!$C$62:$N$62,1,C399)</x:f>
        <x:v>107919</x:v>
      </x:c>
      <x:c r="F399" s="89">
        <x:f>E399*D399/SUMIFS($D$104:$D$468,$C$104:$C$468,C399)</x:f>
        <x:v>5308.58958098463</x:v>
      </x:c>
      <x:c r="G399" s="90">
        <x:f>F399/10000</x:f>
        <x:v>0.530858958098463</x:v>
      </x:c>
      <x:c r="H399" s="90">
        <x:f>AVERAGE(G393:G399)</x:f>
        <x:v>0.324803690495631</x:v>
      </x:c>
      <x:c r="I399" s="91" t="str">
        <x:f>TEXT(B399,"m/d")</x:f>
        <x:v>10/23</x:v>
      </x:c>
    </x:row>
    <x:row r="400" ht="22" customHeight="1">
      <x:c r="B400" s="85" t="n">
        <x:v>45954</x:v>
      </x:c>
      <x:c r="C400" s="84" t="n">
        <x:v>10</x:v>
      </x:c>
      <x:c r="D400" s="88" t="n">
        <x:v>0.430189</x:v>
      </x:c>
      <x:c r="E400" s="89">
        <x:f>INDEX('增长质量'!$C$62:$N$62,1,C400)</x:f>
        <x:v>107919</x:v>
      </x:c>
      <x:c r="F400" s="89">
        <x:f>E400*D400/SUMIFS($D$104:$D$468,$C$104:$C$468,C400)</x:f>
        <x:v>987.026845271734</x:v>
      </x:c>
      <x:c r="G400" s="90">
        <x:f>F400/10000</x:f>
        <x:v>0.0987026845271734</x:v>
      </x:c>
      <x:c r="H400" s="90">
        <x:f>AVERAGE(G394:G400)</x:f>
        <x:v>0.28241476268837</x:v>
      </x:c>
      <x:c r="I400" s="91" t="str">
        <x:f>TEXT(B400,"m/d")</x:f>
        <x:v>10/24</x:v>
      </x:c>
    </x:row>
    <x:row r="401" ht="22" customHeight="1">
      <x:c r="B401" s="85" t="n">
        <x:v>45955</x:v>
      </x:c>
      <x:c r="C401" s="84" t="n">
        <x:v>10</x:v>
      </x:c>
      <x:c r="D401" s="88" t="n">
        <x:v>0.625993</x:v>
      </x:c>
      <x:c r="E401" s="89">
        <x:f>INDEX('增长质量'!$C$62:$N$62,1,C401)</x:f>
        <x:v>107919</x:v>
      </x:c>
      <x:c r="F401" s="89">
        <x:f>E401*D401/SUMIFS($D$104:$D$468,$C$104:$C$468,C401)</x:f>
        <x:v>1436.28009073265</x:v>
      </x:c>
      <x:c r="G401" s="90">
        <x:f>F401/10000</x:f>
        <x:v>0.143628009073265</x:v>
      </x:c>
      <x:c r="H401" s="90">
        <x:f>AVERAGE(G395:G401)</x:f>
        <x:v>0.298421893248944</x:v>
      </x:c>
      <x:c r="I401" s="91" t="str">
        <x:f>TEXT(B401,"m/d")</x:f>
        <x:v>10/25</x:v>
      </x:c>
    </x:row>
    <x:row r="402" ht="22" customHeight="1">
      <x:c r="B402" s="85" t="n">
        <x:v>45956</x:v>
      </x:c>
      <x:c r="C402" s="84" t="n">
        <x:v>10</x:v>
      </x:c>
      <x:c r="D402" s="88" t="n">
        <x:v>0.497713</x:v>
      </x:c>
      <x:c r="E402" s="89">
        <x:f>INDEX('增长质量'!$C$62:$N$62,1,C402)</x:f>
        <x:v>107919</x:v>
      </x:c>
      <x:c r="F402" s="89">
        <x:f>E402*D402/SUMIFS($D$104:$D$468,$C$104:$C$468,C402)</x:f>
        <x:v>1141.95409980434</x:v>
      </x:c>
      <x:c r="G402" s="90">
        <x:f>F402/10000</x:f>
        <x:v>0.114195409980434</x:v>
      </x:c>
      <x:c r="H402" s="90">
        <x:f>AVERAGE(G396:G402)</x:f>
        <x:v>0.302938457934003</x:v>
      </x:c>
      <x:c r="I402" s="91" t="str">
        <x:f>TEXT(B402,"m/d")</x:f>
        <x:v>10/26</x:v>
      </x:c>
    </x:row>
    <x:row r="403" ht="22" customHeight="1">
      <x:c r="B403" s="85" t="n">
        <x:v>45957</x:v>
      </x:c>
      <x:c r="C403" s="84" t="n">
        <x:v>10</x:v>
      </x:c>
      <x:c r="D403" s="88" t="n">
        <x:v>2.515684</x:v>
      </x:c>
      <x:c r="E403" s="89">
        <x:f>INDEX('增长质量'!$C$62:$N$62,1,C403)</x:f>
        <x:v>107919</x:v>
      </x:c>
      <x:c r="F403" s="89">
        <x:f>E403*D403/SUMIFS($D$104:$D$468,$C$104:$C$468,C403)</x:f>
        <x:v>5771.99240850086</x:v>
      </x:c>
      <x:c r="G403" s="90">
        <x:f>F403/10000</x:f>
        <x:v>0.577199240850086</x:v>
      </x:c>
      <x:c r="H403" s="90">
        <x:f>AVERAGE(G397:G403)</x:f>
        <x:v>0.318909271376003</x:v>
      </x:c>
      <x:c r="I403" s="91" t="str">
        <x:f>TEXT(B403,"m/d")</x:f>
        <x:v>10/27</x:v>
      </x:c>
    </x:row>
    <x:row r="404" ht="22" customHeight="1">
      <x:c r="B404" s="85" t="n">
        <x:v>45958</x:v>
      </x:c>
      <x:c r="C404" s="84" t="n">
        <x:v>10</x:v>
      </x:c>
      <x:c r="D404" s="88" t="n">
        <x:v>2.453874</x:v>
      </x:c>
      <x:c r="E404" s="89">
        <x:f>INDEX('增长质量'!$C$62:$N$62,1,C404)</x:f>
        <x:v>107919</x:v>
      </x:c>
      <x:c r="F404" s="89">
        <x:f>E404*D404/SUMIFS($D$104:$D$468,$C$104:$C$468,C404)</x:f>
        <x:v>5630.17537155606</x:v>
      </x:c>
      <x:c r="G404" s="90">
        <x:f>F404/10000</x:f>
        <x:v>0.563017537155606</x:v>
      </x:c>
      <x:c r="H404" s="90">
        <x:f>AVERAGE(G398:G404)</x:f>
        <x:v>0.337841765504036</x:v>
      </x:c>
      <x:c r="I404" s="91" t="str">
        <x:f>TEXT(B404,"m/d")</x:f>
        <x:v>10/28</x:v>
      </x:c>
    </x:row>
    <x:row r="405" ht="22" customHeight="1">
      <x:c r="B405" s="85" t="n">
        <x:v>45959</x:v>
      </x:c>
      <x:c r="C405" s="84" t="n">
        <x:v>10</x:v>
      </x:c>
      <x:c r="D405" s="88" t="n">
        <x:v>4.597608</x:v>
      </x:c>
      <x:c r="E405" s="89">
        <x:f>INDEX('增长质量'!$C$62:$N$62,1,C405)</x:f>
        <x:v>107919</x:v>
      </x:c>
      <x:c r="F405" s="89">
        <x:f>E405*D405/SUMIFS($D$104:$D$468,$C$104:$C$468,C405)</x:f>
        <x:v>10548.7646593383</x:v>
      </x:c>
      <x:c r="G405" s="90">
        <x:f>F405/10000</x:f>
        <x:v>1.05487646593383</x:v>
      </x:c>
      <x:c r="H405" s="90">
        <x:f>AVERAGE(G399:G405)</x:f>
        <x:v>0.440354043659837</x:v>
      </x:c>
      <x:c r="I405" s="91" t="str">
        <x:f>TEXT(B405,"m/d")</x:f>
        <x:v>10/29</x:v>
      </x:c>
    </x:row>
    <x:row r="406" ht="22" customHeight="1">
      <x:c r="B406" s="85" t="n">
        <x:v>45960</x:v>
      </x:c>
      <x:c r="C406" s="84" t="n">
        <x:v>10</x:v>
      </x:c>
      <x:c r="D406" s="88" t="n">
        <x:v>6.309446</x:v>
      </x:c>
      <x:c r="E406" s="89">
        <x:f>INDEX('增长质量'!$C$62:$N$62,1,C406)</x:f>
        <x:v>107919</x:v>
      </x:c>
      <x:c r="F406" s="89">
        <x:f>E406*D406/SUMIFS($D$104:$D$468,$C$104:$C$468,C406)</x:f>
        <x:v>14476.4105562726</x:v>
      </x:c>
      <x:c r="G406" s="90">
        <x:f>F406/10000</x:f>
        <x:v>1.44764105562726</x:v>
      </x:c>
      <x:c r="H406" s="90">
        <x:f>AVERAGE(G400:G406)</x:f>
        <x:v>0.571322914735379</x:v>
      </x:c>
      <x:c r="I406" s="91" t="str">
        <x:f>TEXT(B406,"m/d")</x:f>
        <x:v>10/30</x:v>
      </x:c>
    </x:row>
    <x:row r="407" ht="22" customHeight="1">
      <x:c r="B407" s="85" t="n">
        <x:v>45961</x:v>
      </x:c>
      <x:c r="C407" s="84" t="n">
        <x:v>10</x:v>
      </x:c>
      <x:c r="D407" s="88" t="n">
        <x:v>3.0686</x:v>
      </x:c>
      <x:c r="E407" s="89">
        <x:f>INDEX('增长质量'!$C$62:$N$62,1,C407)</x:f>
        <x:v>107919</x:v>
      </x:c>
      <x:c r="F407" s="89">
        <x:f>E407*D407/SUMIFS($D$104:$D$468,$C$104:$C$468,C407)</x:f>
        <x:v>7040.60442596357</x:v>
      </x:c>
      <x:c r="G407" s="90">
        <x:f>F407/10000</x:f>
        <x:v>0.704060442596357</x:v>
      </x:c>
      <x:c r="H407" s="90">
        <x:f>AVERAGE(G401:G407)</x:f>
        <x:v>0.657802594459548</x:v>
      </x:c>
      <x:c r="I407" s="91" t="str">
        <x:f>TEXT(B407,"m/d")</x:f>
        <x:v>10/31</x:v>
      </x:c>
    </x:row>
    <x:row r="408" ht="22" customHeight="1">
      <x:c r="B408" s="85" t="n">
        <x:v>45962</x:v>
      </x:c>
      <x:c r="C408" s="84" t="n">
        <x:v>11</x:v>
      </x:c>
      <x:c r="D408" s="88" t="n">
        <x:v>0.629323</x:v>
      </x:c>
      <x:c r="E408" s="89">
        <x:f>INDEX('增长质量'!$C$62:$N$62,1,C408)</x:f>
        <x:v>113337</x:v>
      </x:c>
      <x:c r="F408" s="89">
        <x:f>E408*D408/SUMIFS($D$104:$D$468,$C$104:$C$468,C408)</x:f>
        <x:v>1777.14463484965</x:v>
      </x:c>
      <x:c r="G408" s="90">
        <x:f>F408/10000</x:f>
        <x:v>0.177714463484965</x:v>
      </x:c>
      <x:c r="H408" s="90">
        <x:f>AVERAGE(G402:G408)</x:f>
        <x:v>0.662672087946934</x:v>
      </x:c>
      <x:c r="I408" s="91" t="str">
        <x:f>TEXT(B408,"m/d")</x:f>
        <x:v>11/1</x:v>
      </x:c>
    </x:row>
    <x:row r="409" ht="22" customHeight="1">
      <x:c r="B409" s="85" t="n">
        <x:v>45963</x:v>
      </x:c>
      <x:c r="C409" s="84" t="n">
        <x:v>11</x:v>
      </x:c>
      <x:c r="D409" s="88" t="n">
        <x:v>0.156886</x:v>
      </x:c>
      <x:c r="E409" s="89">
        <x:f>INDEX('增长质量'!$C$62:$N$62,1,C409)</x:f>
        <x:v>113337</x:v>
      </x:c>
      <x:c r="F409" s="89">
        <x:f>E409*D409/SUMIFS($D$104:$D$468,$C$104:$C$468,C409)</x:f>
        <x:v>443.030229600732</x:v>
      </x:c>
      <x:c r="G409" s="90">
        <x:f>F409/10000</x:f>
        <x:v>0.0443030229600732</x:v>
      </x:c>
      <x:c r="H409" s="90">
        <x:f>AVERAGE(G403:G409)</x:f>
        <x:v>0.65268746122974</x:v>
      </x:c>
      <x:c r="I409" s="91" t="str">
        <x:f>TEXT(B409,"m/d")</x:f>
        <x:v>11/2</x:v>
      </x:c>
    </x:row>
    <x:row r="410" ht="22" customHeight="1">
      <x:c r="B410" s="85" t="n">
        <x:v>45964</x:v>
      </x:c>
      <x:c r="C410" s="84" t="n">
        <x:v>11</x:v>
      </x:c>
      <x:c r="D410" s="88" t="n">
        <x:v>1.687927</x:v>
      </x:c>
      <x:c r="E410" s="89">
        <x:f>INDEX('增长质量'!$C$62:$N$62,1,C410)</x:f>
        <x:v>113337</x:v>
      </x:c>
      <x:c r="F410" s="89">
        <x:f>E410*D410/SUMIFS($D$104:$D$468,$C$104:$C$468,C410)</x:f>
        <x:v>4766.53548665448</x:v>
      </x:c>
      <x:c r="G410" s="90">
        <x:f>F410/10000</x:f>
        <x:v>0.476653548665448</x:v>
      </x:c>
      <x:c r="H410" s="90">
        <x:f>AVERAGE(G404:G410)</x:f>
        <x:v>0.638323790917649</x:v>
      </x:c>
      <x:c r="I410" s="91" t="str">
        <x:f>TEXT(B410,"m/d")</x:f>
        <x:v>11/3</x:v>
      </x:c>
    </x:row>
    <x:row r="411" ht="22" customHeight="1">
      <x:c r="B411" s="85" t="n">
        <x:v>45965</x:v>
      </x:c>
      <x:c r="C411" s="84" t="n">
        <x:v>11</x:v>
      </x:c>
      <x:c r="D411" s="88" t="n">
        <x:v>0.744179</x:v>
      </x:c>
      <x:c r="E411" s="89">
        <x:f>INDEX('增长质量'!$C$62:$N$62,1,C411)</x:f>
        <x:v>113337</x:v>
      </x:c>
      <x:c r="F411" s="89">
        <x:f>E411*D411/SUMIFS($D$104:$D$468,$C$104:$C$468,C411)</x:f>
        <x:v>2101.48638651023</x:v>
      </x:c>
      <x:c r="G411" s="90">
        <x:f>F411/10000</x:f>
        <x:v>0.210148638651023</x:v>
      </x:c>
      <x:c r="H411" s="90">
        <x:f>AVERAGE(G405:G411)</x:f>
        <x:v>0.587913948274137</x:v>
      </x:c>
      <x:c r="I411" s="91" t="str">
        <x:f>TEXT(B411,"m/d")</x:f>
        <x:v>11/4</x:v>
      </x:c>
    </x:row>
    <x:row r="412" ht="22" customHeight="1">
      <x:c r="B412" s="85" t="n">
        <x:v>45966</x:v>
      </x:c>
      <x:c r="C412" s="84" t="n">
        <x:v>11</x:v>
      </x:c>
      <x:c r="D412" s="88" t="n">
        <x:v>0.946293</x:v>
      </x:c>
      <x:c r="E412" s="89">
        <x:f>INDEX('增长质量'!$C$62:$N$62,1,C412)</x:f>
        <x:v>113337</x:v>
      </x:c>
      <x:c r="F412" s="89">
        <x:f>E412*D412/SUMIFS($D$104:$D$468,$C$104:$C$468,C412)</x:f>
        <x:v>2672.2359232791</x:v>
      </x:c>
      <x:c r="G412" s="90">
        <x:f>F412/10000</x:f>
        <x:v>0.26722359232791</x:v>
      </x:c>
      <x:c r="H412" s="90">
        <x:f>AVERAGE(G406:G412)</x:f>
        <x:v>0.475392109187577</x:v>
      </x:c>
      <x:c r="I412" s="91" t="str">
        <x:f>TEXT(B412,"m/d")</x:f>
        <x:v>11/5</x:v>
      </x:c>
    </x:row>
    <x:row r="413" ht="22" customHeight="1">
      <x:c r="B413" s="85" t="n">
        <x:v>45967</x:v>
      </x:c>
      <x:c r="C413" s="84" t="n">
        <x:v>11</x:v>
      </x:c>
      <x:c r="D413" s="88" t="n">
        <x:v>2.017961</x:v>
      </x:c>
      <x:c r="E413" s="89">
        <x:f>INDEX('增长质量'!$C$62:$N$62,1,C413)</x:f>
        <x:v>113337</x:v>
      </x:c>
      <x:c r="F413" s="89">
        <x:f>E413*D413/SUMIFS($D$104:$D$468,$C$104:$C$468,C413)</x:f>
        <x:v>5698.51819254314</x:v>
      </x:c>
      <x:c r="G413" s="90">
        <x:f>F413/10000</x:f>
        <x:v>0.569851819254314</x:v>
      </x:c>
      <x:c r="H413" s="90">
        <x:f>AVERAGE(G407:G413)</x:f>
        <x:v>0.349993646848584</x:v>
      </x:c>
      <x:c r="I413" s="91" t="str">
        <x:f>TEXT(B413,"m/d")</x:f>
        <x:v>11/6</x:v>
      </x:c>
    </x:row>
    <x:row r="414" ht="22" customHeight="1">
      <x:c r="B414" s="85" t="n">
        <x:v>45968</x:v>
      </x:c>
      <x:c r="C414" s="84" t="n">
        <x:v>11</x:v>
      </x:c>
      <x:c r="D414" s="88" t="n">
        <x:v>1.973064</x:v>
      </x:c>
      <x:c r="E414" s="89">
        <x:f>INDEX('增长质量'!$C$62:$N$62,1,C414)</x:f>
        <x:v>113337</x:v>
      </x:c>
      <x:c r="F414" s="89">
        <x:f>E414*D414/SUMIFS($D$104:$D$468,$C$104:$C$468,C414)</x:f>
        <x:v>5571.73359596738</x:v>
      </x:c>
      <x:c r="G414" s="90">
        <x:f>F414/10000</x:f>
        <x:v>0.557173359596738</x:v>
      </x:c>
      <x:c r="H414" s="90">
        <x:f>AVERAGE(G408:G414)</x:f>
        <x:v>0.329009777848639</x:v>
      </x:c>
      <x:c r="I414" s="91" t="str">
        <x:f>TEXT(B414,"m/d")</x:f>
        <x:v>11/7</x:v>
      </x:c>
    </x:row>
    <x:row r="415" ht="22" customHeight="1">
      <x:c r="B415" s="85" t="n">
        <x:v>45969</x:v>
      </x:c>
      <x:c r="C415" s="84" t="n">
        <x:v>11</x:v>
      </x:c>
      <x:c r="D415" s="88" t="n">
        <x:v>0.50881</x:v>
      </x:c>
      <x:c r="E415" s="89">
        <x:f>INDEX('增长质量'!$C$62:$N$62,1,C415)</x:f>
        <x:v>113337</x:v>
      </x:c>
      <x:c r="F415" s="89">
        <x:f>E415*D415/SUMIFS($D$104:$D$468,$C$104:$C$468,C415)</x:f>
        <x:v>1436.8280861463</x:v>
      </x:c>
      <x:c r="G415" s="90">
        <x:f>F415/10000</x:f>
        <x:v>0.14368280861463</x:v>
      </x:c>
      <x:c r="H415" s="90">
        <x:f>AVERAGE(G409:G415)</x:f>
        <x:v>0.324148112867162</x:v>
      </x:c>
      <x:c r="I415" s="91" t="str">
        <x:f>TEXT(B415,"m/d")</x:f>
        <x:v>11/8</x:v>
      </x:c>
    </x:row>
    <x:row r="416" ht="22" customHeight="1">
      <x:c r="B416" s="85" t="n">
        <x:v>45970</x:v>
      </x:c>
      <x:c r="C416" s="84" t="n">
        <x:v>11</x:v>
      </x:c>
      <x:c r="D416" s="88" t="n">
        <x:v>0.270509</x:v>
      </x:c>
      <x:c r="E416" s="89">
        <x:f>INDEX('增长质量'!$C$62:$N$62,1,C416)</x:f>
        <x:v>113337</x:v>
      </x:c>
      <x:c r="F416" s="89">
        <x:f>E416*D416/SUMIFS($D$104:$D$468,$C$104:$C$468,C416)</x:f>
        <x:v>763.890113707179</x:v>
      </x:c>
      <x:c r="G416" s="90">
        <x:f>F416/10000</x:f>
        <x:v>0.0763890113707179</x:v>
      </x:c>
      <x:c r="H416" s="90">
        <x:f>AVERAGE(G410:G416)</x:f>
        <x:v>0.328731825497255</x:v>
      </x:c>
      <x:c r="I416" s="91" t="str">
        <x:f>TEXT(B416,"m/d")</x:f>
        <x:v>11/9</x:v>
      </x:c>
    </x:row>
    <x:row r="417" ht="22" customHeight="1">
      <x:c r="B417" s="85" t="n">
        <x:v>45971</x:v>
      </x:c>
      <x:c r="C417" s="84" t="n">
        <x:v>11</x:v>
      </x:c>
      <x:c r="D417" s="88" t="n">
        <x:v>2.796541</x:v>
      </x:c>
      <x:c r="E417" s="89">
        <x:f>INDEX('增长质量'!$C$62:$N$62,1,C417)</x:f>
        <x:v>113337</x:v>
      </x:c>
      <x:c r="F417" s="89">
        <x:f>E417*D417/SUMIFS($D$104:$D$468,$C$104:$C$468,C417)</x:f>
        <x:v>7897.1495309834</x:v>
      </x:c>
      <x:c r="G417" s="90">
        <x:f>F417/10000</x:f>
        <x:v>0.78971495309834</x:v>
      </x:c>
      <x:c r="H417" s="90">
        <x:f>AVERAGE(G411:G417)</x:f>
        <x:v>0.373454883273382</x:v>
      </x:c>
      <x:c r="I417" s="91" t="str">
        <x:f>TEXT(B417,"m/d")</x:f>
        <x:v>11/10</x:v>
      </x:c>
    </x:row>
    <x:row r="418" ht="22" customHeight="1">
      <x:c r="B418" s="85" t="n">
        <x:v>45972</x:v>
      </x:c>
      <x:c r="C418" s="84" t="n">
        <x:v>11</x:v>
      </x:c>
      <x:c r="D418" s="88" t="n">
        <x:v>1.307111</x:v>
      </x:c>
      <x:c r="E418" s="89">
        <x:f>INDEX('增长质量'!$C$62:$N$62,1,C418)</x:f>
        <x:v>113337</x:v>
      </x:c>
      <x:c r="F418" s="89">
        <x:f>E418*D418/SUMIFS($D$104:$D$468,$C$104:$C$468,C418)</x:f>
        <x:v>3691.14953815919</x:v>
      </x:c>
      <x:c r="G418" s="90">
        <x:f>F418/10000</x:f>
        <x:v>0.369114953815919</x:v>
      </x:c>
      <x:c r="H418" s="90">
        <x:f>AVERAGE(G412:G418)</x:f>
        <x:v>0.396164356868367</x:v>
      </x:c>
      <x:c r="I418" s="91" t="str">
        <x:f>TEXT(B418,"m/d")</x:f>
        <x:v>11/11</x:v>
      </x:c>
    </x:row>
    <x:row r="419" ht="22" customHeight="1">
      <x:c r="B419" s="85" t="n">
        <x:v>45973</x:v>
      </x:c>
      <x:c r="C419" s="84" t="n">
        <x:v>11</x:v>
      </x:c>
      <x:c r="D419" s="88" t="n">
        <x:v>1.429182</x:v>
      </x:c>
      <x:c r="E419" s="89">
        <x:f>INDEX('增长质量'!$C$62:$N$62,1,C419)</x:f>
        <x:v>113337</x:v>
      </x:c>
      <x:c r="F419" s="89">
        <x:f>E419*D419/SUMIFS($D$104:$D$468,$C$104:$C$468,C419)</x:f>
        <x:v>4035.86572161463</x:v>
      </x:c>
      <x:c r="G419" s="90">
        <x:f>F419/10000</x:f>
        <x:v>0.403586572161463</x:v>
      </x:c>
      <x:c r="H419" s="90">
        <x:f>AVERAGE(G413:G419)</x:f>
        <x:v>0.415644782558875</x:v>
      </x:c>
      <x:c r="I419" s="91" t="str">
        <x:f>TEXT(B419,"m/d")</x:f>
        <x:v>11/12</x:v>
      </x:c>
    </x:row>
    <x:row r="420" ht="22" customHeight="1">
      <x:c r="B420" s="85" t="n">
        <x:v>45974</x:v>
      </x:c>
      <x:c r="C420" s="84" t="n">
        <x:v>11</x:v>
      </x:c>
      <x:c r="D420" s="88" t="n">
        <x:v>4.055086</x:v>
      </x:c>
      <x:c r="E420" s="89">
        <x:f>INDEX('增长质量'!$C$62:$N$62,1,C420)</x:f>
        <x:v>113337</x:v>
      </x:c>
      <x:c r="F420" s="89">
        <x:f>E420*D420/SUMIFS($D$104:$D$468,$C$104:$C$468,C420)</x:f>
        <x:v>11451.1535868766</x:v>
      </x:c>
      <x:c r="G420" s="90">
        <x:f>F420/10000</x:f>
        <x:v>1.14511535868766</x:v>
      </x:c>
      <x:c r="H420" s="90">
        <x:f>AVERAGE(G414:G420)</x:f>
        <x:v>0.497825288192209</x:v>
      </x:c>
      <x:c r="I420" s="91" t="str">
        <x:f>TEXT(B420,"m/d")</x:f>
        <x:v>11/13</x:v>
      </x:c>
    </x:row>
    <x:row r="421" ht="22" customHeight="1">
      <x:c r="B421" s="85" t="n">
        <x:v>45975</x:v>
      </x:c>
      <x:c r="C421" s="84" t="n">
        <x:v>11</x:v>
      </x:c>
      <x:c r="D421" s="88" t="n">
        <x:v>2.74363</x:v>
      </x:c>
      <x:c r="E421" s="89">
        <x:f>INDEX('增长质量'!$C$62:$N$62,1,C421)</x:f>
        <x:v>113337</x:v>
      </x:c>
      <x:c r="F421" s="89">
        <x:f>E421*D421/SUMIFS($D$104:$D$468,$C$104:$C$468,C421)</x:f>
        <x:v>7747.73420725531</x:v>
      </x:c>
      <x:c r="G421" s="90">
        <x:f>F421/10000</x:f>
        <x:v>0.774773420725531</x:v>
      </x:c>
      <x:c r="H421" s="90">
        <x:f>AVERAGE(G415:G421)</x:f>
        <x:v>0.528911011210608</x:v>
      </x:c>
      <x:c r="I421" s="91" t="str">
        <x:f>TEXT(B421,"m/d")</x:f>
        <x:v>11/14</x:v>
      </x:c>
    </x:row>
    <x:row r="422" ht="22" customHeight="1">
      <x:c r="B422" s="85" t="n">
        <x:v>45976</x:v>
      </x:c>
      <x:c r="C422" s="84" t="n">
        <x:v>11</x:v>
      </x:c>
      <x:c r="D422" s="88" t="n">
        <x:v>1.122872</x:v>
      </x:c>
      <x:c r="E422" s="89">
        <x:f>INDEX('增长质量'!$C$62:$N$62,1,C422)</x:f>
        <x:v>113337</x:v>
      </x:c>
      <x:c r="F422" s="89">
        <x:f>E422*D422/SUMIFS($D$104:$D$468,$C$104:$C$468,C422)</x:f>
        <x:v>3170.87719727849</x:v>
      </x:c>
      <x:c r="G422" s="90">
        <x:f>F422/10000</x:f>
        <x:v>0.317087719727849</x:v>
      </x:c>
      <x:c r="H422" s="90">
        <x:f>AVERAGE(G416:G422)</x:f>
        <x:v>0.553683141369639</x:v>
      </x:c>
      <x:c r="I422" s="91" t="str">
        <x:f>TEXT(B422,"m/d")</x:f>
        <x:v>11/15</x:v>
      </x:c>
    </x:row>
    <x:row r="423" ht="22" customHeight="1">
      <x:c r="B423" s="85" t="n">
        <x:v>45977</x:v>
      </x:c>
      <x:c r="C423" s="84" t="n">
        <x:v>11</x:v>
      </x:c>
      <x:c r="D423" s="88" t="n">
        <x:v>0.396544</x:v>
      </x:c>
      <x:c r="E423" s="89">
        <x:f>INDEX('增长质量'!$C$62:$N$62,1,C423)</x:f>
        <x:v>113337</x:v>
      </x:c>
      <x:c r="F423" s="89">
        <x:f>E423*D423/SUMIFS($D$104:$D$468,$C$104:$C$468,C423)</x:f>
        <x:v>1119.80023307875</x:v>
      </x:c>
      <x:c r="G423" s="90">
        <x:f>F423/10000</x:f>
        <x:v>0.111980023307875</x:v>
      </x:c>
      <x:c r="H423" s="90">
        <x:f>AVERAGE(G417:G423)</x:f>
        <x:v>0.558767571646376</x:v>
      </x:c>
      <x:c r="I423" s="91" t="str">
        <x:f>TEXT(B423,"m/d")</x:f>
        <x:v>11/16</x:v>
      </x:c>
    </x:row>
    <x:row r="424" ht="22" customHeight="1">
      <x:c r="B424" s="85" t="n">
        <x:v>45978</x:v>
      </x:c>
      <x:c r="C424" s="84" t="n">
        <x:v>11</x:v>
      </x:c>
      <x:c r="D424" s="88" t="n">
        <x:v>1.158615</x:v>
      </x:c>
      <x:c r="E424" s="89">
        <x:f>INDEX('增长质量'!$C$62:$N$62,1,C424)</x:f>
        <x:v>113337</x:v>
      </x:c>
      <x:c r="F424" s="89">
        <x:f>E424*D424/SUMIFS($D$104:$D$468,$C$104:$C$468,C424)</x:f>
        <x:v>3271.81182176136</x:v>
      </x:c>
      <x:c r="G424" s="90">
        <x:f>F424/10000</x:f>
        <x:v>0.327181182176136</x:v>
      </x:c>
      <x:c r="H424" s="90">
        <x:f>AVERAGE(G418:G424)</x:f>
        <x:v>0.49269131865749</x:v>
      </x:c>
      <x:c r="I424" s="91" t="str">
        <x:f>TEXT(B424,"m/d")</x:f>
        <x:v>11/17</x:v>
      </x:c>
    </x:row>
    <x:row r="425" ht="22" customHeight="1">
      <x:c r="B425" s="85" t="n">
        <x:v>45979</x:v>
      </x:c>
      <x:c r="C425" s="84" t="n">
        <x:v>11</x:v>
      </x:c>
      <x:c r="D425" s="88" t="n">
        <x:v>2.157459</x:v>
      </x:c>
      <x:c r="E425" s="89">
        <x:f>INDEX('增长质量'!$C$62:$N$62,1,C425)</x:f>
        <x:v>113337</x:v>
      </x:c>
      <x:c r="F425" s="89">
        <x:f>E425*D425/SUMIFS($D$104:$D$468,$C$104:$C$468,C425)</x:f>
        <x:v>6092.44646510311</x:v>
      </x:c>
      <x:c r="G425" s="90">
        <x:f>F425/10000</x:f>
        <x:v>0.609244646510311</x:v>
      </x:c>
      <x:c r="H425" s="90">
        <x:f>AVERAGE(G419:G425)</x:f>
        <x:v>0.526995560470974</x:v>
      </x:c>
      <x:c r="I425" s="91" t="str">
        <x:f>TEXT(B425,"m/d")</x:f>
        <x:v>11/18</x:v>
      </x:c>
    </x:row>
    <x:row r="426" ht="22" customHeight="1">
      <x:c r="B426" s="85" t="n">
        <x:v>45980</x:v>
      </x:c>
      <x:c r="C426" s="84" t="n">
        <x:v>11</x:v>
      </x:c>
      <x:c r="D426" s="88" t="n">
        <x:v>0.366998</x:v>
      </x:c>
      <x:c r="E426" s="89">
        <x:f>INDEX('增长质量'!$C$62:$N$62,1,C426)</x:f>
        <x:v>113337</x:v>
      </x:c>
      <x:c r="F426" s="89">
        <x:f>E426*D426/SUMIFS($D$104:$D$468,$C$104:$C$468,C426)</x:f>
        <x:v>1036.36531113681</x:v>
      </x:c>
      <x:c r="G426" s="90">
        <x:f>F426/10000</x:f>
        <x:v>0.103636531113681</x:v>
      </x:c>
      <x:c r="H426" s="90">
        <x:f>AVERAGE(G420:G426)</x:f>
        <x:v>0.484145554607005</x:v>
      </x:c>
      <x:c r="I426" s="91" t="str">
        <x:f>TEXT(B426,"m/d")</x:f>
        <x:v>11/19</x:v>
      </x:c>
    </x:row>
    <x:row r="427" ht="22" customHeight="1">
      <x:c r="B427" s="85" t="n">
        <x:v>45981</x:v>
      </x:c>
      <x:c r="C427" s="84" t="n">
        <x:v>11</x:v>
      </x:c>
      <x:c r="D427" s="88" t="n">
        <x:v>1.212622</x:v>
      </x:c>
      <x:c r="E427" s="89">
        <x:f>INDEX('增长质量'!$C$62:$N$62,1,C427)</x:f>
        <x:v>113337</x:v>
      </x:c>
      <x:c r="F427" s="89">
        <x:f>E427*D427/SUMIFS($D$104:$D$468,$C$104:$C$468,C427)</x:f>
        <x:v>3424.32213887089</x:v>
      </x:c>
      <x:c r="G427" s="90">
        <x:f>F427/10000</x:f>
        <x:v>0.342432213887089</x:v>
      </x:c>
      <x:c r="H427" s="90">
        <x:f>AVERAGE(G421:G427)</x:f>
        <x:v>0.36947653392121</x:v>
      </x:c>
      <x:c r="I427" s="91" t="str">
        <x:f>TEXT(B427,"m/d")</x:f>
        <x:v>11/20</x:v>
      </x:c>
    </x:row>
    <x:row r="428" ht="22" customHeight="1">
      <x:c r="B428" s="85" t="n">
        <x:v>45982</x:v>
      </x:c>
      <x:c r="C428" s="84" t="n">
        <x:v>11</x:v>
      </x:c>
      <x:c r="D428" s="88" t="n">
        <x:v>1.943174</x:v>
      </x:c>
      <x:c r="E428" s="89">
        <x:f>INDEX('增长质量'!$C$62:$N$62,1,C428)</x:f>
        <x:v>113337</x:v>
      </x:c>
      <x:c r="F428" s="89">
        <x:f>E428*D428/SUMIFS($D$104:$D$468,$C$104:$C$468,C428)</x:f>
        <x:v>5487.32725274513</x:v>
      </x:c>
      <x:c r="G428" s="90">
        <x:f>F428/10000</x:f>
        <x:v>0.548732725274513</x:v>
      </x:c>
      <x:c r="H428" s="90">
        <x:f>AVERAGE(G422:G428)</x:f>
        <x:v>0.337185005999636</x:v>
      </x:c>
      <x:c r="I428" s="91" t="str">
        <x:f>TEXT(B428,"m/d")</x:f>
        <x:v>11/21</x:v>
      </x:c>
    </x:row>
    <x:row r="429" ht="22" customHeight="1">
      <x:c r="B429" s="85" t="n">
        <x:v>45983</x:v>
      </x:c>
      <x:c r="C429" s="84" t="n">
        <x:v>11</x:v>
      </x:c>
      <x:c r="D429" s="88" t="n">
        <x:v>0.503878</x:v>
      </x:c>
      <x:c r="E429" s="89">
        <x:f>INDEX('增长质量'!$C$62:$N$62,1,C429)</x:f>
        <x:v>113337</x:v>
      </x:c>
      <x:c r="F429" s="89">
        <x:f>E429*D429/SUMIFS($D$104:$D$468,$C$104:$C$468,C429)</x:f>
        <x:v>1422.90061592977</x:v>
      </x:c>
      <x:c r="G429" s="90">
        <x:f>F429/10000</x:f>
        <x:v>0.142290061592977</x:v>
      </x:c>
      <x:c r="H429" s="90">
        <x:f>AVERAGE(G423:G429)</x:f>
        <x:v>0.312213911980369</x:v>
      </x:c>
      <x:c r="I429" s="91" t="str">
        <x:f>TEXT(B429,"m/d")</x:f>
        <x:v>11/22</x:v>
      </x:c>
    </x:row>
    <x:row r="430" ht="22" customHeight="1">
      <x:c r="B430" s="85" t="n">
        <x:v>45984</x:v>
      </x:c>
      <x:c r="C430" s="84" t="n">
        <x:v>11</x:v>
      </x:c>
      <x:c r="D430" s="88" t="n">
        <x:v>0.414723</x:v>
      </x:c>
      <x:c r="E430" s="89">
        <x:f>INDEX('增长质量'!$C$62:$N$62,1,C430)</x:f>
        <x:v>113337</x:v>
      </x:c>
      <x:c r="F430" s="89">
        <x:f>E430*D430/SUMIFS($D$104:$D$468,$C$104:$C$468,C430)</x:f>
        <x:v>1171.13589428441</x:v>
      </x:c>
      <x:c r="G430" s="90">
        <x:f>F430/10000</x:f>
        <x:v>0.117113589428441</x:v>
      </x:c>
      <x:c r="H430" s="90">
        <x:f>AVERAGE(G424:G430)</x:f>
        <x:v>0.312947278569021</x:v>
      </x:c>
      <x:c r="I430" s="91" t="str">
        <x:f>TEXT(B430,"m/d")</x:f>
        <x:v>11/23</x:v>
      </x:c>
    </x:row>
    <x:row r="431" ht="22" customHeight="1">
      <x:c r="B431" s="85" t="n">
        <x:v>45985</x:v>
      </x:c>
      <x:c r="C431" s="84" t="n">
        <x:v>11</x:v>
      </x:c>
      <x:c r="D431" s="88" t="n">
        <x:v>1.745201</x:v>
      </x:c>
      <x:c r="E431" s="89">
        <x:f>INDEX('增长质量'!$C$62:$N$62,1,C431)</x:f>
        <x:v>113337</x:v>
      </x:c>
      <x:c r="F431" s="89">
        <x:f>E431*D431/SUMIFS($D$104:$D$468,$C$104:$C$468,C431)</x:f>
        <x:v>4928.27148202789</x:v>
      </x:c>
      <x:c r="G431" s="90">
        <x:f>F431/10000</x:f>
        <x:v>0.492827148202789</x:v>
      </x:c>
      <x:c r="H431" s="90">
        <x:f>AVERAGE(G425:G431)</x:f>
        <x:v>0.3366109880014</x:v>
      </x:c>
      <x:c r="I431" s="91" t="str">
        <x:f>TEXT(B431,"m/d")</x:f>
        <x:v>11/24</x:v>
      </x:c>
    </x:row>
    <x:row r="432" ht="22" customHeight="1">
      <x:c r="B432" s="85" t="n">
        <x:v>45986</x:v>
      </x:c>
      <x:c r="C432" s="84" t="n">
        <x:v>11</x:v>
      </x:c>
      <x:c r="D432" s="88" t="n">
        <x:v>1.187153</x:v>
      </x:c>
      <x:c r="E432" s="89">
        <x:f>INDEX('增长质量'!$C$62:$N$62,1,C432)</x:f>
        <x:v>113337</x:v>
      </x:c>
      <x:c r="F432" s="89">
        <x:f>E432*D432/SUMIFS($D$104:$D$468,$C$104:$C$468,C432)</x:f>
        <x:v>3352.40025344006</x:v>
      </x:c>
      <x:c r="G432" s="90">
        <x:f>F432/10000</x:f>
        <x:v>0.335240025344006</x:v>
      </x:c>
      <x:c r="H432" s="90">
        <x:f>AVERAGE(G426:G432)</x:f>
        <x:v>0.297467470691928</x:v>
      </x:c>
      <x:c r="I432" s="91" t="str">
        <x:f>TEXT(B432,"m/d")</x:f>
        <x:v>11/25</x:v>
      </x:c>
    </x:row>
    <x:row r="433" ht="22" customHeight="1">
      <x:c r="B433" s="85" t="n">
        <x:v>45987</x:v>
      </x:c>
      <x:c r="C433" s="84" t="n">
        <x:v>11</x:v>
      </x:c>
      <x:c r="D433" s="88" t="n">
        <x:v>1.142065</x:v>
      </x:c>
      <x:c r="E433" s="89">
        <x:f>INDEX('增长质量'!$C$62:$N$62,1,C433)</x:f>
        <x:v>113337</x:v>
      </x:c>
      <x:c r="F433" s="89">
        <x:f>E433*D433/SUMIFS($D$104:$D$468,$C$104:$C$468,C433)</x:f>
        <x:v>3225.07629214181</x:v>
      </x:c>
      <x:c r="G433" s="90">
        <x:f>F433/10000</x:f>
        <x:v>0.322507629214181</x:v>
      </x:c>
      <x:c r="H433" s="90">
        <x:f>AVERAGE(G427:G433)</x:f>
        <x:v>0.328734770420571</x:v>
      </x:c>
      <x:c r="I433" s="91" t="str">
        <x:f>TEXT(B433,"m/d")</x:f>
        <x:v>11/26</x:v>
      </x:c>
    </x:row>
    <x:row r="434" ht="22" customHeight="1">
      <x:c r="B434" s="85" t="n">
        <x:v>45988</x:v>
      </x:c>
      <x:c r="C434" s="84" t="n">
        <x:v>11</x:v>
      </x:c>
      <x:c r="D434" s="88" t="n">
        <x:v>1.96105</x:v>
      </x:c>
      <x:c r="E434" s="89">
        <x:f>INDEX('增长质量'!$C$62:$N$62,1,C434)</x:f>
        <x:v>113337</x:v>
      </x:c>
      <x:c r="F434" s="89">
        <x:f>E434*D434/SUMIFS($D$104:$D$468,$C$104:$C$468,C434)</x:f>
        <x:v>5537.80727253239</x:v>
      </x:c>
      <x:c r="G434" s="90">
        <x:f>F434/10000</x:f>
        <x:v>0.553780727253239</x:v>
      </x:c>
      <x:c r="H434" s="90">
        <x:f>AVERAGE(G428:G434)</x:f>
        <x:v>0.358927415187164</x:v>
      </x:c>
      <x:c r="I434" s="91" t="str">
        <x:f>TEXT(B434,"m/d")</x:f>
        <x:v>11/27</x:v>
      </x:c>
    </x:row>
    <x:row r="435" ht="22" customHeight="1">
      <x:c r="B435" s="85" t="n">
        <x:v>45989</x:v>
      </x:c>
      <x:c r="C435" s="84" t="n">
        <x:v>11</x:v>
      </x:c>
      <x:c r="D435" s="88" t="n">
        <x:v>2.6183</x:v>
      </x:c>
      <x:c r="E435" s="89">
        <x:f>INDEX('增长质量'!$C$62:$N$62,1,C435)</x:f>
        <x:v>113337</x:v>
      </x:c>
      <x:c r="F435" s="89">
        <x:f>E435*D435/SUMIFS($D$104:$D$468,$C$104:$C$468,C435)</x:f>
        <x:v>7393.81493672856</x:v>
      </x:c>
      <x:c r="G435" s="90">
        <x:f>F435/10000</x:f>
        <x:v>0.739381493672856</x:v>
      </x:c>
      <x:c r="H435" s="90">
        <x:f>AVERAGE(G429:G435)</x:f>
        <x:v>0.386162953529784</x:v>
      </x:c>
      <x:c r="I435" s="91" t="str">
        <x:f>TEXT(B435,"m/d")</x:f>
        <x:v>11/28</x:v>
      </x:c>
    </x:row>
    <x:row r="436" ht="22" customHeight="1">
      <x:c r="B436" s="85" t="n">
        <x:v>45990</x:v>
      </x:c>
      <x:c r="C436" s="84" t="n">
        <x:v>11</x:v>
      </x:c>
      <x:c r="D436" s="88" t="n">
        <x:v>0.613595</x:v>
      </x:c>
      <x:c r="E436" s="89">
        <x:f>INDEX('增长质量'!$C$62:$N$62,1,C436)</x:f>
        <x:v>113337</x:v>
      </x:c>
      <x:c r="F436" s="89">
        <x:f>E436*D436/SUMIFS($D$104:$D$468,$C$104:$C$468,C436)</x:f>
        <x:v>1732.73035026619</x:v>
      </x:c>
      <x:c r="G436" s="90">
        <x:f>F436/10000</x:f>
        <x:v>0.173273035026619</x:v>
      </x:c>
      <x:c r="H436" s="90">
        <x:f>AVERAGE(G430:G436)</x:f>
        <x:v>0.390589092591733</x:v>
      </x:c>
      <x:c r="I436" s="91" t="str">
        <x:f>TEXT(B436,"m/d")</x:f>
        <x:v>11/29</x:v>
      </x:c>
    </x:row>
    <x:row r="437" ht="22" customHeight="1">
      <x:c r="B437" s="85" t="n">
        <x:v>45991</x:v>
      </x:c>
      <x:c r="C437" s="84" t="n">
        <x:v>11</x:v>
      </x:c>
      <x:c r="D437" s="88" t="n">
        <x:v>0.324182</x:v>
      </x:c>
      <x:c r="E437" s="89">
        <x:f>INDEX('增长质量'!$C$62:$N$62,1,C437)</x:f>
        <x:v>113337</x:v>
      </x:c>
      <x:c r="F437" s="89">
        <x:f>E437*D437/SUMIFS($D$104:$D$468,$C$104:$C$468,C437)</x:f>
        <x:v>915.457248527113</x:v>
      </x:c>
      <x:c r="G437" s="90">
        <x:f>F437/10000</x:f>
        <x:v>0.0915457248527112</x:v>
      </x:c>
      <x:c r="H437" s="90">
        <x:f>AVERAGE(G431:G437)</x:f>
        <x:v>0.386936540509486</x:v>
      </x:c>
      <x:c r="I437" s="91" t="str">
        <x:f>TEXT(B437,"m/d")</x:f>
        <x:v>11/30</x:v>
      </x:c>
    </x:row>
    <x:row r="438" ht="22" customHeight="1">
      <x:c r="B438" s="85" t="n">
        <x:v>45992</x:v>
      </x:c>
      <x:c r="C438" s="84" t="n">
        <x:v>12</x:v>
      </x:c>
      <x:c r="D438" s="88" t="n">
        <x:v>1.747401</x:v>
      </x:c>
      <x:c r="E438" s="89">
        <x:f>INDEX('增长质量'!$C$62:$N$62,1,C438)</x:f>
        <x:v>128898</x:v>
      </x:c>
      <x:c r="F438" s="89">
        <x:f>E438*D438/SUMIFS($D$104:$D$468,$C$104:$C$468,C438)</x:f>
        <x:v>4929.68726241696</x:v>
      </x:c>
      <x:c r="G438" s="90">
        <x:f>F438/10000</x:f>
        <x:v>0.492968726241696</x:v>
      </x:c>
      <x:c r="H438" s="90">
        <x:f>AVERAGE(G432:G438)</x:f>
        <x:v>0.386956765943615</x:v>
      </x:c>
      <x:c r="I438" s="91" t="str">
        <x:f>TEXT(B438,"m/d")</x:f>
        <x:v>12/1</x:v>
      </x:c>
    </x:row>
    <x:row r="439" ht="22" customHeight="1">
      <x:c r="B439" s="85" t="n">
        <x:v>45993</x:v>
      </x:c>
      <x:c r="C439" s="84" t="n">
        <x:v>12</x:v>
      </x:c>
      <x:c r="D439" s="88" t="n">
        <x:v>1.711207</x:v>
      </x:c>
      <x:c r="E439" s="89">
        <x:f>INDEX('增长质量'!$C$62:$N$62,1,C439)</x:f>
        <x:v>128898</x:v>
      </x:c>
      <x:c r="F439" s="89">
        <x:f>E439*D439/SUMIFS($D$104:$D$468,$C$104:$C$468,C439)</x:f>
        <x:v>4827.5784157493</x:v>
      </x:c>
      <x:c r="G439" s="90">
        <x:f>F439/10000</x:f>
        <x:v>0.48275784157493</x:v>
      </x:c>
      <x:c r="H439" s="90">
        <x:f>AVERAGE(G433:G439)</x:f>
        <x:v>0.40803073969089</x:v>
      </x:c>
      <x:c r="I439" s="91" t="str">
        <x:f>TEXT(B439,"m/d")</x:f>
        <x:v>12/2</x:v>
      </x:c>
    </x:row>
    <x:row r="440" ht="22" customHeight="1">
      <x:c r="B440" s="85" t="n">
        <x:v>45994</x:v>
      </x:c>
      <x:c r="C440" s="84" t="n">
        <x:v>12</x:v>
      </x:c>
      <x:c r="D440" s="88" t="n">
        <x:v>1.121386</x:v>
      </x:c>
      <x:c r="E440" s="89">
        <x:f>INDEX('增长质量'!$C$62:$N$62,1,C440)</x:f>
        <x:v>128898</x:v>
      </x:c>
      <x:c r="F440" s="89">
        <x:f>E440*D440/SUMIFS($D$104:$D$468,$C$104:$C$468,C440)</x:f>
        <x:v>3163.60256200649</x:v>
      </x:c>
      <x:c r="G440" s="90">
        <x:f>F440/10000</x:f>
        <x:v>0.316360256200649</x:v>
      </x:c>
      <x:c r="H440" s="90">
        <x:f>AVERAGE(G434:G440)</x:f>
        <x:v>0.4071525435461</x:v>
      </x:c>
      <x:c r="I440" s="91" t="str">
        <x:f>TEXT(B440,"m/d")</x:f>
        <x:v>12/3</x:v>
      </x:c>
    </x:row>
    <x:row r="441" ht="22" customHeight="1">
      <x:c r="B441" s="85" t="n">
        <x:v>45995</x:v>
      </x:c>
      <x:c r="C441" s="84" t="n">
        <x:v>12</x:v>
      </x:c>
      <x:c r="D441" s="88" t="n">
        <x:v>1.076358</x:v>
      </x:c>
      <x:c r="E441" s="89">
        <x:f>INDEX('增长质量'!$C$62:$N$62,1,C441)</x:f>
        <x:v>128898</x:v>
      </x:c>
      <x:c r="F441" s="89">
        <x:f>E441*D441/SUMIFS($D$104:$D$468,$C$104:$C$468,C441)</x:f>
        <x:v>3036.57164119775</x:v>
      </x:c>
      <x:c r="G441" s="90">
        <x:f>F441/10000</x:f>
        <x:v>0.303657164119775</x:v>
      </x:c>
      <x:c r="H441" s="90">
        <x:f>AVERAGE(G435:G441)</x:f>
        <x:v>0.371420605955605</x:v>
      </x:c>
      <x:c r="I441" s="91" t="str">
        <x:f>TEXT(B441,"m/d")</x:f>
        <x:v>12/4</x:v>
      </x:c>
    </x:row>
    <x:row r="442" ht="22" customHeight="1">
      <x:c r="B442" s="85" t="n">
        <x:v>45996</x:v>
      </x:c>
      <x:c r="C442" s="84" t="n">
        <x:v>12</x:v>
      </x:c>
      <x:c r="D442" s="88" t="n">
        <x:v>0.896636</x:v>
      </x:c>
      <x:c r="E442" s="89">
        <x:f>INDEX('增长质量'!$C$62:$N$62,1,C442)</x:f>
        <x:v>128898</x:v>
      </x:c>
      <x:c r="F442" s="89">
        <x:f>E442*D442/SUMIFS($D$104:$D$468,$C$104:$C$468,C442)</x:f>
        <x:v>2529.54820800978</x:v>
      </x:c>
      <x:c r="G442" s="90">
        <x:f>F442/10000</x:f>
        <x:v>0.252954820800978</x:v>
      </x:c>
      <x:c r="H442" s="90">
        <x:f>AVERAGE(G436:G442)</x:f>
        <x:v>0.301931081259622</x:v>
      </x:c>
      <x:c r="I442" s="91" t="str">
        <x:f>TEXT(B442,"m/d")</x:f>
        <x:v>12/5</x:v>
      </x:c>
    </x:row>
    <x:row r="443" ht="22" customHeight="1">
      <x:c r="B443" s="85" t="n">
        <x:v>45997</x:v>
      </x:c>
      <x:c r="C443" s="84" t="n">
        <x:v>12</x:v>
      </x:c>
      <x:c r="D443" s="88" t="n">
        <x:v>0.278285</x:v>
      </x:c>
      <x:c r="E443" s="89">
        <x:f>INDEX('增长质量'!$C$62:$N$62,1,C443)</x:f>
        <x:v>128898</x:v>
      </x:c>
      <x:c r="F443" s="89">
        <x:f>E443*D443/SUMIFS($D$104:$D$468,$C$104:$C$468,C443)</x:f>
        <x:v>785.084831599446</x:v>
      </x:c>
      <x:c r="G443" s="90">
        <x:f>F443/10000</x:f>
        <x:v>0.0785084831599446</x:v>
      </x:c>
      <x:c r="H443" s="90">
        <x:f>AVERAGE(G437:G443)</x:f>
        <x:v>0.288393288135812</x:v>
      </x:c>
      <x:c r="I443" s="91" t="str">
        <x:f>TEXT(B443,"m/d")</x:f>
        <x:v>12/6</x:v>
      </x:c>
    </x:row>
    <x:row r="444" ht="22" customHeight="1">
      <x:c r="B444" s="85" t="n">
        <x:v>45998</x:v>
      </x:c>
      <x:c r="C444" s="84" t="n">
        <x:v>12</x:v>
      </x:c>
      <x:c r="D444" s="88" t="n">
        <x:v>0.109928</x:v>
      </x:c>
      <x:c r="E444" s="89">
        <x:f>INDEX('增长质量'!$C$62:$N$62,1,C444)</x:f>
        <x:v>128898</x:v>
      </x:c>
      <x:c r="F444" s="89">
        <x:f>E444*D444/SUMIFS($D$104:$D$468,$C$104:$C$468,C444)</x:f>
        <x:v>310.12381324205</x:v>
      </x:c>
      <x:c r="G444" s="90">
        <x:f>F444/10000</x:f>
        <x:v>0.031012381324205</x:v>
      </x:c>
      <x:c r="H444" s="90">
        <x:f>AVERAGE(G438:G444)</x:f>
        <x:v>0.27974566763174</x:v>
      </x:c>
      <x:c r="I444" s="91" t="str">
        <x:f>TEXT(B444,"m/d")</x:f>
        <x:v>12/7</x:v>
      </x:c>
    </x:row>
    <x:row r="445" ht="22" customHeight="1">
      <x:c r="B445" s="85" t="n">
        <x:v>45999</x:v>
      </x:c>
      <x:c r="C445" s="84" t="n">
        <x:v>12</x:v>
      </x:c>
      <x:c r="D445" s="88" t="n">
        <x:v>1.84741</x:v>
      </x:c>
      <x:c r="E445" s="89">
        <x:f>INDEX('增长质量'!$C$62:$N$62,1,C445)</x:f>
        <x:v>128898</x:v>
      </x:c>
      <x:c r="F445" s="89">
        <x:f>E445*D445/SUMIFS($D$104:$D$468,$C$104:$C$468,C445)</x:f>
        <x:v>5211.82804946415</x:v>
      </x:c>
      <x:c r="G445" s="90">
        <x:f>F445/10000</x:f>
        <x:v>0.521182804946415</x:v>
      </x:c>
      <x:c r="H445" s="90">
        <x:f>AVERAGE(G439:G445)</x:f>
        <x:v>0.283776250303842</x:v>
      </x:c>
      <x:c r="I445" s="91" t="str">
        <x:f>TEXT(B445,"m/d")</x:f>
        <x:v>12/8</x:v>
      </x:c>
    </x:row>
    <x:row r="446" ht="22" customHeight="1">
      <x:c r="B446" s="85" t="n">
        <x:v>46000</x:v>
      </x:c>
      <x:c r="C446" s="84" t="n">
        <x:v>12</x:v>
      </x:c>
      <x:c r="D446" s="88" t="n">
        <x:v>1.636961</x:v>
      </x:c>
      <x:c r="E446" s="89">
        <x:f>INDEX('增长质量'!$C$62:$N$62,1,C446)</x:f>
        <x:v>128898</x:v>
      </x:c>
      <x:c r="F446" s="89">
        <x:f>E446*D446/SUMIFS($D$104:$D$468,$C$104:$C$468,C446)</x:f>
        <x:v>4618.119018344</x:v>
      </x:c>
      <x:c r="G446" s="90">
        <x:f>F446/10000</x:f>
        <x:v>0.4618119018344</x:v>
      </x:c>
      <x:c r="H446" s="90">
        <x:f>AVERAGE(G440:G446)</x:f>
        <x:v>0.280783973198052</x:v>
      </x:c>
      <x:c r="I446" s="91" t="str">
        <x:f>TEXT(B446,"m/d")</x:f>
        <x:v>12/9</x:v>
      </x:c>
    </x:row>
    <x:row r="447" ht="22" customHeight="1">
      <x:c r="B447" s="85" t="n">
        <x:v>46001</x:v>
      </x:c>
      <x:c r="C447" s="84" t="n">
        <x:v>12</x:v>
      </x:c>
      <x:c r="D447" s="88" t="n">
        <x:v>0.362274</x:v>
      </x:c>
      <x:c r="E447" s="89">
        <x:f>INDEX('增长质量'!$C$62:$N$62,1,C447)</x:f>
        <x:v>128898</x:v>
      </x:c>
      <x:c r="F447" s="89">
        <x:f>E447*D447/SUMIFS($D$104:$D$468,$C$104:$C$468,C447)</x:f>
        <x:v>1022.03073210147</x:v>
      </x:c>
      <x:c r="G447" s="90">
        <x:f>F447/10000</x:f>
        <x:v>0.102203073210147</x:v>
      </x:c>
      <x:c r="H447" s="90">
        <x:f>AVERAGE(G441:G447)</x:f>
        <x:v>0.250190089913695</x:v>
      </x:c>
      <x:c r="I447" s="91" t="str">
        <x:f>TEXT(B447,"m/d")</x:f>
        <x:v>12/10</x:v>
      </x:c>
    </x:row>
    <x:row r="448" ht="22" customHeight="1">
      <x:c r="B448" s="85" t="n">
        <x:v>46002</x:v>
      </x:c>
      <x:c r="C448" s="84" t="n">
        <x:v>12</x:v>
      </x:c>
      <x:c r="D448" s="88" t="n">
        <x:v>1.946334</x:v>
      </x:c>
      <x:c r="E448" s="89">
        <x:f>INDEX('增长质量'!$C$62:$N$62,1,C448)</x:f>
        <x:v>128898</x:v>
      </x:c>
      <x:c r="F448" s="89">
        <x:f>E448*D448/SUMIFS($D$104:$D$468,$C$104:$C$468,C448)</x:f>
        <x:v>5490.90788445757</x:v>
      </x:c>
      <x:c r="G448" s="90">
        <x:f>F448/10000</x:f>
        <x:v>0.549090788445757</x:v>
      </x:c>
      <x:c r="H448" s="90">
        <x:f>AVERAGE(G442:G448)</x:f>
        <x:v>0.285252036245978</x:v>
      </x:c>
      <x:c r="I448" s="91" t="str">
        <x:f>TEXT(B448,"m/d")</x:f>
        <x:v>12/11</x:v>
      </x:c>
    </x:row>
    <x:row r="449" ht="22" customHeight="1">
      <x:c r="B449" s="85" t="n">
        <x:v>46003</x:v>
      </x:c>
      <x:c r="C449" s="84" t="n">
        <x:v>12</x:v>
      </x:c>
      <x:c r="D449" s="88" t="n">
        <x:v>0.559523</x:v>
      </x:c>
      <x:c r="E449" s="89">
        <x:f>INDEX('增长质量'!$C$62:$N$62,1,C449)</x:f>
        <x:v>128898</x:v>
      </x:c>
      <x:c r="F449" s="89">
        <x:f>E449*D449/SUMIFS($D$104:$D$468,$C$104:$C$468,C449)</x:f>
        <x:v>1578.50053086231</x:v>
      </x:c>
      <x:c r="G449" s="90">
        <x:f>F449/10000</x:f>
        <x:v>0.157850053086231</x:v>
      </x:c>
      <x:c r="H449" s="90">
        <x:f>AVERAGE(G443:G449)</x:f>
        <x:v>0.271665640858157</x:v>
      </x:c>
      <x:c r="I449" s="91" t="str">
        <x:f>TEXT(B449,"m/d")</x:f>
        <x:v>12/12</x:v>
      </x:c>
    </x:row>
    <x:row r="450" ht="22" customHeight="1">
      <x:c r="B450" s="85" t="n">
        <x:v>46004</x:v>
      </x:c>
      <x:c r="C450" s="84" t="n">
        <x:v>12</x:v>
      </x:c>
      <x:c r="D450" s="88" t="n">
        <x:v>0.486667</x:v>
      </x:c>
      <x:c r="E450" s="89">
        <x:f>INDEX('增长质量'!$C$62:$N$62,1,C450)</x:f>
        <x:v>128898</x:v>
      </x:c>
      <x:c r="F450" s="89">
        <x:f>E450*D450/SUMIFS($D$104:$D$468,$C$104:$C$468,C450)</x:f>
        <x:v>1372.96253747061</x:v>
      </x:c>
      <x:c r="G450" s="90">
        <x:f>F450/10000</x:f>
        <x:v>0.137296253747061</x:v>
      </x:c>
      <x:c r="H450" s="90">
        <x:f>AVERAGE(G444:G450)</x:f>
        <x:v>0.280063893799174</x:v>
      </x:c>
      <x:c r="I450" s="91" t="str">
        <x:f>TEXT(B450,"m/d")</x:f>
        <x:v>12/13</x:v>
      </x:c>
    </x:row>
    <x:row r="451" ht="22" customHeight="1">
      <x:c r="B451" s="85" t="n">
        <x:v>46005</x:v>
      </x:c>
      <x:c r="C451" s="84" t="n">
        <x:v>12</x:v>
      </x:c>
      <x:c r="D451" s="88" t="n">
        <x:v>0.198344</x:v>
      </x:c>
      <x:c r="E451" s="89">
        <x:f>INDEX('增长质量'!$C$62:$N$62,1,C451)</x:f>
        <x:v>128898</x:v>
      </x:c>
      <x:c r="F451" s="89">
        <x:f>E451*D451/SUMIFS($D$104:$D$468,$C$104:$C$468,C451)</x:f>
        <x:v>559.558962354279</x:v>
      </x:c>
      <x:c r="G451" s="90">
        <x:f>F451/10000</x:f>
        <x:v>0.0559558962354279</x:v>
      </x:c>
      <x:c r="H451" s="90">
        <x:f>AVERAGE(G445:G451)</x:f>
        <x:v>0.283627253072206</x:v>
      </x:c>
      <x:c r="I451" s="91" t="str">
        <x:f>TEXT(B451,"m/d")</x:f>
        <x:v>12/14</x:v>
      </x:c>
    </x:row>
    <x:row r="452" ht="22" customHeight="1">
      <x:c r="B452" s="85" t="n">
        <x:v>46006</x:v>
      </x:c>
      <x:c r="C452" s="84" t="n">
        <x:v>12</x:v>
      </x:c>
      <x:c r="D452" s="88" t="n">
        <x:v>1.640312</x:v>
      </x:c>
      <x:c r="E452" s="89">
        <x:f>INDEX('增长质量'!$C$62:$N$62,1,C452)</x:f>
        <x:v>128898</x:v>
      </x:c>
      <x:c r="F452" s="89">
        <x:f>E452*D452/SUMIFS($D$104:$D$468,$C$104:$C$468,C452)</x:f>
        <x:v>4627.57270528613</x:v>
      </x:c>
      <x:c r="G452" s="90">
        <x:f>F452/10000</x:f>
        <x:v>0.462757270528613</x:v>
      </x:c>
      <x:c r="H452" s="90">
        <x:f>AVERAGE(G446:G452)</x:f>
        <x:v>0.275280748155377</x:v>
      </x:c>
      <x:c r="I452" s="91" t="str">
        <x:f>TEXT(B452,"m/d")</x:f>
        <x:v>12/15</x:v>
      </x:c>
    </x:row>
    <x:row r="453" ht="22" customHeight="1">
      <x:c r="B453" s="85" t="n">
        <x:v>46007</x:v>
      </x:c>
      <x:c r="C453" s="84" t="n">
        <x:v>12</x:v>
      </x:c>
      <x:c r="D453" s="88" t="n">
        <x:v>0.430254</x:v>
      </x:c>
      <x:c r="E453" s="89">
        <x:f>INDEX('增长质量'!$C$62:$N$62,1,C453)</x:f>
        <x:v>128898</x:v>
      </x:c>
      <x:c r="F453" s="89">
        <x:f>E453*D453/SUMIFS($D$104:$D$468,$C$104:$C$468,C453)</x:f>
        <x:v>1213.81277875196</x:v>
      </x:c>
      <x:c r="G453" s="90">
        <x:f>F453/10000</x:f>
        <x:v>0.121381277875196</x:v>
      </x:c>
      <x:c r="H453" s="90">
        <x:f>AVERAGE(G447:G453)</x:f>
        <x:v>0.22664780187549</x:v>
      </x:c>
      <x:c r="I453" s="91" t="str">
        <x:f>TEXT(B453,"m/d")</x:f>
        <x:v>12/16</x:v>
      </x:c>
    </x:row>
    <x:row r="454" ht="22" customHeight="1">
      <x:c r="B454" s="85" t="n">
        <x:v>46008</x:v>
      </x:c>
      <x:c r="C454" s="84" t="n">
        <x:v>12</x:v>
      </x:c>
      <x:c r="D454" s="88" t="n">
        <x:v>0.450231</x:v>
      </x:c>
      <x:c r="E454" s="89">
        <x:f>INDEX('增长质量'!$C$62:$N$62,1,C454)</x:f>
        <x:v>128898</x:v>
      </x:c>
      <x:c r="F454" s="89">
        <x:f>E454*D454/SUMIFS($D$104:$D$468,$C$104:$C$468,C454)</x:f>
        <x:v>1270.17097154302</x:v>
      </x:c>
      <x:c r="G454" s="90">
        <x:f>F454/10000</x:f>
        <x:v>0.127017097154302</x:v>
      </x:c>
      <x:c r="H454" s="90">
        <x:f>AVERAGE(G448:G454)</x:f>
        <x:v>0.230192662438941</x:v>
      </x:c>
      <x:c r="I454" s="91" t="str">
        <x:f>TEXT(B454,"m/d")</x:f>
        <x:v>12/17</x:v>
      </x:c>
    </x:row>
    <x:row r="455" ht="22" customHeight="1">
      <x:c r="B455" s="85" t="n">
        <x:v>46009</x:v>
      </x:c>
      <x:c r="C455" s="84" t="n">
        <x:v>12</x:v>
      </x:c>
      <x:c r="D455" s="88" t="n">
        <x:v>0.97676</x:v>
      </x:c>
      <x:c r="E455" s="89">
        <x:f>INDEX('增长质量'!$C$62:$N$62,1,C455)</x:f>
        <x:v>128898</x:v>
      </x:c>
      <x:c r="F455" s="89">
        <x:f>E455*D455/SUMIFS($D$104:$D$468,$C$104:$C$468,C455)</x:f>
        <x:v>2755.59034843083</x:v>
      </x:c>
      <x:c r="G455" s="90">
        <x:f>F455/10000</x:f>
        <x:v>0.275559034843083</x:v>
      </x:c>
      <x:c r="H455" s="90">
        <x:f>AVERAGE(G449:G455)</x:f>
        <x:v>0.191116697638559</x:v>
      </x:c>
      <x:c r="I455" s="91" t="str">
        <x:f>TEXT(B455,"m/d")</x:f>
        <x:v>12/18</x:v>
      </x:c>
    </x:row>
    <x:row r="456" ht="22" customHeight="1">
      <x:c r="B456" s="85" t="n">
        <x:v>46010</x:v>
      </x:c>
      <x:c r="C456" s="84" t="n">
        <x:v>12</x:v>
      </x:c>
      <x:c r="D456" s="88" t="n">
        <x:v>1.599131</x:v>
      </x:c>
      <x:c r="E456" s="89">
        <x:f>INDEX('增长质量'!$C$62:$N$62,1,C456)</x:f>
        <x:v>128898</x:v>
      </x:c>
      <x:c r="F456" s="89">
        <x:f>E456*D456/SUMIFS($D$104:$D$468,$C$104:$C$468,C456)</x:f>
        <x:v>4511.39476378696</x:v>
      </x:c>
      <x:c r="G456" s="90">
        <x:f>F456/10000</x:f>
        <x:v>0.451139476378696</x:v>
      </x:c>
      <x:c r="H456" s="90">
        <x:f>AVERAGE(G450:G456)</x:f>
        <x:v>0.23301518668034</x:v>
      </x:c>
      <x:c r="I456" s="91" t="str">
        <x:f>TEXT(B456,"m/d")</x:f>
        <x:v>12/19</x:v>
      </x:c>
    </x:row>
    <x:row r="457" ht="22" customHeight="1">
      <x:c r="B457" s="85" t="n">
        <x:v>46011</x:v>
      </x:c>
      <x:c r="C457" s="84" t="n">
        <x:v>12</x:v>
      </x:c>
      <x:c r="D457" s="88" t="n">
        <x:v>0.524444</x:v>
      </x:c>
      <x:c r="E457" s="89">
        <x:f>INDEX('增长质量'!$C$62:$N$62,1,C457)</x:f>
        <x:v>128898</x:v>
      </x:c>
      <x:c r="F457" s="89">
        <x:f>E457*D457/SUMIFS($D$104:$D$468,$C$104:$C$468,C457)</x:f>
        <x:v>1479.53727086742</x:v>
      </x:c>
      <x:c r="G457" s="90">
        <x:f>F457/10000</x:f>
        <x:v>0.147953727086742</x:v>
      </x:c>
      <x:c r="H457" s="90">
        <x:f>AVERAGE(G451:G457)</x:f>
        <x:v>0.234537682871723</x:v>
      </x:c>
      <x:c r="I457" s="91" t="str">
        <x:f>TEXT(B457,"m/d")</x:f>
        <x:v>12/20</x:v>
      </x:c>
    </x:row>
    <x:row r="458" ht="22" customHeight="1">
      <x:c r="B458" s="85" t="n">
        <x:v>46012</x:v>
      </x:c>
      <x:c r="C458" s="84" t="n">
        <x:v>12</x:v>
      </x:c>
      <x:c r="D458" s="88" t="n">
        <x:v>0.260729</x:v>
      </x:c>
      <x:c r="E458" s="89">
        <x:f>INDEX('增长质量'!$C$62:$N$62,1,C458)</x:f>
        <x:v>128898</x:v>
      </x:c>
      <x:c r="F458" s="89">
        <x:f>E458*D458/SUMIFS($D$104:$D$468,$C$104:$C$468,C458)</x:f>
        <x:v>735.556652561553</x:v>
      </x:c>
      <x:c r="G458" s="90">
        <x:f>F458/10000</x:f>
        <x:v>0.0735556652561553</x:v>
      </x:c>
      <x:c r="H458" s="90">
        <x:f>AVERAGE(G452:G458)</x:f>
        <x:v>0.23705193558897</x:v>
      </x:c>
      <x:c r="I458" s="91" t="str">
        <x:f>TEXT(B458,"m/d")</x:f>
        <x:v>12/21</x:v>
      </x:c>
    </x:row>
    <x:row r="459" ht="22" customHeight="1">
      <x:c r="B459" s="85" t="n">
        <x:v>46013</x:v>
      </x:c>
      <x:c r="C459" s="84" t="n">
        <x:v>12</x:v>
      </x:c>
      <x:c r="D459" s="88" t="n">
        <x:v>0.983599</x:v>
      </x:c>
      <x:c r="E459" s="89">
        <x:f>INDEX('增长质量'!$C$62:$N$62,1,C459)</x:f>
        <x:v>128898</x:v>
      </x:c>
      <x:c r="F459" s="89">
        <x:f>E459*D459/SUMIFS($D$104:$D$468,$C$104:$C$468,C459)</x:f>
        <x:v>2774.88422040851</x:v>
      </x:c>
      <x:c r="G459" s="90">
        <x:f>F459/10000</x:f>
        <x:v>0.277488422040851</x:v>
      </x:c>
      <x:c r="H459" s="90">
        <x:f>AVERAGE(G453:G459)</x:f>
        <x:v>0.210584957233575</x:v>
      </x:c>
      <x:c r="I459" s="91" t="str">
        <x:f>TEXT(B459,"m/d")</x:f>
        <x:v>12/22</x:v>
      </x:c>
    </x:row>
    <x:row r="460" ht="22" customHeight="1">
      <x:c r="B460" s="85" t="n">
        <x:v>46014</x:v>
      </x:c>
      <x:c r="C460" s="84" t="n">
        <x:v>12</x:v>
      </x:c>
      <x:c r="D460" s="88" t="n">
        <x:v>1.996861</x:v>
      </x:c>
      <x:c r="E460" s="89">
        <x:f>INDEX('增长质量'!$C$62:$N$62,1,C460)</x:f>
        <x:v>128898</x:v>
      </x:c>
      <x:c r="F460" s="89">
        <x:f>E460*D460/SUMIFS($D$104:$D$468,$C$104:$C$468,C460)</x:f>
        <x:v>5633.45233092873</x:v>
      </x:c>
      <x:c r="G460" s="90">
        <x:f>F460/10000</x:f>
        <x:v>0.563345233092873</x:v>
      </x:c>
      <x:c r="H460" s="90">
        <x:f>AVERAGE(G454:G460)</x:f>
        <x:v>0.273722665121815</x:v>
      </x:c>
      <x:c r="I460" s="91" t="str">
        <x:f>TEXT(B460,"m/d")</x:f>
        <x:v>12/23</x:v>
      </x:c>
    </x:row>
    <x:row r="461" ht="22" customHeight="1">
      <x:c r="B461" s="85" t="n">
        <x:v>46015</x:v>
      </x:c>
      <x:c r="C461" s="84" t="n">
        <x:v>12</x:v>
      </x:c>
      <x:c r="D461" s="88" t="n">
        <x:v>1.019158</x:v>
      </x:c>
      <x:c r="E461" s="89">
        <x:f>INDEX('增长质量'!$C$62:$N$62,1,C461)</x:f>
        <x:v>128898</x:v>
      </x:c>
      <x:c r="F461" s="89">
        <x:f>E461*D461/SUMIFS($D$104:$D$468,$C$104:$C$468,C461)</x:f>
        <x:v>2875.20163430738</x:v>
      </x:c>
      <x:c r="G461" s="90">
        <x:f>F461/10000</x:f>
        <x:v>0.287520163430738</x:v>
      </x:c>
      <x:c r="H461" s="90">
        <x:f>AVERAGE(G455:G461)</x:f>
        <x:v>0.296651674589877</x:v>
      </x:c>
      <x:c r="I461" s="91" t="str">
        <x:f>TEXT(B461,"m/d")</x:f>
        <x:v>12/24</x:v>
      </x:c>
    </x:row>
    <x:row r="462" ht="22" customHeight="1">
      <x:c r="B462" s="85" t="n">
        <x:v>46016</x:v>
      </x:c>
      <x:c r="C462" s="84" t="n">
        <x:v>12</x:v>
      </x:c>
      <x:c r="D462" s="88" t="n">
        <x:v>1.88482</x:v>
      </x:c>
      <x:c r="E462" s="89">
        <x:f>INDEX('增长质量'!$C$62:$N$62,1,C462)</x:f>
        <x:v>128898</x:v>
      </x:c>
      <x:c r="F462" s="89">
        <x:f>E462*D462/SUMIFS($D$104:$D$468,$C$104:$C$468,C462)</x:f>
        <x:v>5317.36741935522</x:v>
      </x:c>
      <x:c r="G462" s="90">
        <x:f>F462/10000</x:f>
        <x:v>0.531736741935522</x:v>
      </x:c>
      <x:c r="H462" s="90">
        <x:f>AVERAGE(G456:G462)</x:f>
        <x:v>0.333248489888797</x:v>
      </x:c>
      <x:c r="I462" s="91" t="str">
        <x:f>TEXT(B462,"m/d")</x:f>
        <x:v>12/25</x:v>
      </x:c>
    </x:row>
    <x:row r="463" ht="22" customHeight="1">
      <x:c r="B463" s="85" t="n">
        <x:v>46017</x:v>
      </x:c>
      <x:c r="C463" s="84" t="n">
        <x:v>12</x:v>
      </x:c>
      <x:c r="D463" s="88" t="n">
        <x:v>2.215158</x:v>
      </x:c>
      <x:c r="E463" s="89">
        <x:f>INDEX('增长质量'!$C$62:$N$62,1,C463)</x:f>
        <x:v>128898</x:v>
      </x:c>
      <x:c r="F463" s="89">
        <x:f>E463*D463/SUMIFS($D$104:$D$468,$C$104:$C$468,C463)</x:f>
        <x:v>6249.30177837888</x:v>
      </x:c>
      <x:c r="G463" s="90">
        <x:f>F463/10000</x:f>
        <x:v>0.624930177837888</x:v>
      </x:c>
      <x:c r="H463" s="90">
        <x:f>AVERAGE(G457:G463)</x:f>
        <x:v>0.358075732954396</x:v>
      </x:c>
      <x:c r="I463" s="91" t="str">
        <x:f>TEXT(B463,"m/d")</x:f>
        <x:v>12/26</x:v>
      </x:c>
    </x:row>
    <x:row r="464" ht="22" customHeight="1">
      <x:c r="B464" s="85" t="n">
        <x:v>46018</x:v>
      </x:c>
      <x:c r="C464" s="84" t="n">
        <x:v>12</x:v>
      </x:c>
      <x:c r="D464" s="88" t="n">
        <x:v>0.732729</x:v>
      </x:c>
      <x:c r="E464" s="89">
        <x:f>INDEX('增长质量'!$C$62:$N$62,1,C464)</x:f>
        <x:v>128898</x:v>
      </x:c>
      <x:c r="F464" s="89">
        <x:f>E464*D464/SUMIFS($D$104:$D$468,$C$104:$C$468,C464)</x:f>
        <x:v>2067.14132480382</x:v>
      </x:c>
      <x:c r="G464" s="90">
        <x:f>F464/10000</x:f>
        <x:v>0.206714132480382</x:v>
      </x:c>
      <x:c r="H464" s="90">
        <x:f>AVERAGE(G458:G464)</x:f>
        <x:v>0.366470076582058</x:v>
      </x:c>
      <x:c r="I464" s="91" t="str">
        <x:f>TEXT(B464,"m/d")</x:f>
        <x:v>12/27</x:v>
      </x:c>
    </x:row>
    <x:row r="465" ht="22" customHeight="1">
      <x:c r="B465" s="85" t="n">
        <x:v>46019</x:v>
      </x:c>
      <x:c r="C465" s="84" t="n">
        <x:v>12</x:v>
      </x:c>
      <x:c r="D465" s="88" t="n">
        <x:v>0.191358</x:v>
      </x:c>
      <x:c r="E465" s="89">
        <x:f>INDEX('增长质量'!$C$62:$N$62,1,C465)</x:f>
        <x:v>128898</x:v>
      </x:c>
      <x:c r="F465" s="89">
        <x:f>E465*D465/SUMIFS($D$104:$D$468,$C$104:$C$468,C465)</x:f>
        <x:v>539.850380743507</x:v>
      </x:c>
      <x:c r="G465" s="90">
        <x:f>F465/10000</x:f>
        <x:v>0.0539850380743507</x:v>
      </x:c>
      <x:c r="H465" s="90">
        <x:f>AVERAGE(G459:G465)</x:f>
        <x:v>0.363674272698943</x:v>
      </x:c>
      <x:c r="I465" s="91" t="str">
        <x:f>TEXT(B465,"m/d")</x:f>
        <x:v>12/28</x:v>
      </x:c>
    </x:row>
    <x:row r="466" ht="22" customHeight="1">
      <x:c r="B466" s="85" t="n">
        <x:v>46020</x:v>
      </x:c>
      <x:c r="C466" s="84" t="n">
        <x:v>12</x:v>
      </x:c>
      <x:c r="D466" s="88" t="n">
        <x:v>6.323819</x:v>
      </x:c>
      <x:c r="E466" s="89">
        <x:f>INDEX('增长质量'!$C$62:$N$62,1,C466)</x:f>
        <x:v>128898</x:v>
      </x:c>
      <x:c r="F466" s="89">
        <x:f>E466*D466/SUMIFS($D$104:$D$468,$C$104:$C$468,C466)</x:f>
        <x:v>17840.4670560051</x:v>
      </x:c>
      <x:c r="G466" s="90">
        <x:f>F466/10000</x:f>
        <x:v>1.78404670560051</x:v>
      </x:c>
      <x:c r="H466" s="90">
        <x:f>AVERAGE(G460:G466)</x:f>
        <x:v>0.578896884636037</x:v>
      </x:c>
      <x:c r="I466" s="91" t="str">
        <x:f>TEXT(B466,"m/d")</x:f>
        <x:v>12/29</x:v>
      </x:c>
    </x:row>
    <x:row r="467" ht="22" customHeight="1">
      <x:c r="B467" s="85" t="n">
        <x:v>46021</x:v>
      </x:c>
      <x:c r="C467" s="84" t="n">
        <x:v>12</x:v>
      </x:c>
      <x:c r="D467" s="88" t="n">
        <x:v>6.579803</x:v>
      </x:c>
      <x:c r="E467" s="89">
        <x:f>INDEX('增长质量'!$C$62:$N$62,1,C467)</x:f>
        <x:v>128898</x:v>
      </x:c>
      <x:c r="F467" s="89">
        <x:f>E467*D467/SUMIFS($D$104:$D$468,$C$104:$C$468,C467)</x:f>
        <x:v>18562.6373329951</x:v>
      </x:c>
      <x:c r="G467" s="90">
        <x:f>F467/10000</x:f>
        <x:v>1.85626373329951</x:v>
      </x:c>
      <x:c r="H467" s="90">
        <x:f>AVERAGE(G461:G467)</x:f>
        <x:v>0.763599527522699</x:v>
      </x:c>
      <x:c r="I467" s="91" t="str">
        <x:f>TEXT(B467,"m/d")</x:f>
        <x:v>12/30</x:v>
      </x:c>
    </x:row>
    <x:row r="468" ht="22" customHeight="1">
      <x:c r="B468" s="85" t="n">
        <x:v>46022</x:v>
      </x:c>
      <x:c r="C468" s="84" t="n">
        <x:v>12</x:v>
      </x:c>
      <x:c r="D468" s="88" t="n">
        <x:v>3.901934</x:v>
      </x:c>
      <x:c r="E468" s="89">
        <x:f>INDEX('增长质量'!$C$62:$N$62,1,C468)</x:f>
        <x:v>128898</x:v>
      </x:c>
      <x:c r="F468" s="89">
        <x:f>E468*D468/SUMIFS($D$104:$D$468,$C$104:$C$468,C468)</x:f>
        <x:v>11007.9565815698</x:v>
      </x:c>
      <x:c r="G468" s="90">
        <x:f>F468/10000</x:f>
        <x:v>1.10079565815698</x:v>
      </x:c>
      <x:c r="H468" s="90">
        <x:f>AVERAGE(G462:G468)</x:f>
        <x:v>0.87978174105502</x:v>
      </x:c>
      <x:c r="I468" s="91" t="str">
        <x:f>TEXT(B468,"m/d")</x:f>
        <x:v>12/31</x:v>
      </x:c>
    </x:row>
  </x:sheetData>
  <x:mergeCells>
    <x:mergeCell ref="B8:D9"/>
    <x:mergeCell ref="E8:G9"/>
    <x:mergeCell ref="I8:K9"/>
    <x:mergeCell ref="L8:O9"/>
    <x:mergeCell ref="K21:M21"/>
    <x:mergeCell ref="N21:O21"/>
    <x:mergeCell ref="K23:M23"/>
    <x:mergeCell ref="N23:O23"/>
    <x:mergeCell ref="K25:M25"/>
    <x:mergeCell ref="N25:O25"/>
  </x:mergeCells>
  <x:pageMargins left="0.7" right="0.7" top="0.75" bottom="0.75" header="0.3" footer="0.3"/>
  <x:drawing xmlns:r="http://schemas.openxmlformats.org/officeDocument/2006/relationships" r:id="Rbe562b163c61475e"/>
</x:worksheet>
</file>

<file path=xl/worksheets/sheet2.xml><?xml version="1.0" encoding="utf-8"?>
<x:worksheet xmlns:x="http://schemas.openxmlformats.org/spreadsheetml/2006/main">
  <x:sheetPr>
    <x:tabColor rgb="FF20263D"/>
  </x:sheetPr>
  <x:sheetViews>
    <x:sheetView showGridLines="0" workbookViewId="0"/>
  </x:sheetViews>
  <x:sheetFormatPr defaultRowHeight="15"/>
  <x:cols>
    <x:col min="1" max="1" width="2.890000104904175" hidden="0" customWidth="1"/>
    <x:col min="2" max="2" width="18.440000534057617" hidden="0" customWidth="1"/>
    <x:col min="3" max="3" width="9.329999923706055" hidden="0" customWidth="1"/>
    <x:col min="4" max="4" width="9.329999923706055" hidden="0" customWidth="1"/>
    <x:col min="5" max="5" width="9.329999923706055" hidden="0" customWidth="1"/>
    <x:col min="6" max="6" width="9.329999923706055" hidden="0" customWidth="1"/>
    <x:col min="7" max="7" width="9.329999923706055" hidden="0" customWidth="1"/>
    <x:col min="8" max="8" width="9.329999923706055" hidden="0" customWidth="1"/>
    <x:col min="9" max="9" width="9.329999923706055" hidden="0" customWidth="1"/>
    <x:col min="10" max="10" width="9.329999923706055" hidden="0" customWidth="1"/>
    <x:col min="11" max="11" width="9.329999923706055" hidden="0" customWidth="1"/>
    <x:col min="12" max="12" width="9.329999923706055" hidden="0" customWidth="1"/>
    <x:col min="13" max="13" width="9.329999923706055" hidden="0" customWidth="1"/>
    <x:col min="14" max="14" width="9.329999923706055" hidden="0" customWidth="1"/>
    <x:col min="15" max="15" width="9.329999923706055" hidden="0" customWidth="1"/>
    <x:col min="16" max="16" width="2.890000104904175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4" customHeight="1">
      <x:c r="A2" s="3"/>
      <x:c r="B2" s="20" t="str">
        <x:v>04  /  GROWTH PLANNING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39" customHeight="1">
      <x:c r="A3" s="3"/>
      <x:c r="B3" s="21" t="str">
        <x:v>增长测算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24" customHeight="1">
      <x:c r="A4" s="3"/>
      <x:c r="B4" s="20" t="str">
        <x:v>2026 年按月预测。切换情景或修改浅黄色假设，图表与预测结果随之更新。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24" customHeight="1">
      <x:c r="A5" s="3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3"/>
    </x:row>
    <x:row r="6" ht="24" customHeight="1">
      <x:c r="A6" s="3"/>
      <x:c r="B6" s="24" t="str">
        <x:v>情景：1 审慎  2 基准  3 进取</x:v>
      </x:c>
      <x:c r="C6" s="3"/>
      <x:c r="D6" s="3"/>
      <x:c r="E6" s="3"/>
      <x:c r="F6" s="56" t="n">
        <x:v>2</x:v>
      </x:c>
      <x:c r="G6" s="3"/>
      <x:c r="H6" s="57" t="str">
        <x:f>CHOOSE($F$6,"审慎","基准","进取")</x:f>
        <x:v>基准</x:v>
      </x:c>
      <x:c r="I6" s="57"/>
      <x:c r="J6" s="57"/>
      <x:c r="K6" s="3"/>
      <x:c r="L6" s="3"/>
      <x:c r="M6" s="3"/>
      <x:c r="N6" s="3"/>
      <x:c r="O6" s="3"/>
      <x:c r="P6" s="3"/>
    </x:row>
    <x:row r="7" ht="24" customHeight="1">
      <x:c r="A7" s="3"/>
      <x:c r="B7" s="20" t="str">
        <x:v>预测订阅收入（万元）</x:v>
      </x:c>
      <x:c r="C7" s="3"/>
      <x:c r="D7" s="3"/>
      <x:c r="E7" s="20" t="str">
        <x:v>预测经营利润（万元）</x:v>
      </x:c>
      <x:c r="F7" s="3"/>
      <x:c r="G7" s="3"/>
      <x:c r="H7" s="3"/>
      <x:c r="I7" s="20" t="str">
        <x:v>年末 MRR（万元）</x:v>
      </x:c>
      <x:c r="J7" s="3"/>
      <x:c r="K7" s="3"/>
      <x:c r="L7" s="20" t="str">
        <x:v>年末客户（家）</x:v>
      </x:c>
      <x:c r="M7" s="3"/>
      <x:c r="N7" s="3"/>
      <x:c r="O7" s="3"/>
      <x:c r="P7" s="3"/>
    </x:row>
    <x:row r="8" ht="24" customHeight="1">
      <x:c r="A8" s="3"/>
      <x:c r="B8" s="46">
        <x:f>SUM(C104:N104)/10000</x:f>
        <x:v>3152.95629771348</x:v>
      </x:c>
      <x:c r="C8" s="46"/>
      <x:c r="D8" s="46"/>
      <x:c r="E8" s="46">
        <x:f>SUM(C109:N109)/10000</x:f>
        <x:v>1836.70622724241</x:v>
      </x:c>
      <x:c r="F8" s="46"/>
      <x:c r="G8" s="46"/>
      <x:c r="H8" s="3"/>
      <x:c r="I8" s="46">
        <x:f>N103/10000</x:f>
        <x:v>366.156146662743</x:v>
      </x:c>
      <x:c r="J8" s="46"/>
      <x:c r="K8" s="46"/>
      <x:c r="L8" s="43">
        <x:f>N115</x:f>
        <x:v>1438</x:v>
      </x:c>
      <x:c r="M8" s="43"/>
      <x:c r="N8" s="43"/>
      <x:c r="O8" s="43"/>
      <x:c r="P8" s="3"/>
    </x:row>
    <x:row r="9" ht="24" customHeight="1">
      <x:c r="A9" s="3"/>
      <x:c r="B9" s="46"/>
      <x:c r="C9" s="46"/>
      <x:c r="D9" s="46"/>
      <x:c r="E9" s="46"/>
      <x:c r="F9" s="46"/>
      <x:c r="G9" s="46"/>
      <x:c r="H9" s="3"/>
      <x:c r="I9" s="46"/>
      <x:c r="J9" s="46"/>
      <x:c r="K9" s="46"/>
      <x:c r="L9" s="43"/>
      <x:c r="M9" s="43"/>
      <x:c r="N9" s="43"/>
      <x:c r="O9" s="43"/>
      <x:c r="P9" s="3"/>
    </x:row>
    <x:row r="10" ht="24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</x:row>
    <x:row r="11" ht="24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 ht="24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 ht="24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</x:row>
    <x:row r="14" ht="24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</x:row>
    <x:row r="15" ht="24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 ht="24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 ht="24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 ht="24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 ht="24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 ht="24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 ht="24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 ht="24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 ht="24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 ht="24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 ht="24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 ht="24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 ht="24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 ht="24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 ht="24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 ht="24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</x:row>
    <x:row r="31" ht="24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</x:row>
    <x:row r="32" ht="24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</x:row>
    <x:row r="33" ht="24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 ht="24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 ht="24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 ht="24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 ht="24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 ht="24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 ht="24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 ht="24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 ht="24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 ht="24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 ht="24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 ht="24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 ht="24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 ht="24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 ht="24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 ht="24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 ht="24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 ht="24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 ht="24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 ht="24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 ht="24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 ht="24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 ht="24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 ht="28" customHeight="1">
      <x:c r="A56" s="3"/>
      <x:c r="B56" s="23" t="str">
        <x:v>月度假设</x:v>
      </x:c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 ht="24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 ht="30" customHeight="1">
      <x:c r="A58" s="3"/>
      <x:c r="B58" s="13" t="str">
        <x:v>2026 年</x:v>
      </x:c>
      <x:c r="C58" s="13" t="str">
        <x:v>1月</x:v>
      </x:c>
      <x:c r="D58" s="13" t="str">
        <x:v>2月</x:v>
      </x:c>
      <x:c r="E58" s="13" t="str">
        <x:v>3月</x:v>
      </x:c>
      <x:c r="F58" s="13" t="str">
        <x:v>4月</x:v>
      </x:c>
      <x:c r="G58" s="13" t="str">
        <x:v>5月</x:v>
      </x:c>
      <x:c r="H58" s="13" t="str">
        <x:v>6月</x:v>
      </x:c>
      <x:c r="I58" s="13" t="str">
        <x:v>7月</x:v>
      </x:c>
      <x:c r="J58" s="13" t="str">
        <x:v>8月</x:v>
      </x:c>
      <x:c r="K58" s="13" t="str">
        <x:v>9月</x:v>
      </x:c>
      <x:c r="L58" s="13" t="str">
        <x:v>10月</x:v>
      </x:c>
      <x:c r="M58" s="13" t="str">
        <x:v>11月</x:v>
      </x:c>
      <x:c r="N58" s="13" t="str">
        <x:v>12月</x:v>
      </x:c>
      <x:c r="O58" s="3"/>
      <x:c r="P58" s="3"/>
    </x:row>
    <x:row r="59" ht="24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 ht="24" customHeight="1">
      <x:c r="A60" s="3"/>
      <x:c r="B60" s="35" t="str">
        <x:v>新增客户（家）</x:v>
      </x:c>
      <x:c r="C60" s="60">
        <x:f>IF(COUNT(INDEX(C61:C63,$F$6))=1,INDEX(C61:C63,$F$6),"待补齐")</x:f>
        <x:v>64</x:v>
      </x:c>
      <x:c r="D60" s="60">
        <x:f>IF(COUNT(INDEX(D61:D63,$F$6))=1,INDEX(D61:D63,$F$6),"待补齐")</x:f>
        <x:v>66</x:v>
      </x:c>
      <x:c r="E60" s="60">
        <x:f>IF(COUNT(INDEX(E61:E63,$F$6))=1,INDEX(E61:E63,$F$6),"待补齐")</x:f>
        <x:v>68</x:v>
      </x:c>
      <x:c r="F60" s="60">
        <x:f>IF(COUNT(INDEX(F61:F63,$F$6))=1,INDEX(F61:F63,$F$6),"待补齐")</x:f>
        <x:v>70</x:v>
      </x:c>
      <x:c r="G60" s="60">
        <x:f>IF(COUNT(INDEX(G61:G63,$F$6))=1,INDEX(G61:G63,$F$6),"待补齐")</x:f>
        <x:v>72</x:v>
      </x:c>
      <x:c r="H60" s="60">
        <x:f>IF(COUNT(INDEX(H61:H63,$F$6))=1,INDEX(H61:H63,$F$6),"待补齐")</x:f>
        <x:v>74</x:v>
      </x:c>
      <x:c r="I60" s="60">
        <x:f>IF(COUNT(INDEX(I61:I63,$F$6))=1,INDEX(I61:I63,$F$6),"待补齐")</x:f>
        <x:v>76</x:v>
      </x:c>
      <x:c r="J60" s="60">
        <x:f>IF(COUNT(INDEX(J61:J63,$F$6))=1,INDEX(J61:J63,$F$6),"待补齐")</x:f>
        <x:v>78</x:v>
      </x:c>
      <x:c r="K60" s="60">
        <x:f>IF(COUNT(INDEX(K61:K63,$F$6))=1,INDEX(K61:K63,$F$6),"待补齐")</x:f>
        <x:v>80</x:v>
      </x:c>
      <x:c r="L60" s="60">
        <x:f>IF(COUNT(INDEX(L61:L63,$F$6))=1,INDEX(L61:L63,$F$6),"待补齐")</x:f>
        <x:v>82</x:v>
      </x:c>
      <x:c r="M60" s="60">
        <x:f>IF(COUNT(INDEX(M61:M63,$F$6))=1,INDEX(M61:M63,$F$6),"待补齐")</x:f>
        <x:v>84</x:v>
      </x:c>
      <x:c r="N60" s="60">
        <x:f>IF(COUNT(INDEX(N61:N63,$F$6))=1,INDEX(N61:N63,$F$6),"待补齐")</x:f>
        <x:v>86</x:v>
      </x:c>
      <x:c r="O60" s="3"/>
      <x:c r="P60" s="3"/>
    </x:row>
    <x:row r="61" ht="24" customHeight="1">
      <x:c r="A61" s="3"/>
      <x:c r="B61" s="3" t="str">
        <x:v>审慎</x:v>
      </x:c>
      <x:c r="C61" s="17" t="n">
        <x:v>48</x:v>
      </x:c>
      <x:c r="D61" s="17" t="n">
        <x:v>48</x:v>
      </x:c>
      <x:c r="E61" s="17" t="n">
        <x:v>50</x:v>
      </x:c>
      <x:c r="F61" s="17" t="n">
        <x:v>50</x:v>
      </x:c>
      <x:c r="G61" s="17" t="n">
        <x:v>52</x:v>
      </x:c>
      <x:c r="H61" s="17" t="n">
        <x:v>52</x:v>
      </x:c>
      <x:c r="I61" s="17" t="n">
        <x:v>54</x:v>
      </x:c>
      <x:c r="J61" s="17" t="n">
        <x:v>54</x:v>
      </x:c>
      <x:c r="K61" s="17" t="n">
        <x:v>56</x:v>
      </x:c>
      <x:c r="L61" s="17" t="n">
        <x:v>56</x:v>
      </x:c>
      <x:c r="M61" s="17" t="n">
        <x:v>58</x:v>
      </x:c>
      <x:c r="N61" s="17" t="n">
        <x:v>58</x:v>
      </x:c>
      <x:c r="O61" s="3"/>
      <x:c r="P61" s="3"/>
    </x:row>
    <x:row r="62" ht="24" customHeight="1">
      <x:c r="A62" s="3"/>
      <x:c r="B62" s="3" t="str">
        <x:v>基准</x:v>
      </x:c>
      <x:c r="C62" s="17" t="n">
        <x:v>64</x:v>
      </x:c>
      <x:c r="D62" s="17" t="n">
        <x:v>66</x:v>
      </x:c>
      <x:c r="E62" s="17" t="n">
        <x:v>68</x:v>
      </x:c>
      <x:c r="F62" s="17" t="n">
        <x:v>70</x:v>
      </x:c>
      <x:c r="G62" s="17" t="n">
        <x:v>72</x:v>
      </x:c>
      <x:c r="H62" s="17" t="n">
        <x:v>74</x:v>
      </x:c>
      <x:c r="I62" s="17" t="n">
        <x:v>76</x:v>
      </x:c>
      <x:c r="J62" s="17" t="n">
        <x:v>78</x:v>
      </x:c>
      <x:c r="K62" s="17" t="n">
        <x:v>80</x:v>
      </x:c>
      <x:c r="L62" s="17" t="n">
        <x:v>82</x:v>
      </x:c>
      <x:c r="M62" s="17" t="n">
        <x:v>84</x:v>
      </x:c>
      <x:c r="N62" s="17" t="n">
        <x:v>86</x:v>
      </x:c>
      <x:c r="O62" s="3"/>
      <x:c r="P62" s="3"/>
    </x:row>
    <x:row r="63" ht="24" customHeight="1">
      <x:c r="A63" s="3"/>
      <x:c r="B63" s="3" t="str">
        <x:v>进取</x:v>
      </x:c>
      <x:c r="C63" s="17" t="n">
        <x:v>75</x:v>
      </x:c>
      <x:c r="D63" s="17" t="n">
        <x:v>78</x:v>
      </x:c>
      <x:c r="E63" s="17" t="n">
        <x:v>81</x:v>
      </x:c>
      <x:c r="F63" s="17" t="n">
        <x:v>84</x:v>
      </x:c>
      <x:c r="G63" s="17" t="n">
        <x:v>88</x:v>
      </x:c>
      <x:c r="H63" s="17" t="n">
        <x:v>92</x:v>
      </x:c>
      <x:c r="I63" s="17" t="n">
        <x:v>96</x:v>
      </x:c>
      <x:c r="J63" s="17" t="n">
        <x:v>100</x:v>
      </x:c>
      <x:c r="K63" s="17" t="n">
        <x:v>104</x:v>
      </x:c>
      <x:c r="L63" s="17" t="n">
        <x:v>108</x:v>
      </x:c>
      <x:c r="M63" s="17" t="n">
        <x:v>112</x:v>
      </x:c>
      <x:c r="N63" s="17" t="n">
        <x:v>116</x:v>
      </x:c>
      <x:c r="O63" s="3"/>
      <x:c r="P63" s="3"/>
    </x:row>
    <x:row r="64" ht="24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</x:row>
    <x:row r="65" ht="24" customHeight="1">
      <x:c r="A65" s="3"/>
      <x:c r="B65" s="35" t="str">
        <x:v>新客 ARPA（元）</x:v>
      </x:c>
      <x:c r="C65" s="60">
        <x:f>IF(COUNT(INDEX(C66:C68,$F$6))=1,INDEX(C66:C68,$F$6),"待补齐")</x:f>
        <x:v>2050</x:v>
      </x:c>
      <x:c r="D65" s="60">
        <x:f>IF(COUNT(INDEX(D66:D68,$F$6))=1,INDEX(D66:D68,$F$6),"待补齐")</x:f>
        <x:v>2060</x:v>
      </x:c>
      <x:c r="E65" s="60">
        <x:f>IF(COUNT(INDEX(E66:E68,$F$6))=1,INDEX(E66:E68,$F$6),"待补齐")</x:f>
        <x:v>2070</x:v>
      </x:c>
      <x:c r="F65" s="60">
        <x:f>IF(COUNT(INDEX(F66:F68,$F$6))=1,INDEX(F66:F68,$F$6),"待补齐")</x:f>
        <x:v>2080</x:v>
      </x:c>
      <x:c r="G65" s="60">
        <x:f>IF(COUNT(INDEX(G66:G68,$F$6))=1,INDEX(G66:G68,$F$6),"待补齐")</x:f>
        <x:v>2090</x:v>
      </x:c>
      <x:c r="H65" s="60">
        <x:f>IF(COUNT(INDEX(H66:H68,$F$6))=1,INDEX(H66:H68,$F$6),"待补齐")</x:f>
        <x:v>2100</x:v>
      </x:c>
      <x:c r="I65" s="60">
        <x:f>IF(COUNT(INDEX(I66:I68,$F$6))=1,INDEX(I66:I68,$F$6),"待补齐")</x:f>
        <x:v>2110</x:v>
      </x:c>
      <x:c r="J65" s="60">
        <x:f>IF(COUNT(INDEX(J66:J68,$F$6))=1,INDEX(J66:J68,$F$6),"待补齐")</x:f>
        <x:v>2120</x:v>
      </x:c>
      <x:c r="K65" s="60">
        <x:f>IF(COUNT(INDEX(K66:K68,$F$6))=1,INDEX(K66:K68,$F$6),"待补齐")</x:f>
        <x:v>2130</x:v>
      </x:c>
      <x:c r="L65" s="60">
        <x:f>IF(COUNT(INDEX(L66:L68,$F$6))=1,INDEX(L66:L68,$F$6),"待补齐")</x:f>
        <x:v>2140</x:v>
      </x:c>
      <x:c r="M65" s="60">
        <x:f>IF(COUNT(INDEX(M66:M68,$F$6))=1,INDEX(M66:M68,$F$6),"待补齐")</x:f>
        <x:v>2150</x:v>
      </x:c>
      <x:c r="N65" s="60">
        <x:f>IF(COUNT(INDEX(N66:N68,$F$6))=1,INDEX(N66:N68,$F$6),"待补齐")</x:f>
        <x:v>2160</x:v>
      </x:c>
      <x:c r="O65" s="3"/>
      <x:c r="P65" s="3"/>
    </x:row>
    <x:row r="66" ht="24" customHeight="1">
      <x:c r="A66" s="3"/>
      <x:c r="B66" s="3" t="str">
        <x:v>审慎</x:v>
      </x:c>
      <x:c r="C66" s="17" t="n">
        <x:v>1900</x:v>
      </x:c>
      <x:c r="D66" s="17" t="n">
        <x:v>1900</x:v>
      </x:c>
      <x:c r="E66" s="17" t="n">
        <x:v>1900</x:v>
      </x:c>
      <x:c r="F66" s="17" t="n">
        <x:v>1900</x:v>
      </x:c>
      <x:c r="G66" s="17" t="n">
        <x:v>1900</x:v>
      </x:c>
      <x:c r="H66" s="17" t="n">
        <x:v>1900</x:v>
      </x:c>
      <x:c r="I66" s="17" t="n">
        <x:v>1900</x:v>
      </x:c>
      <x:c r="J66" s="17" t="n">
        <x:v>1900</x:v>
      </x:c>
      <x:c r="K66" s="17" t="n">
        <x:v>1900</x:v>
      </x:c>
      <x:c r="L66" s="17" t="n">
        <x:v>1900</x:v>
      </x:c>
      <x:c r="M66" s="17" t="n">
        <x:v>1900</x:v>
      </x:c>
      <x:c r="N66" s="17" t="n">
        <x:v>1900</x:v>
      </x:c>
      <x:c r="O66" s="3"/>
      <x:c r="P66" s="3"/>
    </x:row>
    <x:row r="67" ht="24" customHeight="1">
      <x:c r="A67" s="3"/>
      <x:c r="B67" s="3" t="str">
        <x:v>基准</x:v>
      </x:c>
      <x:c r="C67" s="17" t="n">
        <x:v>2050</x:v>
      </x:c>
      <x:c r="D67" s="17" t="n">
        <x:v>2060</x:v>
      </x:c>
      <x:c r="E67" s="17" t="n">
        <x:v>2070</x:v>
      </x:c>
      <x:c r="F67" s="17" t="n">
        <x:v>2080</x:v>
      </x:c>
      <x:c r="G67" s="17" t="n">
        <x:v>2090</x:v>
      </x:c>
      <x:c r="H67" s="17" t="n">
        <x:v>2100</x:v>
      </x:c>
      <x:c r="I67" s="17" t="n">
        <x:v>2110</x:v>
      </x:c>
      <x:c r="J67" s="17" t="n">
        <x:v>2120</x:v>
      </x:c>
      <x:c r="K67" s="17" t="n">
        <x:v>2130</x:v>
      </x:c>
      <x:c r="L67" s="17" t="n">
        <x:v>2140</x:v>
      </x:c>
      <x:c r="M67" s="17" t="n">
        <x:v>2150</x:v>
      </x:c>
      <x:c r="N67" s="17" t="n">
        <x:v>2160</x:v>
      </x:c>
      <x:c r="O67" s="3"/>
      <x:c r="P67" s="3"/>
    </x:row>
    <x:row r="68" ht="24" customHeight="1">
      <x:c r="A68" s="3"/>
      <x:c r="B68" s="3" t="str">
        <x:v>进取</x:v>
      </x:c>
      <x:c r="C68" s="17" t="n">
        <x:v>2200</x:v>
      </x:c>
      <x:c r="D68" s="17" t="n">
        <x:v>2215</x:v>
      </x:c>
      <x:c r="E68" s="17" t="n">
        <x:v>2230</x:v>
      </x:c>
      <x:c r="F68" s="17" t="n">
        <x:v>2245</x:v>
      </x:c>
      <x:c r="G68" s="17" t="n">
        <x:v>2260</x:v>
      </x:c>
      <x:c r="H68" s="17" t="n">
        <x:v>2275</x:v>
      </x:c>
      <x:c r="I68" s="17" t="n">
        <x:v>2290</x:v>
      </x:c>
      <x:c r="J68" s="17" t="n">
        <x:v>2305</x:v>
      </x:c>
      <x:c r="K68" s="17" t="n">
        <x:v>2320</x:v>
      </x:c>
      <x:c r="L68" s="17" t="n">
        <x:v>2335</x:v>
      </x:c>
      <x:c r="M68" s="17" t="n">
        <x:v>2350</x:v>
      </x:c>
      <x:c r="N68" s="17" t="n">
        <x:v>2365</x:v>
      </x:c>
      <x:c r="O68" s="3"/>
      <x:c r="P68" s="3"/>
    </x:row>
    <x:row r="69" ht="24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</x:row>
    <x:row r="70" ht="24" customHeight="1">
      <x:c r="A70" s="3"/>
      <x:c r="B70" s="35" t="str">
        <x:v>月度 NRR</x:v>
      </x:c>
      <x:c r="C70" s="62">
        <x:f>IF(COUNT(INDEX(C71:C73,$F$6))=1,INDEX(C71:C73,$F$6),"待补齐")</x:f>
        <x:v>0.997</x:v>
      </x:c>
      <x:c r="D70" s="62">
        <x:f>IF(COUNT(INDEX(D71:D73,$F$6))=1,INDEX(D71:D73,$F$6),"待补齐")</x:f>
        <x:v>0.997</x:v>
      </x:c>
      <x:c r="E70" s="62">
        <x:f>IF(COUNT(INDEX(E71:E73,$F$6))=1,INDEX(E71:E73,$F$6),"待补齐")</x:f>
        <x:v>0.997</x:v>
      </x:c>
      <x:c r="F70" s="62">
        <x:f>IF(COUNT(INDEX(F71:F73,$F$6))=1,INDEX(F71:F73,$F$6),"待补齐")</x:f>
        <x:v>0.999</x:v>
      </x:c>
      <x:c r="G70" s="62">
        <x:f>IF(COUNT(INDEX(G71:G73,$F$6))=1,INDEX(G71:G73,$F$6),"待补齐")</x:f>
        <x:v>0.999</x:v>
      </x:c>
      <x:c r="H70" s="62">
        <x:f>IF(COUNT(INDEX(H71:H73,$F$6))=1,INDEX(H71:H73,$F$6),"待补齐")</x:f>
        <x:v>0.999</x:v>
      </x:c>
      <x:c r="I70" s="62">
        <x:f>IF(COUNT(INDEX(I71:I73,$F$6))=1,INDEX(I71:I73,$F$6),"待补齐")</x:f>
        <x:v>1.001</x:v>
      </x:c>
      <x:c r="J70" s="62">
        <x:f>IF(COUNT(INDEX(J71:J73,$F$6))=1,INDEX(J71:J73,$F$6),"待补齐")</x:f>
        <x:v>1.001</x:v>
      </x:c>
      <x:c r="K70" s="62">
        <x:f>IF(COUNT(INDEX(K71:K73,$F$6))=1,INDEX(K71:K73,$F$6),"待补齐")</x:f>
        <x:v>1.001</x:v>
      </x:c>
      <x:c r="L70" s="62">
        <x:f>IF(COUNT(INDEX(L71:L73,$F$6))=1,INDEX(L71:L73,$F$6),"待补齐")</x:f>
        <x:v>1.003</x:v>
      </x:c>
      <x:c r="M70" s="62">
        <x:f>IF(COUNT(INDEX(M71:M73,$F$6))=1,INDEX(M71:M73,$F$6),"待补齐")</x:f>
        <x:v>1.003</x:v>
      </x:c>
      <x:c r="N70" s="62">
        <x:f>IF(COUNT(INDEX(N71:N73,$F$6))=1,INDEX(N71:N73,$F$6),"待补齐")</x:f>
        <x:v>1.003</x:v>
      </x:c>
      <x:c r="O70" s="3"/>
      <x:c r="P70" s="3"/>
    </x:row>
    <x:row r="71" ht="24" customHeight="1">
      <x:c r="A71" s="3"/>
      <x:c r="B71" s="3" t="str">
        <x:v>审慎</x:v>
      </x:c>
      <x:c r="C71" s="61" t="n">
        <x:v>0.985</x:v>
      </x:c>
      <x:c r="D71" s="61" t="n">
        <x:v>0.985</x:v>
      </x:c>
      <x:c r="E71" s="61" t="n">
        <x:v>0.985</x:v>
      </x:c>
      <x:c r="F71" s="61" t="n">
        <x:v>0.985</x:v>
      </x:c>
      <x:c r="G71" s="61" t="n">
        <x:v>0.985</x:v>
      </x:c>
      <x:c r="H71" s="61" t="n">
        <x:v>0.985</x:v>
      </x:c>
      <x:c r="I71" s="61" t="n">
        <x:v>0.985</x:v>
      </x:c>
      <x:c r="J71" s="61" t="n">
        <x:v>0.985</x:v>
      </x:c>
      <x:c r="K71" s="61" t="n">
        <x:v>0.985</x:v>
      </x:c>
      <x:c r="L71" s="61" t="n">
        <x:v>0.985</x:v>
      </x:c>
      <x:c r="M71" s="61" t="n">
        <x:v>0.985</x:v>
      </x:c>
      <x:c r="N71" s="61" t="n">
        <x:v>0.985</x:v>
      </x:c>
      <x:c r="O71" s="3"/>
      <x:c r="P71" s="3"/>
    </x:row>
    <x:row r="72" ht="24" customHeight="1">
      <x:c r="A72" s="3"/>
      <x:c r="B72" s="3" t="str">
        <x:v>基准</x:v>
      </x:c>
      <x:c r="C72" s="61" t="n">
        <x:v>0.997</x:v>
      </x:c>
      <x:c r="D72" s="61" t="n">
        <x:v>0.997</x:v>
      </x:c>
      <x:c r="E72" s="61" t="n">
        <x:v>0.997</x:v>
      </x:c>
      <x:c r="F72" s="61" t="n">
        <x:v>0.999</x:v>
      </x:c>
      <x:c r="G72" s="61" t="n">
        <x:v>0.999</x:v>
      </x:c>
      <x:c r="H72" s="61" t="n">
        <x:v>0.999</x:v>
      </x:c>
      <x:c r="I72" s="61" t="n">
        <x:v>1.001</x:v>
      </x:c>
      <x:c r="J72" s="61" t="n">
        <x:v>1.001</x:v>
      </x:c>
      <x:c r="K72" s="61" t="n">
        <x:v>1.001</x:v>
      </x:c>
      <x:c r="L72" s="61" t="n">
        <x:v>1.003</x:v>
      </x:c>
      <x:c r="M72" s="61" t="n">
        <x:v>1.003</x:v>
      </x:c>
      <x:c r="N72" s="61" t="n">
        <x:v>1.003</x:v>
      </x:c>
      <x:c r="O72" s="3"/>
      <x:c r="P72" s="3"/>
    </x:row>
    <x:row r="73" ht="24" customHeight="1">
      <x:c r="A73" s="3"/>
      <x:c r="B73" s="3" t="str">
        <x:v>进取</x:v>
      </x:c>
      <x:c r="C73" s="61" t="n">
        <x:v>1.005</x:v>
      </x:c>
      <x:c r="D73" s="61" t="n">
        <x:v>1.005</x:v>
      </x:c>
      <x:c r="E73" s="61" t="n">
        <x:v>1.005</x:v>
      </x:c>
      <x:c r="F73" s="61" t="n">
        <x:v>1.007</x:v>
      </x:c>
      <x:c r="G73" s="61" t="n">
        <x:v>1.007</x:v>
      </x:c>
      <x:c r="H73" s="61" t="n">
        <x:v>1.007</x:v>
      </x:c>
      <x:c r="I73" s="61" t="n">
        <x:v>1.009</x:v>
      </x:c>
      <x:c r="J73" s="61" t="n">
        <x:v>1.009</x:v>
      </x:c>
      <x:c r="K73" s="61" t="n">
        <x:v>1.009</x:v>
      </x:c>
      <x:c r="L73" s="61" t="n">
        <x:v>1.011</x:v>
      </x:c>
      <x:c r="M73" s="61" t="n">
        <x:v>1.011</x:v>
      </x:c>
      <x:c r="N73" s="61" t="n">
        <x:v>1.011</x:v>
      </x:c>
      <x:c r="O73" s="3"/>
      <x:c r="P73" s="3"/>
    </x:row>
    <x:row r="74" ht="24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</x:row>
    <x:row r="75" ht="24" customHeight="1">
      <x:c r="A75" s="3"/>
      <x:c r="B75" s="35" t="str">
        <x:v>月度客户流失率</x:v>
      </x:c>
      <x:c r="C75" s="62">
        <x:f>IF(COUNT(INDEX(C76:C78,$F$6))=1,INDEX(C76:C78,$F$6),"待补齐")</x:f>
        <x:v>0.023</x:v>
      </x:c>
      <x:c r="D75" s="62">
        <x:f>IF(COUNT(INDEX(D76:D78,$F$6))=1,INDEX(D76:D78,$F$6),"待补齐")</x:f>
        <x:v>0.023</x:v>
      </x:c>
      <x:c r="E75" s="62">
        <x:f>IF(COUNT(INDEX(E76:E78,$F$6))=1,INDEX(E76:E78,$F$6),"待补齐")</x:f>
        <x:v>0.023</x:v>
      </x:c>
      <x:c r="F75" s="62">
        <x:f>IF(COUNT(INDEX(F76:F78,$F$6))=1,INDEX(F76:F78,$F$6),"待补齐")</x:f>
        <x:v>0.023</x:v>
      </x:c>
      <x:c r="G75" s="62">
        <x:f>IF(COUNT(INDEX(G76:G78,$F$6))=1,INDEX(G76:G78,$F$6),"待补齐")</x:f>
        <x:v>0.023</x:v>
      </x:c>
      <x:c r="H75" s="62">
        <x:f>IF(COUNT(INDEX(H76:H78,$F$6))=1,INDEX(H76:H78,$F$6),"待补齐")</x:f>
        <x:v>0.023</x:v>
      </x:c>
      <x:c r="I75" s="62">
        <x:f>IF(COUNT(INDEX(I76:I78,$F$6))=1,INDEX(I76:I78,$F$6),"待补齐")</x:f>
        <x:v>0.023</x:v>
      </x:c>
      <x:c r="J75" s="62">
        <x:f>IF(COUNT(INDEX(J76:J78,$F$6))=1,INDEX(J76:J78,$F$6),"待补齐")</x:f>
        <x:v>0.023</x:v>
      </x:c>
      <x:c r="K75" s="62">
        <x:f>IF(COUNT(INDEX(K76:K78,$F$6))=1,INDEX(K76:K78,$F$6),"待补齐")</x:f>
        <x:v>0.023</x:v>
      </x:c>
      <x:c r="L75" s="62">
        <x:f>IF(COUNT(INDEX(L76:L78,$F$6))=1,INDEX(L76:L78,$F$6),"待补齐")</x:f>
        <x:v>0.023</x:v>
      </x:c>
      <x:c r="M75" s="62">
        <x:f>IF(COUNT(INDEX(M76:M78,$F$6))=1,INDEX(M76:M78,$F$6),"待补齐")</x:f>
        <x:v>0.023</x:v>
      </x:c>
      <x:c r="N75" s="62">
        <x:f>IF(COUNT(INDEX(N76:N78,$F$6))=1,INDEX(N76:N78,$F$6),"待补齐")</x:f>
        <x:v>0.023</x:v>
      </x:c>
      <x:c r="O75" s="3"/>
      <x:c r="P75" s="3"/>
    </x:row>
    <x:row r="76" ht="24" customHeight="1">
      <x:c r="A76" s="3"/>
      <x:c r="B76" s="3" t="str">
        <x:v>审慎</x:v>
      </x:c>
      <x:c r="C76" s="61" t="n">
        <x:v>0.035</x:v>
      </x:c>
      <x:c r="D76" s="61" t="n">
        <x:v>0.035</x:v>
      </x:c>
      <x:c r="E76" s="61" t="n">
        <x:v>0.035</x:v>
      </x:c>
      <x:c r="F76" s="61" t="n">
        <x:v>0.035</x:v>
      </x:c>
      <x:c r="G76" s="61" t="n">
        <x:v>0.035</x:v>
      </x:c>
      <x:c r="H76" s="61" t="n">
        <x:v>0.035</x:v>
      </x:c>
      <x:c r="I76" s="61" t="n">
        <x:v>0.035</x:v>
      </x:c>
      <x:c r="J76" s="61" t="n">
        <x:v>0.035</x:v>
      </x:c>
      <x:c r="K76" s="61" t="n">
        <x:v>0.035</x:v>
      </x:c>
      <x:c r="L76" s="61" t="n">
        <x:v>0.035</x:v>
      </x:c>
      <x:c r="M76" s="61" t="n">
        <x:v>0.035</x:v>
      </x:c>
      <x:c r="N76" s="61" t="n">
        <x:v>0.035</x:v>
      </x:c>
      <x:c r="O76" s="3"/>
      <x:c r="P76" s="3"/>
    </x:row>
    <x:row r="77" ht="24" customHeight="1">
      <x:c r="A77" s="3"/>
      <x:c r="B77" s="3" t="str">
        <x:v>基准</x:v>
      </x:c>
      <x:c r="C77" s="61" t="n">
        <x:v>0.023</x:v>
      </x:c>
      <x:c r="D77" s="61" t="n">
        <x:v>0.023</x:v>
      </x:c>
      <x:c r="E77" s="61" t="n">
        <x:v>0.023</x:v>
      </x:c>
      <x:c r="F77" s="61" t="n">
        <x:v>0.023</x:v>
      </x:c>
      <x:c r="G77" s="61" t="n">
        <x:v>0.023</x:v>
      </x:c>
      <x:c r="H77" s="61" t="n">
        <x:v>0.023</x:v>
      </x:c>
      <x:c r="I77" s="61" t="n">
        <x:v>0.023</x:v>
      </x:c>
      <x:c r="J77" s="61" t="n">
        <x:v>0.023</x:v>
      </x:c>
      <x:c r="K77" s="61" t="n">
        <x:v>0.023</x:v>
      </x:c>
      <x:c r="L77" s="61" t="n">
        <x:v>0.023</x:v>
      </x:c>
      <x:c r="M77" s="61" t="n">
        <x:v>0.023</x:v>
      </x:c>
      <x:c r="N77" s="61" t="n">
        <x:v>0.023</x:v>
      </x:c>
      <x:c r="O77" s="3"/>
      <x:c r="P77" s="3"/>
    </x:row>
    <x:row r="78" ht="24" customHeight="1">
      <x:c r="A78" s="3"/>
      <x:c r="B78" s="3" t="str">
        <x:v>进取</x:v>
      </x:c>
      <x:c r="C78" s="61" t="n">
        <x:v>0.018</x:v>
      </x:c>
      <x:c r="D78" s="61" t="n">
        <x:v>0.018</x:v>
      </x:c>
      <x:c r="E78" s="61" t="n">
        <x:v>0.018</x:v>
      </x:c>
      <x:c r="F78" s="61" t="n">
        <x:v>0.018</x:v>
      </x:c>
      <x:c r="G78" s="61" t="n">
        <x:v>0.018</x:v>
      </x:c>
      <x:c r="H78" s="61" t="n">
        <x:v>0.018</x:v>
      </x:c>
      <x:c r="I78" s="61" t="n">
        <x:v>0.018</x:v>
      </x:c>
      <x:c r="J78" s="61" t="n">
        <x:v>0.018</x:v>
      </x:c>
      <x:c r="K78" s="61" t="n">
        <x:v>0.018</x:v>
      </x:c>
      <x:c r="L78" s="61" t="n">
        <x:v>0.018</x:v>
      </x:c>
      <x:c r="M78" s="61" t="n">
        <x:v>0.018</x:v>
      </x:c>
      <x:c r="N78" s="61" t="n">
        <x:v>0.018</x:v>
      </x:c>
      <x:c r="O78" s="3"/>
      <x:c r="P78" s="3"/>
    </x:row>
    <x:row r="79" ht="24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</x:row>
    <x:row r="80" ht="24" customHeight="1">
      <x:c r="A80" s="3"/>
      <x:c r="B80" s="35" t="str">
        <x:v>毛利率</x:v>
      </x:c>
      <x:c r="C80" s="62">
        <x:f>IF(COUNT(INDEX(C81:C83,$F$6))=1,INDEX(C81:C83,$F$6),"待补齐")</x:f>
        <x:v>0.81</x:v>
      </x:c>
      <x:c r="D80" s="62">
        <x:f>IF(COUNT(INDEX(D81:D83,$F$6))=1,INDEX(D81:D83,$F$6),"待补齐")</x:f>
        <x:v>0.811</x:v>
      </x:c>
      <x:c r="E80" s="62">
        <x:f>IF(COUNT(INDEX(E81:E83,$F$6))=1,INDEX(E81:E83,$F$6),"待补齐")</x:f>
        <x:v>0.812</x:v>
      </x:c>
      <x:c r="F80" s="62">
        <x:f>IF(COUNT(INDEX(F81:F83,$F$6))=1,INDEX(F81:F83,$F$6),"待补齐")</x:f>
        <x:v>0.813</x:v>
      </x:c>
      <x:c r="G80" s="62">
        <x:f>IF(COUNT(INDEX(G81:G83,$F$6))=1,INDEX(G81:G83,$F$6),"待补齐")</x:f>
        <x:v>0.814</x:v>
      </x:c>
      <x:c r="H80" s="62">
        <x:f>IF(COUNT(INDEX(H81:H83,$F$6))=1,INDEX(H81:H83,$F$6),"待补齐")</x:f>
        <x:v>0.815</x:v>
      </x:c>
      <x:c r="I80" s="62">
        <x:f>IF(COUNT(INDEX(I81:I83,$F$6))=1,INDEX(I81:I83,$F$6),"待补齐")</x:f>
        <x:v>0.816</x:v>
      </x:c>
      <x:c r="J80" s="62">
        <x:f>IF(COUNT(INDEX(J81:J83,$F$6))=1,INDEX(J81:J83,$F$6),"待补齐")</x:f>
        <x:v>0.817</x:v>
      </x:c>
      <x:c r="K80" s="62">
        <x:f>IF(COUNT(INDEX(K81:K83,$F$6))=1,INDEX(K81:K83,$F$6),"待补齐")</x:f>
        <x:v>0.818</x:v>
      </x:c>
      <x:c r="L80" s="62">
        <x:f>IF(COUNT(INDEX(L81:L83,$F$6))=1,INDEX(L81:L83,$F$6),"待补齐")</x:f>
        <x:v>0.819</x:v>
      </x:c>
      <x:c r="M80" s="62">
        <x:f>IF(COUNT(INDEX(M81:M83,$F$6))=1,INDEX(M81:M83,$F$6),"待补齐")</x:f>
        <x:v>0.82</x:v>
      </x:c>
      <x:c r="N80" s="62">
        <x:f>IF(COUNT(INDEX(N81:N83,$F$6))=1,INDEX(N81:N83,$F$6),"待补齐")</x:f>
        <x:v>0.821</x:v>
      </x:c>
      <x:c r="O80" s="3"/>
      <x:c r="P80" s="3"/>
    </x:row>
    <x:row r="81" ht="24" customHeight="1">
      <x:c r="A81" s="3"/>
      <x:c r="B81" s="3" t="str">
        <x:v>审慎</x:v>
      </x:c>
      <x:c r="C81" s="61" t="n">
        <x:v>0.78</x:v>
      </x:c>
      <x:c r="D81" s="61" t="n">
        <x:v>0.78</x:v>
      </x:c>
      <x:c r="E81" s="61" t="n">
        <x:v>0.78</x:v>
      </x:c>
      <x:c r="F81" s="61" t="n">
        <x:v>0.78</x:v>
      </x:c>
      <x:c r="G81" s="61" t="n">
        <x:v>0.78</x:v>
      </x:c>
      <x:c r="H81" s="61" t="n">
        <x:v>0.78</x:v>
      </x:c>
      <x:c r="I81" s="61" t="n">
        <x:v>0.78</x:v>
      </x:c>
      <x:c r="J81" s="61" t="n">
        <x:v>0.78</x:v>
      </x:c>
      <x:c r="K81" s="61" t="n">
        <x:v>0.78</x:v>
      </x:c>
      <x:c r="L81" s="61" t="n">
        <x:v>0.78</x:v>
      </x:c>
      <x:c r="M81" s="61" t="n">
        <x:v>0.78</x:v>
      </x:c>
      <x:c r="N81" s="61" t="n">
        <x:v>0.78</x:v>
      </x:c>
      <x:c r="O81" s="3"/>
      <x:c r="P81" s="3"/>
    </x:row>
    <x:row r="82" ht="24" customHeight="1">
      <x:c r="A82" s="3"/>
      <x:c r="B82" s="3" t="str">
        <x:v>基准</x:v>
      </x:c>
      <x:c r="C82" s="61" t="n">
        <x:v>0.81</x:v>
      </x:c>
      <x:c r="D82" s="61" t="n">
        <x:v>0.811</x:v>
      </x:c>
      <x:c r="E82" s="61" t="n">
        <x:v>0.812</x:v>
      </x:c>
      <x:c r="F82" s="61" t="n">
        <x:v>0.813</x:v>
      </x:c>
      <x:c r="G82" s="61" t="n">
        <x:v>0.814</x:v>
      </x:c>
      <x:c r="H82" s="61" t="n">
        <x:v>0.815</x:v>
      </x:c>
      <x:c r="I82" s="61" t="n">
        <x:v>0.816</x:v>
      </x:c>
      <x:c r="J82" s="61" t="n">
        <x:v>0.817</x:v>
      </x:c>
      <x:c r="K82" s="61" t="n">
        <x:v>0.818</x:v>
      </x:c>
      <x:c r="L82" s="61" t="n">
        <x:v>0.819</x:v>
      </x:c>
      <x:c r="M82" s="61" t="n">
        <x:v>0.82</x:v>
      </x:c>
      <x:c r="N82" s="61" t="n">
        <x:v>0.821</x:v>
      </x:c>
      <x:c r="O82" s="3"/>
      <x:c r="P82" s="3"/>
    </x:row>
    <x:row r="83" ht="24" customHeight="1">
      <x:c r="A83" s="3"/>
      <x:c r="B83" s="3" t="str">
        <x:v>进取</x:v>
      </x:c>
      <x:c r="C83" s="61" t="n">
        <x:v>0.82</x:v>
      </x:c>
      <x:c r="D83" s="61" t="n">
        <x:v>0.821</x:v>
      </x:c>
      <x:c r="E83" s="61" t="n">
        <x:v>0.822</x:v>
      </x:c>
      <x:c r="F83" s="61" t="n">
        <x:v>0.823</x:v>
      </x:c>
      <x:c r="G83" s="61" t="n">
        <x:v>0.824</x:v>
      </x:c>
      <x:c r="H83" s="61" t="n">
        <x:v>0.825</x:v>
      </x:c>
      <x:c r="I83" s="61" t="n">
        <x:v>0.826</x:v>
      </x:c>
      <x:c r="J83" s="61" t="n">
        <x:v>0.827</x:v>
      </x:c>
      <x:c r="K83" s="61" t="n">
        <x:v>0.828</x:v>
      </x:c>
      <x:c r="L83" s="61" t="n">
        <x:v>0.829</x:v>
      </x:c>
      <x:c r="M83" s="61" t="n">
        <x:v>0.83</x:v>
      </x:c>
      <x:c r="N83" s="61" t="n">
        <x:v>0.831</x:v>
      </x:c>
      <x:c r="O83" s="3"/>
      <x:c r="P83" s="3"/>
    </x:row>
    <x:row r="84" ht="24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</x:row>
    <x:row r="85" ht="24" customHeight="1">
      <x:c r="A85" s="3"/>
      <x:c r="B85" s="35" t="str">
        <x:v>销售营销费用（元）</x:v>
      </x:c>
      <x:c r="C85" s="60">
        <x:f>IF(COUNT(INDEX(C86:C88,$F$6))=1,INDEX(C86:C88,$F$6),"待补齐")</x:f>
        <x:v>350000</x:v>
      </x:c>
      <x:c r="D85" s="60">
        <x:f>IF(COUNT(INDEX(D86:D88,$F$6))=1,INDEX(D86:D88,$F$6),"待补齐")</x:f>
        <x:v>355000</x:v>
      </x:c>
      <x:c r="E85" s="60">
        <x:f>IF(COUNT(INDEX(E86:E88,$F$6))=1,INDEX(E86:E88,$F$6),"待补齐")</x:f>
        <x:v>360000</x:v>
      </x:c>
      <x:c r="F85" s="60">
        <x:f>IF(COUNT(INDEX(F86:F88,$F$6))=1,INDEX(F86:F88,$F$6),"待补齐")</x:f>
        <x:v>365000</x:v>
      </x:c>
      <x:c r="G85" s="60">
        <x:f>IF(COUNT(INDEX(G86:G88,$F$6))=1,INDEX(G86:G88,$F$6),"待补齐")</x:f>
        <x:v>370000</x:v>
      </x:c>
      <x:c r="H85" s="60">
        <x:f>IF(COUNT(INDEX(H86:H88,$F$6))=1,INDEX(H86:H88,$F$6),"待补齐")</x:f>
        <x:v>375000</x:v>
      </x:c>
      <x:c r="I85" s="60">
        <x:f>IF(COUNT(INDEX(I86:I88,$F$6))=1,INDEX(I86:I88,$F$6),"待补齐")</x:f>
        <x:v>380000</x:v>
      </x:c>
      <x:c r="J85" s="60">
        <x:f>IF(COUNT(INDEX(J86:J88,$F$6))=1,INDEX(J86:J88,$F$6),"待补齐")</x:f>
        <x:v>385000</x:v>
      </x:c>
      <x:c r="K85" s="60">
        <x:f>IF(COUNT(INDEX(K86:K88,$F$6))=1,INDEX(K86:K88,$F$6),"待补齐")</x:f>
        <x:v>390000</x:v>
      </x:c>
      <x:c r="L85" s="60">
        <x:f>IF(COUNT(INDEX(L86:L88,$F$6))=1,INDEX(L86:L88,$F$6),"待补齐")</x:f>
        <x:v>395000</x:v>
      </x:c>
      <x:c r="M85" s="60">
        <x:f>IF(COUNT(INDEX(M86:M88,$F$6))=1,INDEX(M86:M88,$F$6),"待补齐")</x:f>
        <x:v>400000</x:v>
      </x:c>
      <x:c r="N85" s="60">
        <x:f>IF(COUNT(INDEX(N86:N88,$F$6))=1,INDEX(N86:N88,$F$6),"待补齐")</x:f>
        <x:v>405000</x:v>
      </x:c>
      <x:c r="O85" s="3"/>
      <x:c r="P85" s="3"/>
    </x:row>
    <x:row r="86" ht="24" customHeight="1">
      <x:c r="A86" s="3"/>
      <x:c r="B86" s="3" t="str">
        <x:v>审慎</x:v>
      </x:c>
      <x:c r="C86" s="17" t="n">
        <x:v>310000</x:v>
      </x:c>
      <x:c r="D86" s="17" t="n">
        <x:v>310000</x:v>
      </x:c>
      <x:c r="E86" s="17" t="n">
        <x:v>310000</x:v>
      </x:c>
      <x:c r="F86" s="17" t="n">
        <x:v>310000</x:v>
      </x:c>
      <x:c r="G86" s="17" t="n">
        <x:v>310000</x:v>
      </x:c>
      <x:c r="H86" s="17" t="n">
        <x:v>310000</x:v>
      </x:c>
      <x:c r="I86" s="17" t="n">
        <x:v>310000</x:v>
      </x:c>
      <x:c r="J86" s="17" t="n">
        <x:v>310000</x:v>
      </x:c>
      <x:c r="K86" s="17" t="n">
        <x:v>310000</x:v>
      </x:c>
      <x:c r="L86" s="17" t="n">
        <x:v>310000</x:v>
      </x:c>
      <x:c r="M86" s="17" t="n">
        <x:v>310000</x:v>
      </x:c>
      <x:c r="N86" s="17" t="n">
        <x:v>310000</x:v>
      </x:c>
      <x:c r="O86" s="3"/>
      <x:c r="P86" s="3"/>
    </x:row>
    <x:row r="87" ht="24" customHeight="1">
      <x:c r="A87" s="3"/>
      <x:c r="B87" s="3" t="str">
        <x:v>基准</x:v>
      </x:c>
      <x:c r="C87" s="17" t="n">
        <x:v>350000</x:v>
      </x:c>
      <x:c r="D87" s="17" t="n">
        <x:v>355000</x:v>
      </x:c>
      <x:c r="E87" s="17" t="n">
        <x:v>360000</x:v>
      </x:c>
      <x:c r="F87" s="17" t="n">
        <x:v>365000</x:v>
      </x:c>
      <x:c r="G87" s="17" t="n">
        <x:v>370000</x:v>
      </x:c>
      <x:c r="H87" s="17" t="n">
        <x:v>375000</x:v>
      </x:c>
      <x:c r="I87" s="17" t="n">
        <x:v>380000</x:v>
      </x:c>
      <x:c r="J87" s="17" t="n">
        <x:v>385000</x:v>
      </x:c>
      <x:c r="K87" s="17" t="n">
        <x:v>390000</x:v>
      </x:c>
      <x:c r="L87" s="17" t="n">
        <x:v>395000</x:v>
      </x:c>
      <x:c r="M87" s="17" t="n">
        <x:v>400000</x:v>
      </x:c>
      <x:c r="N87" s="17" t="n">
        <x:v>405000</x:v>
      </x:c>
      <x:c r="O87" s="3"/>
      <x:c r="P87" s="3"/>
    </x:row>
    <x:row r="88" ht="24" customHeight="1">
      <x:c r="A88" s="3"/>
      <x:c r="B88" s="3" t="str">
        <x:v>进取</x:v>
      </x:c>
      <x:c r="C88" s="17" t="n">
        <x:v>425000</x:v>
      </x:c>
      <x:c r="D88" s="17" t="n">
        <x:v>434000</x:v>
      </x:c>
      <x:c r="E88" s="17" t="n">
        <x:v>443000</x:v>
      </x:c>
      <x:c r="F88" s="17" t="n">
        <x:v>452000</x:v>
      </x:c>
      <x:c r="G88" s="17" t="n">
        <x:v>461000</x:v>
      </x:c>
      <x:c r="H88" s="17" t="n">
        <x:v>470000</x:v>
      </x:c>
      <x:c r="I88" s="17" t="n">
        <x:v>479000</x:v>
      </x:c>
      <x:c r="J88" s="17" t="n">
        <x:v>488000</x:v>
      </x:c>
      <x:c r="K88" s="17" t="n">
        <x:v>497000</x:v>
      </x:c>
      <x:c r="L88" s="17" t="n">
        <x:v>506000</x:v>
      </x:c>
      <x:c r="M88" s="17" t="n">
        <x:v>515000</x:v>
      </x:c>
      <x:c r="N88" s="17" t="n">
        <x:v>524000</x:v>
      </x:c>
      <x:c r="O88" s="3"/>
      <x:c r="P88" s="3"/>
    </x:row>
    <x:row r="89" ht="24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</x:row>
    <x:row r="90" ht="24" customHeight="1">
      <x:c r="A90" s="3"/>
      <x:c r="B90" s="35" t="str">
        <x:v>研发与管理费用（元）</x:v>
      </x:c>
      <x:c r="C90" s="60">
        <x:f>IF(COUNT(INDEX(C91:C93,$F$6))=1,INDEX(C91:C93,$F$6),"待补齐")</x:f>
        <x:v>220000</x:v>
      </x:c>
      <x:c r="D90" s="60">
        <x:f>IF(COUNT(INDEX(D91:D93,$F$6))=1,INDEX(D91:D93,$F$6),"待补齐")</x:f>
        <x:v>223000</x:v>
      </x:c>
      <x:c r="E90" s="60">
        <x:f>IF(COUNT(INDEX(E91:E93,$F$6))=1,INDEX(E91:E93,$F$6),"待补齐")</x:f>
        <x:v>226000</x:v>
      </x:c>
      <x:c r="F90" s="60">
        <x:f>IF(COUNT(INDEX(F91:F93,$F$6))=1,INDEX(F91:F93,$F$6),"待补齐")</x:f>
        <x:v>229000</x:v>
      </x:c>
      <x:c r="G90" s="60">
        <x:f>IF(COUNT(INDEX(G91:G93,$F$6))=1,INDEX(G91:G93,$F$6),"待补齐")</x:f>
        <x:v>232000</x:v>
      </x:c>
      <x:c r="H90" s="60">
        <x:f>IF(COUNT(INDEX(H91:H93,$F$6))=1,INDEX(H91:H93,$F$6),"待补齐")</x:f>
        <x:v>235000</x:v>
      </x:c>
      <x:c r="I90" s="60">
        <x:f>IF(COUNT(INDEX(I91:I93,$F$6))=1,INDEX(I91:I93,$F$6),"待补齐")</x:f>
        <x:v>238000</x:v>
      </x:c>
      <x:c r="J90" s="60">
        <x:f>IF(COUNT(INDEX(J91:J93,$F$6))=1,INDEX(J91:J93,$F$6),"待补齐")</x:f>
        <x:v>241000</x:v>
      </x:c>
      <x:c r="K90" s="60">
        <x:f>IF(COUNT(INDEX(K91:K93,$F$6))=1,INDEX(K91:K93,$F$6),"待补齐")</x:f>
        <x:v>244000</x:v>
      </x:c>
      <x:c r="L90" s="60">
        <x:f>IF(COUNT(INDEX(L91:L93,$F$6))=1,INDEX(L91:L93,$F$6),"待补齐")</x:f>
        <x:v>247000</x:v>
      </x:c>
      <x:c r="M90" s="60">
        <x:f>IF(COUNT(INDEX(M91:M93,$F$6))=1,INDEX(M91:M93,$F$6),"待补齐")</x:f>
        <x:v>250000</x:v>
      </x:c>
      <x:c r="N90" s="60">
        <x:f>IF(COUNT(INDEX(N91:N93,$F$6))=1,INDEX(N91:N93,$F$6),"待补齐")</x:f>
        <x:v>253000</x:v>
      </x:c>
      <x:c r="O90" s="3"/>
      <x:c r="P90" s="3"/>
    </x:row>
    <x:row r="91" ht="24" customHeight="1">
      <x:c r="A91" s="3"/>
      <x:c r="B91" s="3" t="str">
        <x:v>审慎</x:v>
      </x:c>
      <x:c r="C91" s="17" t="n">
        <x:v>210000</x:v>
      </x:c>
      <x:c r="D91" s="17" t="n">
        <x:v>210000</x:v>
      </x:c>
      <x:c r="E91" s="17" t="n">
        <x:v>210000</x:v>
      </x:c>
      <x:c r="F91" s="17" t="n">
        <x:v>210000</x:v>
      </x:c>
      <x:c r="G91" s="17" t="n">
        <x:v>210000</x:v>
      </x:c>
      <x:c r="H91" s="17" t="n">
        <x:v>210000</x:v>
      </x:c>
      <x:c r="I91" s="17" t="n">
        <x:v>210000</x:v>
      </x:c>
      <x:c r="J91" s="17" t="n">
        <x:v>210000</x:v>
      </x:c>
      <x:c r="K91" s="17" t="n">
        <x:v>210000</x:v>
      </x:c>
      <x:c r="L91" s="17" t="n">
        <x:v>210000</x:v>
      </x:c>
      <x:c r="M91" s="17" t="n">
        <x:v>210000</x:v>
      </x:c>
      <x:c r="N91" s="17" t="n">
        <x:v>210000</x:v>
      </x:c>
      <x:c r="O91" s="3"/>
      <x:c r="P91" s="3"/>
    </x:row>
    <x:row r="92" ht="24" customHeight="1">
      <x:c r="A92" s="3"/>
      <x:c r="B92" s="3" t="str">
        <x:v>基准</x:v>
      </x:c>
      <x:c r="C92" s="17" t="n">
        <x:v>220000</x:v>
      </x:c>
      <x:c r="D92" s="17" t="n">
        <x:v>223000</x:v>
      </x:c>
      <x:c r="E92" s="17" t="n">
        <x:v>226000</x:v>
      </x:c>
      <x:c r="F92" s="17" t="n">
        <x:v>229000</x:v>
      </x:c>
      <x:c r="G92" s="17" t="n">
        <x:v>232000</x:v>
      </x:c>
      <x:c r="H92" s="17" t="n">
        <x:v>235000</x:v>
      </x:c>
      <x:c r="I92" s="17" t="n">
        <x:v>238000</x:v>
      </x:c>
      <x:c r="J92" s="17" t="n">
        <x:v>241000</x:v>
      </x:c>
      <x:c r="K92" s="17" t="n">
        <x:v>244000</x:v>
      </x:c>
      <x:c r="L92" s="17" t="n">
        <x:v>247000</x:v>
      </x:c>
      <x:c r="M92" s="17" t="n">
        <x:v>250000</x:v>
      </x:c>
      <x:c r="N92" s="17" t="n">
        <x:v>253000</x:v>
      </x:c>
      <x:c r="O92" s="3"/>
      <x:c r="P92" s="3"/>
    </x:row>
    <x:row r="93" ht="24" customHeight="1">
      <x:c r="A93" s="3"/>
      <x:c r="B93" s="3" t="str">
        <x:v>进取</x:v>
      </x:c>
      <x:c r="C93" s="17" t="n">
        <x:v>245000</x:v>
      </x:c>
      <x:c r="D93" s="17" t="n">
        <x:v>249500</x:v>
      </x:c>
      <x:c r="E93" s="17" t="n">
        <x:v>254000</x:v>
      </x:c>
      <x:c r="F93" s="17" t="n">
        <x:v>258500</x:v>
      </x:c>
      <x:c r="G93" s="17" t="n">
        <x:v>263000</x:v>
      </x:c>
      <x:c r="H93" s="17" t="n">
        <x:v>267500</x:v>
      </x:c>
      <x:c r="I93" s="17" t="n">
        <x:v>272000</x:v>
      </x:c>
      <x:c r="J93" s="17" t="n">
        <x:v>276500</x:v>
      </x:c>
      <x:c r="K93" s="17" t="n">
        <x:v>281000</x:v>
      </x:c>
      <x:c r="L93" s="17" t="n">
        <x:v>285500</x:v>
      </x:c>
      <x:c r="M93" s="17" t="n">
        <x:v>290000</x:v>
      </x:c>
      <x:c r="N93" s="17" t="n">
        <x:v>294500</x:v>
      </x:c>
      <x:c r="O93" s="3"/>
      <x:c r="P93" s="3"/>
    </x:row>
    <x:row r="94" ht="24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</x:row>
    <x:row r="95" ht="24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</x:row>
    <x:row r="96" ht="24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</x:row>
    <x:row r="97" ht="28" customHeight="1">
      <x:c r="A97" s="3"/>
      <x:c r="B97" s="23" t="str">
        <x:v>当前情景计算（金额：千元）</x:v>
      </x:c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</x:row>
    <x:row r="98" ht="24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</x:row>
    <x:row r="99" ht="30" customHeight="1">
      <x:c r="A99" s="3"/>
      <x:c r="B99" s="13" t="str">
        <x:v>2026 年</x:v>
      </x:c>
      <x:c r="C99" s="13" t="str">
        <x:v>1月</x:v>
      </x:c>
      <x:c r="D99" s="13" t="str">
        <x:v>2月</x:v>
      </x:c>
      <x:c r="E99" s="13" t="str">
        <x:v>3月</x:v>
      </x:c>
      <x:c r="F99" s="13" t="str">
        <x:v>4月</x:v>
      </x:c>
      <x:c r="G99" s="13" t="str">
        <x:v>5月</x:v>
      </x:c>
      <x:c r="H99" s="13" t="str">
        <x:v>6月</x:v>
      </x:c>
      <x:c r="I99" s="13" t="str">
        <x:v>7月</x:v>
      </x:c>
      <x:c r="J99" s="13" t="str">
        <x:v>8月</x:v>
      </x:c>
      <x:c r="K99" s="13" t="str">
        <x:v>9月</x:v>
      </x:c>
      <x:c r="L99" s="13" t="str">
        <x:v>10月</x:v>
      </x:c>
      <x:c r="M99" s="13" t="str">
        <x:v>11月</x:v>
      </x:c>
      <x:c r="N99" s="13" t="str">
        <x:v>12月</x:v>
      </x:c>
      <x:c r="O99" s="3"/>
      <x:c r="P99" s="3"/>
    </x:row>
    <x:row r="100" ht="24" customHeight="1">
      <x:c r="A100" s="3"/>
      <x:c r="B100" s="24" t="str">
        <x:v>期初 MRR</x:v>
      </x:c>
      <x:c r="C100" s="64">
        <x:f>'增长质量'!N66</x:f>
        <x:v>1750215.5</x:v>
      </x:c>
      <x:c r="D100" s="64">
        <x:f>C103</x:f>
        <x:v>1876164.8535</x:v>
      </x:c>
      <x:c r="E100" s="64">
        <x:f>D103</x:f>
        <x:v>2006496.3589395</x:v>
      </x:c>
      <x:c r="F100" s="64">
        <x:f>E103</x:f>
        <x:v>2141236.86986268</x:v>
      </x:c>
      <x:c r="G100" s="64">
        <x:f>F103</x:f>
        <x:v>2284695.63299282</x:v>
      </x:c>
      <x:c r="H100" s="64">
        <x:f>G103</x:f>
        <x:v>2432890.93735983</x:v>
      </x:c>
      <x:c r="I100" s="64">
        <x:f>H103</x:f>
        <x:v>2585858.04642247</x:v>
      </x:c>
      <x:c r="J100" s="64">
        <x:f>I103</x:f>
        <x:v>2748803.90446889</x:v>
      </x:c>
      <x:c r="K100" s="64">
        <x:f>J103</x:f>
        <x:v>2916912.70837336</x:v>
      </x:c>
      <x:c r="L100" s="64">
        <x:f>K103</x:f>
        <x:v>3090229.62108173</x:v>
      </x:c>
      <x:c r="M100" s="64">
        <x:f>L103</x:f>
        <x:v>3274980.30994497</x:v>
      </x:c>
      <x:c r="N100" s="64">
        <x:f>M103</x:f>
        <x:v>3465405.25087481</x:v>
      </x:c>
      <x:c r="O100" s="3"/>
      <x:c r="P100" s="3"/>
    </x:row>
    <x:row r="101" ht="24" customHeight="1">
      <x:c r="A101" s="3"/>
      <x:c r="B101" s="24" t="str">
        <x:v>存量客户期末 MRR</x:v>
      </x:c>
      <x:c r="C101" s="64">
        <x:f>C100*C70</x:f>
        <x:v>1744964.8535</x:v>
      </x:c>
      <x:c r="D101" s="64">
        <x:f>D100*D70</x:f>
        <x:v>1870536.3589395</x:v>
      </x:c>
      <x:c r="E101" s="64">
        <x:f>E100*E70</x:f>
        <x:v>2000476.86986268</x:v>
      </x:c>
      <x:c r="F101" s="64">
        <x:f>F100*F70</x:f>
        <x:v>2139095.63299282</x:v>
      </x:c>
      <x:c r="G101" s="64">
        <x:f>G100*G70</x:f>
        <x:v>2282410.93735983</x:v>
      </x:c>
      <x:c r="H101" s="64">
        <x:f>H100*H70</x:f>
        <x:v>2430458.04642247</x:v>
      </x:c>
      <x:c r="I101" s="64">
        <x:f>I100*I70</x:f>
        <x:v>2588443.90446889</x:v>
      </x:c>
      <x:c r="J101" s="64">
        <x:f>J100*J70</x:f>
        <x:v>2751552.70837336</x:v>
      </x:c>
      <x:c r="K101" s="64">
        <x:f>K100*K70</x:f>
        <x:v>2919829.62108173</x:v>
      </x:c>
      <x:c r="L101" s="64">
        <x:f>L100*L70</x:f>
        <x:v>3099500.30994497</x:v>
      </x:c>
      <x:c r="M101" s="64">
        <x:f>M100*M70</x:f>
        <x:v>3284805.25087481</x:v>
      </x:c>
      <x:c r="N101" s="64">
        <x:f>N100*N70</x:f>
        <x:v>3475801.46662743</x:v>
      </x:c>
      <x:c r="O101" s="3"/>
      <x:c r="P101" s="3"/>
    </x:row>
    <x:row r="102" ht="24" customHeight="1">
      <x:c r="A102" s="3"/>
      <x:c r="B102" s="24" t="str">
        <x:v>新增 MRR</x:v>
      </x:c>
      <x:c r="C102" s="64">
        <x:f>C60*C65</x:f>
        <x:v>131200</x:v>
      </x:c>
      <x:c r="D102" s="64">
        <x:f>D60*D65</x:f>
        <x:v>135960</x:v>
      </x:c>
      <x:c r="E102" s="64">
        <x:f>E60*E65</x:f>
        <x:v>140760</x:v>
      </x:c>
      <x:c r="F102" s="64">
        <x:f>F60*F65</x:f>
        <x:v>145600</x:v>
      </x:c>
      <x:c r="G102" s="64">
        <x:f>G60*G65</x:f>
        <x:v>150480</x:v>
      </x:c>
      <x:c r="H102" s="64">
        <x:f>H60*H65</x:f>
        <x:v>155400</x:v>
      </x:c>
      <x:c r="I102" s="64">
        <x:f>I60*I65</x:f>
        <x:v>160360</x:v>
      </x:c>
      <x:c r="J102" s="64">
        <x:f>J60*J65</x:f>
        <x:v>165360</x:v>
      </x:c>
      <x:c r="K102" s="64">
        <x:f>K60*K65</x:f>
        <x:v>170400</x:v>
      </x:c>
      <x:c r="L102" s="64">
        <x:f>L60*L65</x:f>
        <x:v>175480</x:v>
      </x:c>
      <x:c r="M102" s="64">
        <x:f>M60*M65</x:f>
        <x:v>180600</x:v>
      </x:c>
      <x:c r="N102" s="64">
        <x:f>N60*N65</x:f>
        <x:v>185760</x:v>
      </x:c>
      <x:c r="O102" s="3"/>
      <x:c r="P102" s="3"/>
    </x:row>
    <x:row r="103" ht="24" customHeight="1">
      <x:c r="A103" s="3"/>
      <x:c r="B103" s="35" t="str">
        <x:v>期末 MRR</x:v>
      </x:c>
      <x:c r="C103" s="65">
        <x:f>C101+C102</x:f>
        <x:v>1876164.8535</x:v>
      </x:c>
      <x:c r="D103" s="65">
        <x:f>D101+D102</x:f>
        <x:v>2006496.3589395</x:v>
      </x:c>
      <x:c r="E103" s="65">
        <x:f>E101+E102</x:f>
        <x:v>2141236.86986268</x:v>
      </x:c>
      <x:c r="F103" s="65">
        <x:f>F101+F102</x:f>
        <x:v>2284695.63299282</x:v>
      </x:c>
      <x:c r="G103" s="65">
        <x:f>G101+G102</x:f>
        <x:v>2432890.93735983</x:v>
      </x:c>
      <x:c r="H103" s="65">
        <x:f>H101+H102</x:f>
        <x:v>2585858.04642247</x:v>
      </x:c>
      <x:c r="I103" s="65">
        <x:f>I101+I102</x:f>
        <x:v>2748803.90446889</x:v>
      </x:c>
      <x:c r="J103" s="65">
        <x:f>J101+J102</x:f>
        <x:v>2916912.70837336</x:v>
      </x:c>
      <x:c r="K103" s="65">
        <x:f>K101+K102</x:f>
        <x:v>3090229.62108173</x:v>
      </x:c>
      <x:c r="L103" s="65">
        <x:f>L101+L102</x:f>
        <x:v>3274980.30994497</x:v>
      </x:c>
      <x:c r="M103" s="65">
        <x:f>M101+M102</x:f>
        <x:v>3465405.25087481</x:v>
      </x:c>
      <x:c r="N103" s="65">
        <x:f>N101+N102</x:f>
        <x:v>3661561.46662743</x:v>
      </x:c>
      <x:c r="O103" s="3"/>
      <x:c r="P103" s="3"/>
    </x:row>
    <x:row r="104" ht="24" customHeight="1">
      <x:c r="A104" s="3"/>
      <x:c r="B104" s="35" t="str">
        <x:v>订阅收入</x:v>
      </x:c>
      <x:c r="C104" s="65">
        <x:f>(C100+C103)/2</x:f>
        <x:v>1813190.17675</x:v>
      </x:c>
      <x:c r="D104" s="65">
        <x:f>(D100+D103)/2</x:f>
        <x:v>1941330.60621975</x:v>
      </x:c>
      <x:c r="E104" s="65">
        <x:f>(E100+E103)/2</x:f>
        <x:v>2073866.61440109</x:v>
      </x:c>
      <x:c r="F104" s="65">
        <x:f>(F100+F103)/2</x:f>
        <x:v>2212966.25142775</x:v>
      </x:c>
      <x:c r="G104" s="65">
        <x:f>(G100+G103)/2</x:f>
        <x:v>2358793.28517632</x:v>
      </x:c>
      <x:c r="H104" s="65">
        <x:f>(H100+H103)/2</x:f>
        <x:v>2509374.49189115</x:v>
      </x:c>
      <x:c r="I104" s="65">
        <x:f>(I100+I103)/2</x:f>
        <x:v>2667330.97544568</x:v>
      </x:c>
      <x:c r="J104" s="65">
        <x:f>(J100+J103)/2</x:f>
        <x:v>2832858.30642112</x:v>
      </x:c>
      <x:c r="K104" s="65">
        <x:f>(K100+K103)/2</x:f>
        <x:v>3003571.16472754</x:v>
      </x:c>
      <x:c r="L104" s="65">
        <x:f>(L100+L103)/2</x:f>
        <x:v>3182604.96551335</x:v>
      </x:c>
      <x:c r="M104" s="65">
        <x:f>(M100+M103)/2</x:f>
        <x:v>3370192.78040989</x:v>
      </x:c>
      <x:c r="N104" s="65">
        <x:f>(N100+N103)/2</x:f>
        <x:v>3563483.35875112</x:v>
      </x:c>
      <x:c r="O104" s="3"/>
      <x:c r="P104" s="3"/>
    </x:row>
    <x:row r="105" ht="24" customHeight="1">
      <x:c r="A105" s="3"/>
      <x:c r="B105" s="24" t="str">
        <x:v>直接成本</x:v>
      </x:c>
      <x:c r="C105" s="64">
        <x:f>C104*(1-C80)</x:f>
        <x:v>344506.1335825</x:v>
      </x:c>
      <x:c r="D105" s="64">
        <x:f>D104*(1-D80)</x:f>
        <x:v>366911.484575533</x:v>
      </x:c>
      <x:c r="E105" s="64">
        <x:f>E104*(1-E80)</x:f>
        <x:v>389886.923507405</x:v>
      </x:c>
      <x:c r="F105" s="64">
        <x:f>F104*(1-F80)</x:f>
        <x:v>413824.689016989</x:v>
      </x:c>
      <x:c r="G105" s="64">
        <x:f>G104*(1-G80)</x:f>
        <x:v>438735.551042796</x:v>
      </x:c>
      <x:c r="H105" s="64">
        <x:f>H104*(1-H80)</x:f>
        <x:v>464234.280999862</x:v>
      </x:c>
      <x:c r="I105" s="64">
        <x:f>I104*(1-I80)</x:f>
        <x:v>490788.899482005</x:v>
      </x:c>
      <x:c r="J105" s="64">
        <x:f>J104*(1-J80)</x:f>
        <x:v>518413.070075066</x:v>
      </x:c>
      <x:c r="K105" s="64">
        <x:f>K104*(1-K80)</x:f>
        <x:v>546649.951980413</x:v>
      </x:c>
      <x:c r="L105" s="64">
        <x:f>L104*(1-L80)</x:f>
        <x:v>576051.498757917</x:v>
      </x:c>
      <x:c r="M105" s="64">
        <x:f>M104*(1-M80)</x:f>
        <x:v>606634.700473781</x:v>
      </x:c>
      <x:c r="N105" s="64">
        <x:f>N104*(1-N80)</x:f>
        <x:v>637863.521216451</x:v>
      </x:c>
      <x:c r="O105" s="3"/>
      <x:c r="P105" s="3"/>
    </x:row>
    <x:row r="106" ht="24" customHeight="1">
      <x:c r="A106" s="3"/>
      <x:c r="B106" s="35" t="str">
        <x:v>毛利</x:v>
      </x:c>
      <x:c r="C106" s="65">
        <x:f>C104-C105</x:f>
        <x:v>1468684.0431675</x:v>
      </x:c>
      <x:c r="D106" s="65">
        <x:f>D104-D105</x:f>
        <x:v>1574419.12164422</x:v>
      </x:c>
      <x:c r="E106" s="65">
        <x:f>E104-E105</x:f>
        <x:v>1683979.69089369</x:v>
      </x:c>
      <x:c r="F106" s="65">
        <x:f>F104-F105</x:f>
        <x:v>1799141.56241076</x:v>
      </x:c>
      <x:c r="G106" s="65">
        <x:f>G104-G105</x:f>
        <x:v>1920057.73413353</x:v>
      </x:c>
      <x:c r="H106" s="65">
        <x:f>H104-H105</x:f>
        <x:v>2045140.21089128</x:v>
      </x:c>
      <x:c r="I106" s="65">
        <x:f>I104-I105</x:f>
        <x:v>2176542.07596367</x:v>
      </x:c>
      <x:c r="J106" s="65">
        <x:f>J104-J105</x:f>
        <x:v>2314445.23634606</x:v>
      </x:c>
      <x:c r="K106" s="65">
        <x:f>K104-K105</x:f>
        <x:v>2456921.21274713</x:v>
      </x:c>
      <x:c r="L106" s="65">
        <x:f>L104-L105</x:f>
        <x:v>2606553.46675544</x:v>
      </x:c>
      <x:c r="M106" s="65">
        <x:f>M104-M105</x:f>
        <x:v>2763558.07993611</x:v>
      </x:c>
      <x:c r="N106" s="65">
        <x:f>N104-N105</x:f>
        <x:v>2925619.83753467</x:v>
      </x:c>
      <x:c r="O106" s="3"/>
      <x:c r="P106" s="3"/>
    </x:row>
    <x:row r="107" ht="24" customHeight="1">
      <x:c r="A107" s="3"/>
      <x:c r="B107" s="24" t="str">
        <x:v>销售营销费用</x:v>
      </x:c>
      <x:c r="C107" s="64">
        <x:f>C85</x:f>
        <x:v>350000</x:v>
      </x:c>
      <x:c r="D107" s="64">
        <x:f>D85</x:f>
        <x:v>355000</x:v>
      </x:c>
      <x:c r="E107" s="64">
        <x:f>E85</x:f>
        <x:v>360000</x:v>
      </x:c>
      <x:c r="F107" s="64">
        <x:f>F85</x:f>
        <x:v>365000</x:v>
      </x:c>
      <x:c r="G107" s="64">
        <x:f>G85</x:f>
        <x:v>370000</x:v>
      </x:c>
      <x:c r="H107" s="64">
        <x:f>H85</x:f>
        <x:v>375000</x:v>
      </x:c>
      <x:c r="I107" s="64">
        <x:f>I85</x:f>
        <x:v>380000</x:v>
      </x:c>
      <x:c r="J107" s="64">
        <x:f>J85</x:f>
        <x:v>385000</x:v>
      </x:c>
      <x:c r="K107" s="64">
        <x:f>K85</x:f>
        <x:v>390000</x:v>
      </x:c>
      <x:c r="L107" s="64">
        <x:f>L85</x:f>
        <x:v>395000</x:v>
      </x:c>
      <x:c r="M107" s="64">
        <x:f>M85</x:f>
        <x:v>400000</x:v>
      </x:c>
      <x:c r="N107" s="64">
        <x:f>N85</x:f>
        <x:v>405000</x:v>
      </x:c>
      <x:c r="O107" s="3"/>
      <x:c r="P107" s="3"/>
    </x:row>
    <x:row r="108" ht="24" customHeight="1">
      <x:c r="A108" s="3"/>
      <x:c r="B108" s="24" t="str">
        <x:v>研发与管理费用</x:v>
      </x:c>
      <x:c r="C108" s="64">
        <x:f>C90</x:f>
        <x:v>220000</x:v>
      </x:c>
      <x:c r="D108" s="64">
        <x:f>D90</x:f>
        <x:v>223000</x:v>
      </x:c>
      <x:c r="E108" s="64">
        <x:f>E90</x:f>
        <x:v>226000</x:v>
      </x:c>
      <x:c r="F108" s="64">
        <x:f>F90</x:f>
        <x:v>229000</x:v>
      </x:c>
      <x:c r="G108" s="64">
        <x:f>G90</x:f>
        <x:v>232000</x:v>
      </x:c>
      <x:c r="H108" s="64">
        <x:f>H90</x:f>
        <x:v>235000</x:v>
      </x:c>
      <x:c r="I108" s="64">
        <x:f>I90</x:f>
        <x:v>238000</x:v>
      </x:c>
      <x:c r="J108" s="64">
        <x:f>J90</x:f>
        <x:v>241000</x:v>
      </x:c>
      <x:c r="K108" s="64">
        <x:f>K90</x:f>
        <x:v>244000</x:v>
      </x:c>
      <x:c r="L108" s="64">
        <x:f>L90</x:f>
        <x:v>247000</x:v>
      </x:c>
      <x:c r="M108" s="64">
        <x:f>M90</x:f>
        <x:v>250000</x:v>
      </x:c>
      <x:c r="N108" s="64">
        <x:f>N90</x:f>
        <x:v>253000</x:v>
      </x:c>
      <x:c r="O108" s="3"/>
      <x:c r="P108" s="3"/>
    </x:row>
    <x:row r="109" ht="24" customHeight="1">
      <x:c r="A109" s="3"/>
      <x:c r="B109" s="35" t="str">
        <x:v>经营利润</x:v>
      </x:c>
      <x:c r="C109" s="65">
        <x:f>C106-C107-C108</x:f>
        <x:v>898684.0431675</x:v>
      </x:c>
      <x:c r="D109" s="65">
        <x:f>D106-D107-D108</x:f>
        <x:v>996419.121644217</x:v>
      </x:c>
      <x:c r="E109" s="65">
        <x:f>E106-E107-E108</x:f>
        <x:v>1097979.69089369</x:v>
      </x:c>
      <x:c r="F109" s="65">
        <x:f>F106-F107-F108</x:f>
        <x:v>1205141.56241076</x:v>
      </x:c>
      <x:c r="G109" s="65">
        <x:f>G106-G107-G108</x:f>
        <x:v>1318057.73413353</x:v>
      </x:c>
      <x:c r="H109" s="65">
        <x:f>H106-H107-H108</x:f>
        <x:v>1435140.21089128</x:v>
      </x:c>
      <x:c r="I109" s="65">
        <x:f>I106-I107-I108</x:f>
        <x:v>1558542.07596367</x:v>
      </x:c>
      <x:c r="J109" s="65">
        <x:f>J106-J107-J108</x:f>
        <x:v>1688445.23634606</x:v>
      </x:c>
      <x:c r="K109" s="65">
        <x:f>K106-K107-K108</x:f>
        <x:v>1822921.21274713</x:v>
      </x:c>
      <x:c r="L109" s="65">
        <x:f>L106-L107-L108</x:f>
        <x:v>1964553.46675543</x:v>
      </x:c>
      <x:c r="M109" s="65">
        <x:f>M106-M107-M108</x:f>
        <x:v>2113558.07993611</x:v>
      </x:c>
      <x:c r="N109" s="65">
        <x:f>N106-N107-N108</x:f>
        <x:v>2267619.83753467</x:v>
      </x:c>
      <x:c r="O109" s="3"/>
      <x:c r="P109" s="3"/>
    </x:row>
    <x:row r="110" ht="24" customHeight="1">
      <x:c r="A110" s="3"/>
      <x:c r="B110" s="24" t="str">
        <x:v>经营利润率</x:v>
      </x:c>
      <x:c r="C110" s="41">
        <x:f>C109/C104</x:f>
        <x:v>0.495636946797451</x:v>
      </x:c>
      <x:c r="D110" s="41">
        <x:f>D109/D104</x:f>
        <x:v>0.513266065270815</x:v>
      </x:c>
      <x:c r="E110" s="41">
        <x:f>E109/E104</x:f>
        <x:v>0.529436022196042</x:v>
      </x:c>
      <x:c r="F110" s="41">
        <x:f>F109/F104</x:f>
        <x:v>0.544581988827545</x:v>
      </x:c>
      <x:c r="G110" s="41">
        <x:f>G109/G104</x:f>
        <x:v>0.558784757620251</x:v>
      </x:c>
      <x:c r="H110" s="41">
        <x:f>H109/H104</x:f>
        <x:v>0.571911532347536</x:v>
      </x:c>
      <x:c r="I110" s="41">
        <x:f>I109/I104</x:f>
        <x:v>0.584307718206309</x:v>
      </x:c>
      <x:c r="J110" s="41">
        <x:f>J109/J104</x:f>
        <x:v>0.596021775080994</x:v>
      </x:c>
      <x:c r="K110" s="41">
        <x:f>K109/K104</x:f>
        <x:v>0.606917936273532</x:v>
      </x:c>
      <x:c r="L110" s="41">
        <x:f>L109/L104</x:f>
        <x:v>0.617278452099239</x:v>
      </x:c>
      <x:c r="M110" s="41">
        <x:f>M109/M104</x:f>
        <x:v>0.627132694670082</x:v>
      </x:c>
      <x:c r="N110" s="41">
        <x:f>N109/N104</x:f>
        <x:v>0.636349214867498</x:v>
      </x:c>
      <x:c r="O110" s="3"/>
      <x:c r="P110" s="3"/>
    </x:row>
    <x:row r="111" ht="24" customHeight="1">
      <x:c r="A111" s="3"/>
      <x:c r="B111" s="3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3"/>
      <x:c r="P111" s="3"/>
    </x:row>
    <x:row r="112" ht="24" customHeight="1">
      <x:c r="A112" s="3"/>
      <x:c r="B112" s="24" t="str">
        <x:v>期初客户</x:v>
      </x:c>
      <x:c r="C112" s="25">
        <x:f>'增长质量'!N72</x:f>
        <x:v>843</x:v>
      </x:c>
      <x:c r="D112" s="25">
        <x:f>C115</x:f>
        <x:v>888</x:v>
      </x:c>
      <x:c r="E112" s="25">
        <x:f>D115</x:f>
        <x:v>934</x:v>
      </x:c>
      <x:c r="F112" s="25">
        <x:f>E115</x:f>
        <x:v>981</x:v>
      </x:c>
      <x:c r="G112" s="25">
        <x:f>F115</x:f>
        <x:v>1028</x:v>
      </x:c>
      <x:c r="H112" s="25">
        <x:f>G115</x:f>
        <x:v>1076</x:v>
      </x:c>
      <x:c r="I112" s="25">
        <x:f>H115</x:f>
        <x:v>1125</x:v>
      </x:c>
      <x:c r="J112" s="25">
        <x:f>I115</x:f>
        <x:v>1175</x:v>
      </x:c>
      <x:c r="K112" s="25">
        <x:f>J115</x:f>
        <x:v>1226</x:v>
      </x:c>
      <x:c r="L112" s="25">
        <x:f>K115</x:f>
        <x:v>1278</x:v>
      </x:c>
      <x:c r="M112" s="25">
        <x:f>L115</x:f>
        <x:v>1331</x:v>
      </x:c>
      <x:c r="N112" s="25">
        <x:f>M115</x:f>
        <x:v>1384</x:v>
      </x:c>
      <x:c r="O112" s="3"/>
      <x:c r="P112" s="3"/>
    </x:row>
    <x:row r="113" ht="24" customHeight="1">
      <x:c r="A113" s="3"/>
      <x:c r="B113" s="24" t="str">
        <x:v>新增客户</x:v>
      </x:c>
      <x:c r="C113" s="25">
        <x:f>C60</x:f>
        <x:v>64</x:v>
      </x:c>
      <x:c r="D113" s="25">
        <x:f>D60</x:f>
        <x:v>66</x:v>
      </x:c>
      <x:c r="E113" s="25">
        <x:f>E60</x:f>
        <x:v>68</x:v>
      </x:c>
      <x:c r="F113" s="25">
        <x:f>F60</x:f>
        <x:v>70</x:v>
      </x:c>
      <x:c r="G113" s="25">
        <x:f>G60</x:f>
        <x:v>72</x:v>
      </x:c>
      <x:c r="H113" s="25">
        <x:f>H60</x:f>
        <x:v>74</x:v>
      </x:c>
      <x:c r="I113" s="25">
        <x:f>I60</x:f>
        <x:v>76</x:v>
      </x:c>
      <x:c r="J113" s="25">
        <x:f>J60</x:f>
        <x:v>78</x:v>
      </x:c>
      <x:c r="K113" s="25">
        <x:f>K60</x:f>
        <x:v>80</x:v>
      </x:c>
      <x:c r="L113" s="25">
        <x:f>L60</x:f>
        <x:v>82</x:v>
      </x:c>
      <x:c r="M113" s="25">
        <x:f>M60</x:f>
        <x:v>84</x:v>
      </x:c>
      <x:c r="N113" s="25">
        <x:f>N60</x:f>
        <x:v>86</x:v>
      </x:c>
      <x:c r="O113" s="3"/>
      <x:c r="P113" s="3"/>
    </x:row>
    <x:row r="114" ht="24" customHeight="1">
      <x:c r="A114" s="3"/>
      <x:c r="B114" s="24" t="str">
        <x:v>流失客户</x:v>
      </x:c>
      <x:c r="C114" s="25">
        <x:f>ROUND(C112*C75,0)</x:f>
        <x:v>19</x:v>
      </x:c>
      <x:c r="D114" s="25">
        <x:f>ROUND(D112*D75,0)</x:f>
        <x:v>20</x:v>
      </x:c>
      <x:c r="E114" s="25">
        <x:f>ROUND(E112*E75,0)</x:f>
        <x:v>21</x:v>
      </x:c>
      <x:c r="F114" s="25">
        <x:f>ROUND(F112*F75,0)</x:f>
        <x:v>23</x:v>
      </x:c>
      <x:c r="G114" s="25">
        <x:f>ROUND(G112*G75,0)</x:f>
        <x:v>24</x:v>
      </x:c>
      <x:c r="H114" s="25">
        <x:f>ROUND(H112*H75,0)</x:f>
        <x:v>25</x:v>
      </x:c>
      <x:c r="I114" s="25">
        <x:f>ROUND(I112*I75,0)</x:f>
        <x:v>26</x:v>
      </x:c>
      <x:c r="J114" s="25">
        <x:f>ROUND(J112*J75,0)</x:f>
        <x:v>27</x:v>
      </x:c>
      <x:c r="K114" s="25">
        <x:f>ROUND(K112*K75,0)</x:f>
        <x:v>28</x:v>
      </x:c>
      <x:c r="L114" s="25">
        <x:f>ROUND(L112*L75,0)</x:f>
        <x:v>29</x:v>
      </x:c>
      <x:c r="M114" s="25">
        <x:f>ROUND(M112*M75,0)</x:f>
        <x:v>31</x:v>
      </x:c>
      <x:c r="N114" s="25">
        <x:f>ROUND(N112*N75,0)</x:f>
        <x:v>32</x:v>
      </x:c>
      <x:c r="O114" s="3"/>
      <x:c r="P114" s="3"/>
    </x:row>
    <x:row r="115" ht="24" customHeight="1">
      <x:c r="A115" s="3"/>
      <x:c r="B115" s="35" t="str">
        <x:v>期末客户</x:v>
      </x:c>
      <x:c r="C115" s="63">
        <x:f>C112+C113-C114</x:f>
        <x:v>888</x:v>
      </x:c>
      <x:c r="D115" s="63">
        <x:f>D112+D113-D114</x:f>
        <x:v>934</x:v>
      </x:c>
      <x:c r="E115" s="63">
        <x:f>E112+E113-E114</x:f>
        <x:v>981</x:v>
      </x:c>
      <x:c r="F115" s="63">
        <x:f>F112+F113-F114</x:f>
        <x:v>1028</x:v>
      </x:c>
      <x:c r="G115" s="63">
        <x:f>G112+G113-G114</x:f>
        <x:v>1076</x:v>
      </x:c>
      <x:c r="H115" s="63">
        <x:f>H112+H113-H114</x:f>
        <x:v>1125</x:v>
      </x:c>
      <x:c r="I115" s="63">
        <x:f>I112+I113-I114</x:f>
        <x:v>1175</x:v>
      </x:c>
      <x:c r="J115" s="63">
        <x:f>J112+J113-J114</x:f>
        <x:v>1226</x:v>
      </x:c>
      <x:c r="K115" s="63">
        <x:f>K112+K113-K114</x:f>
        <x:v>1278</x:v>
      </x:c>
      <x:c r="L115" s="63">
        <x:f>L112+L113-L114</x:f>
        <x:v>1331</x:v>
      </x:c>
      <x:c r="M115" s="63">
        <x:f>M112+M113-M114</x:f>
        <x:v>1384</x:v>
      </x:c>
      <x:c r="N115" s="63">
        <x:f>N112+N113-N114</x:f>
        <x:v>1438</x:v>
      </x:c>
      <x:c r="O115" s="3"/>
      <x:c r="P115" s="3"/>
    </x:row>
    <x:row r="116" ht="24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</x:row>
    <x:row r="117" ht="24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</x:row>
    <x:row r="118" ht="24" customHeight="1">
      <x:c r="A118" s="3"/>
      <x:c r="B118" s="20" t="str">
        <x:v>存量客户期末 MRR = 期初 MRR × 月度 NRR。NRR 综合反映续约、扩展、降配和流失。</x:v>
      </x:c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</x:row>
    <x:row r="119" ht="24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</x:row>
    <x:row r="120" ht="24" customHeight="1">
      <x:c r="A120" s="3"/>
      <x:c r="B120" s="20" t="str">
        <x:v>月度收入按期初与期末 MRR 的平均值估计；新客户和流失客户按月中发生。</x:v>
      </x:c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</x:row>
    <x:row r="121" ht="24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</x:row>
    <x:row r="122" ht="24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</x:row>
    <x:row r="123" ht="24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</x:row>
    <x:row r="124" ht="30" customHeight="1">
      <x:c r="A124" s="3"/>
      <x:c r="B124" s="13" t="str">
        <x:v>月份</x:v>
      </x:c>
      <x:c r="C124" s="13" t="str">
        <x:v>订阅收入</x:v>
      </x:c>
      <x:c r="D124" s="13" t="str">
        <x:v>经营利润</x:v>
      </x:c>
      <x:c r="E124" s="13" t="str">
        <x:v>期末 MRR</x:v>
      </x:c>
      <x:c r="F124" s="13" t="str">
        <x:v>期末客户</x:v>
      </x:c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</x:row>
    <x:row r="125" ht="24" customHeight="1">
      <x:c r="A125" s="3"/>
      <x:c r="B125" s="3" t="str">
        <x:v>1月</x:v>
      </x:c>
      <x:c r="C125" s="39">
        <x:f>C104/10000</x:f>
        <x:v>181.319017675</x:v>
      </x:c>
      <x:c r="D125" s="39">
        <x:f>C109/10000</x:f>
        <x:v>89.86840431675</x:v>
      </x:c>
      <x:c r="E125" s="39">
        <x:f>C103/10000</x:f>
        <x:v>187.61648535</x:v>
      </x:c>
      <x:c r="F125" s="3">
        <x:f>C115</x:f>
        <x:v>888</x:v>
      </x:c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</x:row>
    <x:row r="126" ht="24" customHeight="1">
      <x:c r="A126" s="3"/>
      <x:c r="B126" s="3" t="str">
        <x:v>2月</x:v>
      </x:c>
      <x:c r="C126" s="39">
        <x:f>D104/10000</x:f>
        <x:v>194.133060621975</x:v>
      </x:c>
      <x:c r="D126" s="39">
        <x:f>D109/10000</x:f>
        <x:v>99.6419121644217</x:v>
      </x:c>
      <x:c r="E126" s="39">
        <x:f>D103/10000</x:f>
        <x:v>200.64963589395</x:v>
      </x:c>
      <x:c r="F126" s="3">
        <x:f>D115</x:f>
        <x:v>934</x:v>
      </x:c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</x:row>
    <x:row r="127" ht="24" customHeight="1">
      <x:c r="A127" s="3"/>
      <x:c r="B127" s="3" t="str">
        <x:v>3月</x:v>
      </x:c>
      <x:c r="C127" s="39">
        <x:f>E104/10000</x:f>
        <x:v>207.386661440109</x:v>
      </x:c>
      <x:c r="D127" s="39">
        <x:f>E109/10000</x:f>
        <x:v>109.797969089369</x:v>
      </x:c>
      <x:c r="E127" s="39">
        <x:f>E103/10000</x:f>
        <x:v>214.123686986268</x:v>
      </x:c>
      <x:c r="F127" s="3">
        <x:f>E115</x:f>
        <x:v>981</x:v>
      </x:c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</x:row>
    <x:row r="128" ht="24" customHeight="1">
      <x:c r="A128" s="3"/>
      <x:c r="B128" s="3" t="str">
        <x:v>4月</x:v>
      </x:c>
      <x:c r="C128" s="39">
        <x:f>F104/10000</x:f>
        <x:v>221.296625142775</x:v>
      </x:c>
      <x:c r="D128" s="39">
        <x:f>F109/10000</x:f>
        <x:v>120.514156241076</x:v>
      </x:c>
      <x:c r="E128" s="39">
        <x:f>F103/10000</x:f>
        <x:v>228.469563299282</x:v>
      </x:c>
      <x:c r="F128" s="3">
        <x:f>F115</x:f>
        <x:v>1028</x:v>
      </x:c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</x:row>
    <x:row r="129" ht="24" customHeight="1">
      <x:c r="A129" s="3"/>
      <x:c r="B129" s="3" t="str">
        <x:v>5月</x:v>
      </x:c>
      <x:c r="C129" s="39">
        <x:f>G104/10000</x:f>
        <x:v>235.879328517632</x:v>
      </x:c>
      <x:c r="D129" s="39">
        <x:f>G109/10000</x:f>
        <x:v>131.805773413353</x:v>
      </x:c>
      <x:c r="E129" s="39">
        <x:f>G103/10000</x:f>
        <x:v>243.289093735983</x:v>
      </x:c>
      <x:c r="F129" s="3">
        <x:f>G115</x:f>
        <x:v>1076</x:v>
      </x:c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</x:row>
    <x:row r="130" ht="24" customHeight="1">
      <x:c r="A130" s="3"/>
      <x:c r="B130" s="3" t="str">
        <x:v>6月</x:v>
      </x:c>
      <x:c r="C130" s="39">
        <x:f>H104/10000</x:f>
        <x:v>250.937449189115</x:v>
      </x:c>
      <x:c r="D130" s="39">
        <x:f>H109/10000</x:f>
        <x:v>143.514021089128</x:v>
      </x:c>
      <x:c r="E130" s="39">
        <x:f>H103/10000</x:f>
        <x:v>258.585804642247</x:v>
      </x:c>
      <x:c r="F130" s="3">
        <x:f>H115</x:f>
        <x:v>1125</x:v>
      </x:c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</x:row>
    <x:row r="131" ht="24" customHeight="1">
      <x:c r="A131" s="3"/>
      <x:c r="B131" s="3" t="str">
        <x:v>7月</x:v>
      </x:c>
      <x:c r="C131" s="39">
        <x:f>I104/10000</x:f>
        <x:v>266.733097544568</x:v>
      </x:c>
      <x:c r="D131" s="39">
        <x:f>I109/10000</x:f>
        <x:v>155.854207596367</x:v>
      </x:c>
      <x:c r="E131" s="39">
        <x:f>I103/10000</x:f>
        <x:v>274.880390446889</x:v>
      </x:c>
      <x:c r="F131" s="3">
        <x:f>I115</x:f>
        <x:v>1175</x:v>
      </x:c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</x:row>
    <x:row r="132" ht="24" customHeight="1">
      <x:c r="A132" s="3"/>
      <x:c r="B132" s="3" t="str">
        <x:v>8月</x:v>
      </x:c>
      <x:c r="C132" s="39">
        <x:f>J104/10000</x:f>
        <x:v>283.285830642112</x:v>
      </x:c>
      <x:c r="D132" s="39">
        <x:f>J109/10000</x:f>
        <x:v>168.844523634606</x:v>
      </x:c>
      <x:c r="E132" s="39">
        <x:f>J103/10000</x:f>
        <x:v>291.691270837336</x:v>
      </x:c>
      <x:c r="F132" s="3">
        <x:f>J115</x:f>
        <x:v>1226</x:v>
      </x:c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</x:row>
    <x:row r="133" ht="24" customHeight="1">
      <x:c r="A133" s="3"/>
      <x:c r="B133" s="3" t="str">
        <x:v>9月</x:v>
      </x:c>
      <x:c r="C133" s="39">
        <x:f>K104/10000</x:f>
        <x:v>300.357116472754</x:v>
      </x:c>
      <x:c r="D133" s="39">
        <x:f>K109/10000</x:f>
        <x:v>182.292121274713</x:v>
      </x:c>
      <x:c r="E133" s="39">
        <x:f>K103/10000</x:f>
        <x:v>309.022962108173</x:v>
      </x:c>
      <x:c r="F133" s="3">
        <x:f>K115</x:f>
        <x:v>1278</x:v>
      </x:c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</x:row>
    <x:row r="134" ht="24" customHeight="1">
      <x:c r="A134" s="3"/>
      <x:c r="B134" s="3" t="str">
        <x:v>10月</x:v>
      </x:c>
      <x:c r="C134" s="39">
        <x:f>L104/10000</x:f>
        <x:v>318.260496551335</x:v>
      </x:c>
      <x:c r="D134" s="39">
        <x:f>L109/10000</x:f>
        <x:v>196.455346675544</x:v>
      </x:c>
      <x:c r="E134" s="39">
        <x:f>L103/10000</x:f>
        <x:v>327.498030994497</x:v>
      </x:c>
      <x:c r="F134" s="3">
        <x:f>L115</x:f>
        <x:v>1331</x:v>
      </x:c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</x:row>
    <x:row r="135" ht="24" customHeight="1">
      <x:c r="A135" s="3"/>
      <x:c r="B135" s="3" t="str">
        <x:v>11月</x:v>
      </x:c>
      <x:c r="C135" s="39">
        <x:f>M104/10000</x:f>
        <x:v>337.019278040989</x:v>
      </x:c>
      <x:c r="D135" s="39">
        <x:f>M109/10000</x:f>
        <x:v>211.355807993611</x:v>
      </x:c>
      <x:c r="E135" s="39">
        <x:f>M103/10000</x:f>
        <x:v>346.540525087481</x:v>
      </x:c>
      <x:c r="F135" s="3">
        <x:f>M115</x:f>
        <x:v>1384</x:v>
      </x:c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</x:row>
    <x:row r="136" ht="24" customHeight="1">
      <x:c r="A136" s="3"/>
      <x:c r="B136" s="3" t="str">
        <x:v>12月</x:v>
      </x:c>
      <x:c r="C136" s="39">
        <x:f>N104/10000</x:f>
        <x:v>356.348335875112</x:v>
      </x:c>
      <x:c r="D136" s="39">
        <x:f>N109/10000</x:f>
        <x:v>226.761983753467</x:v>
      </x:c>
      <x:c r="E136" s="39">
        <x:f>N103/10000</x:f>
        <x:v>366.156146662743</x:v>
      </x:c>
      <x:c r="F136" s="3">
        <x:f>N115</x:f>
        <x:v>1438</x:v>
      </x:c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</x:row>
    <x:row r="137" ht="24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</x:row>
    <x:row r="138" ht="24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</x:row>
    <x:row r="139" ht="24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</x:row>
    <x:row r="140" ht="24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</x:row>
    <x:row r="141" ht="24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</x:row>
    <x:row r="142" ht="24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</x:row>
    <x:row r="143" ht="24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</x:row>
    <x:row r="144" ht="24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</x:row>
    <x:row r="145" ht="24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</x:row>
  </x:sheetData>
  <x:mergeCells>
    <x:mergeCell ref="B8:D9"/>
    <x:mergeCell ref="E8:G9"/>
    <x:mergeCell ref="I8:K9"/>
    <x:mergeCell ref="L8:O9"/>
  </x:mergeCells>
  <x:dataValidations count="1">
    <x:dataValidation type="whole" operator="between" sqref="F6">
      <x:formula1>1</x:formula1>
      <x:formula2>3</x:formula2>
    </x:dataValidation>
  </x:dataValidations>
  <x:pageMargins left="0.7" right="0.7" top="0.75" bottom="0.75" header="0.3" footer="0.3"/>
  <x:drawing xmlns:r="http://schemas.openxmlformats.org/officeDocument/2006/relationships" r:id="R9d6b6ca221614a08"/>
</x:worksheet>
</file>

<file path=xl/worksheets/sheet3.xml><?xml version="1.0" encoding="utf-8"?>
<x:worksheet xmlns:x="http://schemas.openxmlformats.org/spreadsheetml/2006/main">
  <x:sheetPr>
    <x:tabColor rgb="FF20263D"/>
  </x:sheetPr>
  <x:sheetViews>
    <x:sheetView showGridLines="0" workbookViewId="0"/>
  </x:sheetViews>
  <x:sheetFormatPr defaultRowHeight="15"/>
  <x:cols>
    <x:col min="1" max="1" width="2.890000104904175" hidden="0" customWidth="1"/>
    <x:col min="2" max="2" width="18.440000534057617" hidden="0" customWidth="1"/>
    <x:col min="3" max="3" width="9.329999923706055" hidden="0" customWidth="1"/>
    <x:col min="4" max="4" width="9.329999923706055" hidden="0" customWidth="1"/>
    <x:col min="5" max="5" width="9.329999923706055" hidden="0" customWidth="1"/>
    <x:col min="6" max="6" width="9.329999923706055" hidden="0" customWidth="1"/>
    <x:col min="7" max="7" width="9.329999923706055" hidden="0" customWidth="1"/>
    <x:col min="8" max="8" width="9.329999923706055" hidden="0" customWidth="1"/>
    <x:col min="9" max="9" width="9.329999923706055" hidden="0" customWidth="1"/>
    <x:col min="10" max="10" width="9.329999923706055" hidden="0" customWidth="1"/>
    <x:col min="11" max="11" width="9.329999923706055" hidden="0" customWidth="1"/>
    <x:col min="12" max="12" width="9.329999923706055" hidden="0" customWidth="1"/>
    <x:col min="13" max="13" width="9.329999923706055" hidden="0" customWidth="1"/>
    <x:col min="14" max="14" width="9.329999923706055" hidden="0" customWidth="1"/>
    <x:col min="15" max="15" width="9.329999923706055" hidden="0" customWidth="1"/>
    <x:col min="16" max="16" width="2.890000104904175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4" customHeight="1">
      <x:c r="A2" s="3"/>
      <x:c r="B2" s="20" t="str">
        <x:v>02  /  GROWTH QUALITY</x:v>
      </x:c>
      <x:c r="C2" s="3"/>
      <x:c r="D2" s="3"/>
      <x:c r="E2" s="3"/>
      <x:c r="F2" s="3"/>
      <x:c r="G2" s="3"/>
      <x:c r="H2" s="3"/>
      <x:c r="I2" s="3"/>
      <x:c r="J2" s="3"/>
      <x:c r="K2" s="3"/>
      <x:c r="L2" s="20" t="str">
        <x:v>预测情景</x:v>
      </x:c>
      <x:c r="M2" s="3"/>
      <x:c r="N2" s="57" t="str">
        <x:f>'增长测算'!H6</x:f>
        <x:v>基准</x:v>
      </x:c>
      <x:c r="O2" s="57"/>
      <x:c r="P2" s="3"/>
    </x:row>
    <x:row r="3" ht="39" customHeight="1">
      <x:c r="A3" s="3"/>
      <x:c r="B3" s="21" t="str">
        <x:v>增长质量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24" customHeight="1">
      <x:c r="A4" s="3"/>
      <x:c r="B4" s="20" t="str">
        <x:v>澄云软件    2025 年    模拟经营数据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24" customHeight="1">
      <x:c r="A5" s="3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3"/>
    </x:row>
    <x:row r="6" ht="24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7" ht="24" customHeight="1">
      <x:c r="A7" s="3"/>
      <x:c r="B7" s="20" t="str">
        <x:v>全年新增客户（家）</x:v>
      </x:c>
      <x:c r="C7" s="3"/>
      <x:c r="D7" s="3"/>
      <x:c r="E7" s="20" t="str">
        <x:v>年末月度 NRR</x:v>
      </x:c>
      <x:c r="F7" s="3"/>
      <x:c r="G7" s="3"/>
      <x:c r="H7" s="3"/>
      <x:c r="I7" s="20" t="str">
        <x:v>全年获客成本（元 / 家）</x:v>
      </x:c>
      <x:c r="J7" s="3"/>
      <x:c r="K7" s="3"/>
      <x:c r="L7" s="20" t="str">
        <x:v>年末 CAC 回收（月）</x:v>
      </x:c>
      <x:c r="M7" s="3"/>
      <x:c r="N7" s="3"/>
      <x:c r="O7" s="3"/>
      <x:c r="P7" s="3"/>
    </x:row>
    <x:row r="8" ht="24" customHeight="1">
      <x:c r="A8" s="3"/>
      <x:c r="B8" s="43">
        <x:f>SUM(C70:N70)</x:f>
        <x:v>553</x:v>
      </x:c>
      <x:c r="C8" s="43"/>
      <x:c r="D8" s="43"/>
      <x:c r="E8" s="44">
        <x:f>N83</x:f>
        <x:v>1.00251538182575</x:v>
      </x:c>
      <x:c r="F8" s="44"/>
      <x:c r="G8" s="44"/>
      <x:c r="H8" s="3"/>
      <x:c r="I8" s="43">
        <x:f>SUM(C79:N79)/SUM(C70:N70)</x:f>
        <x:v>3370.18987341772</x:v>
      </x:c>
      <x:c r="J8" s="43"/>
      <x:c r="K8" s="43"/>
      <x:c r="L8" s="45">
        <x:f>N82</x:f>
        <x:v>1.98039902413425</x:v>
      </x:c>
      <x:c r="M8" s="45"/>
      <x:c r="N8" s="45"/>
      <x:c r="O8" s="45"/>
      <x:c r="P8" s="3"/>
    </x:row>
    <x:row r="9" ht="24" customHeight="1">
      <x:c r="A9" s="3"/>
      <x:c r="B9" s="43"/>
      <x:c r="C9" s="43"/>
      <x:c r="D9" s="43"/>
      <x:c r="E9" s="44"/>
      <x:c r="F9" s="44"/>
      <x:c r="G9" s="44"/>
      <x:c r="H9" s="3"/>
      <x:c r="I9" s="43"/>
      <x:c r="J9" s="43"/>
      <x:c r="K9" s="43"/>
      <x:c r="L9" s="45"/>
      <x:c r="M9" s="45"/>
      <x:c r="N9" s="45"/>
      <x:c r="O9" s="45"/>
      <x:c r="P9" s="3"/>
    </x:row>
    <x:row r="10" ht="24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</x:row>
    <x:row r="11" ht="24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 ht="24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 ht="24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</x:row>
    <x:row r="14" ht="24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</x:row>
    <x:row r="15" ht="24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 ht="24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 ht="24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 ht="24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 ht="24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 ht="24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 ht="24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 ht="24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 ht="24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 ht="24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 ht="24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 ht="24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 ht="24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 ht="24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 ht="24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 ht="24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</x:row>
    <x:row r="31" ht="24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</x:row>
    <x:row r="32" ht="24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</x:row>
    <x:row r="33" ht="24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 ht="24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 ht="24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 ht="24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 ht="24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 ht="24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 ht="24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 ht="24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 ht="24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 ht="24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 ht="24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 ht="24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 ht="24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 ht="24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 ht="24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 ht="24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 ht="24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 ht="24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 ht="24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 ht="24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 ht="24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 ht="24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 ht="24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 ht="24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 ht="24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 ht="28" customHeight="1">
      <x:c r="A58" s="3"/>
      <x:c r="B58" s="23" t="str">
        <x:v>月度经营计算（金额：千元）</x:v>
      </x:c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  <x:row r="59" ht="24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 ht="30" customHeight="1">
      <x:c r="A60" s="3"/>
      <x:c r="B60" s="13" t="str">
        <x:v>指标</x:v>
      </x:c>
      <x:c r="C60" s="13" t="str">
        <x:v>1月</x:v>
      </x:c>
      <x:c r="D60" s="13" t="str">
        <x:v>2月</x:v>
      </x:c>
      <x:c r="E60" s="13" t="str">
        <x:v>3月</x:v>
      </x:c>
      <x:c r="F60" s="13" t="str">
        <x:v>4月</x:v>
      </x:c>
      <x:c r="G60" s="13" t="str">
        <x:v>5月</x:v>
      </x:c>
      <x:c r="H60" s="13" t="str">
        <x:v>6月</x:v>
      </x:c>
      <x:c r="I60" s="13" t="str">
        <x:v>7月</x:v>
      </x:c>
      <x:c r="J60" s="13" t="str">
        <x:v>8月</x:v>
      </x:c>
      <x:c r="K60" s="13" t="str">
        <x:v>9月</x:v>
      </x:c>
      <x:c r="L60" s="13" t="str">
        <x:v>10月</x:v>
      </x:c>
      <x:c r="M60" s="13" t="str">
        <x:v>11月</x:v>
      </x:c>
      <x:c r="N60" s="13" t="str">
        <x:v>12月</x:v>
      </x:c>
      <x:c r="O60" s="3"/>
      <x:c r="P60" s="3"/>
    </x:row>
    <x:row r="61" ht="24" customHeight="1">
      <x:c r="A61" s="3"/>
      <x:c r="B61" s="24" t="str">
        <x:v>期初 MRR</x:v>
      </x:c>
      <x:c r="C61" s="32">
        <x:f>SUMIFS('月度经营数据'!$D$8:$D$43,'月度经营数据'!$B$8:$B$43,'月度经营数据'!B8)</x:f>
        <x:v>785400</x:v>
      </x:c>
      <x:c r="D61" s="32">
        <x:f>SUMIFS('月度经营数据'!$D$8:$D$43,'月度经营数据'!$B$8:$B$43,'月度经营数据'!B11)</x:f>
        <x:v>816528</x:v>
      </x:c>
      <x:c r="E61" s="32">
        <x:f>SUMIFS('月度经营数据'!$D$8:$D$43,'月度经营数据'!$B$8:$B$43,'月度经营数据'!B14)</x:f>
        <x:v>863342</x:v>
      </x:c>
      <x:c r="F61" s="32">
        <x:f>SUMIFS('月度经营数据'!$D$8:$D$43,'月度经营数据'!$B$8:$B$43,'月度经营数据'!B17)</x:f>
        <x:v>924840</x:v>
      </x:c>
      <x:c r="G61" s="32">
        <x:f>SUMIFS('月度经营数据'!$D$8:$D$43,'月度经营数据'!$B$8:$B$43,'月度经营数据'!B20)</x:f>
        <x:v>990368</x:v>
      </x:c>
      <x:c r="H61" s="32">
        <x:f>SUMIFS('月度经营数据'!$D$8:$D$43,'月度经营数据'!$B$8:$B$43,'月度经营数据'!B23)</x:f>
        <x:v>1059047</x:v>
      </x:c>
      <x:c r="I61" s="32">
        <x:f>SUMIFS('月度经营数据'!$D$8:$D$43,'月度经营数据'!$B$8:$B$43,'月度经营数据'!B26)</x:f>
        <x:v>1132561</x:v>
      </x:c>
      <x:c r="J61" s="32">
        <x:f>SUMIFS('月度经营数据'!$D$8:$D$43,'月度经营数据'!$B$8:$B$43,'月度经营数据'!B29)</x:f>
        <x:v>1200501</x:v>
      </x:c>
      <x:c r="K61" s="32">
        <x:f>SUMIFS('月度经营数据'!$D$8:$D$43,'月度经营数据'!$B$8:$B$43,'月度经营数据'!B32)</x:f>
        <x:v>1289806.5</x:v>
      </x:c>
      <x:c r="L61" s="32">
        <x:f>SUMIFS('月度经营数据'!$D$8:$D$43,'月度经营数据'!$B$8:$B$43,'月度经营数据'!B35)</x:f>
        <x:v>1386281.5</x:v>
      </x:c>
      <x:c r="M61" s="32">
        <x:f>SUMIFS('月度经营数据'!$D$8:$D$43,'月度经营数据'!$B$8:$B$43,'月度经营数据'!B38)</x:f>
        <x:v>1498751.5</x:v>
      </x:c>
      <x:c r="N61" s="32">
        <x:f>SUMIFS('月度经营数据'!$D$8:$D$43,'月度经营数据'!$B$8:$B$43,'月度经营数据'!B41)</x:f>
        <x:v>1617249.5</x:v>
      </x:c>
      <x:c r="O61" s="3"/>
      <x:c r="P61" s="3"/>
    </x:row>
    <x:row r="62" ht="24" customHeight="1">
      <x:c r="A62" s="3"/>
      <x:c r="B62" s="24" t="str">
        <x:v>新增 MRR</x:v>
      </x:c>
      <x:c r="C62" s="32">
        <x:f>SUMIFS('月度经营数据'!$E$8:$E$43,'月度经营数据'!$B$8:$B$43,'月度经营数据'!B8)</x:f>
        <x:v>48960</x:v>
      </x:c>
      <x:c r="D62" s="32">
        <x:f>SUMIFS('月度经营数据'!$E$8:$E$43,'月度经营数据'!$B$8:$B$43,'月度经营数据'!B11)</x:f>
        <x:v>48000</x:v>
      </x:c>
      <x:c r="E62" s="32">
        <x:f>SUMIFS('月度经营数据'!$E$8:$E$43,'月度经营数据'!$B$8:$B$43,'月度经营数据'!B14)</x:f>
        <x:v>62820</x:v>
      </x:c>
      <x:c r="F62" s="32">
        <x:f>SUMIFS('月度经营数据'!$E$8:$E$43,'月度经营数据'!$B$8:$B$43,'月度经营数据'!B17)</x:f>
        <x:v>65880</x:v>
      </x:c>
      <x:c r="G62" s="32">
        <x:f>SUMIFS('月度经营数据'!$E$8:$E$43,'月度经营数据'!$B$8:$B$43,'月度经营数据'!B20)</x:f>
        <x:v>68511</x:v>
      </x:c>
      <x:c r="H62" s="32">
        <x:f>SUMIFS('月度经营数据'!$E$8:$E$43,'月度经营数据'!$B$8:$B$43,'月度经营数据'!B23)</x:f>
        <x:v>73308</x:v>
      </x:c>
      <x:c r="I62" s="32">
        <x:f>SUMIFS('月度经营数据'!$E$8:$E$43,'月度经营数据'!$B$8:$B$43,'月度经营数据'!B26)</x:f>
        <x:v>85362</x:v>
      </x:c>
      <x:c r="J62" s="32">
        <x:f>SUMIFS('月度经营数据'!$E$8:$E$43,'月度经营数据'!$B$8:$B$43,'月度经营数据'!B29)</x:f>
        <x:v>88990.5</x:v>
      </x:c>
      <x:c r="K62" s="32">
        <x:f>SUMIFS('月度经营数据'!$E$8:$E$43,'月度经营数据'!$B$8:$B$43,'月度经营数据'!B32)</x:f>
        <x:v>92862</x:v>
      </x:c>
      <x:c r="L62" s="32">
        <x:f>SUMIFS('月度经营数据'!$E$8:$E$43,'月度经营数据'!$B$8:$B$43,'月度经营数据'!B35)</x:f>
        <x:v>107919</x:v>
      </x:c>
      <x:c r="M62" s="32">
        <x:f>SUMIFS('月度经营数据'!$E$8:$E$43,'月度经营数据'!$B$8:$B$43,'月度经营数据'!B38)</x:f>
        <x:v>113337</x:v>
      </x:c>
      <x:c r="N62" s="32">
        <x:f>SUMIFS('月度经营数据'!$E$8:$E$43,'月度经营数据'!$B$8:$B$43,'月度经营数据'!B41)</x:f>
        <x:v>128898</x:v>
      </x:c>
      <x:c r="O62" s="3"/>
      <x:c r="P62" s="3"/>
    </x:row>
    <x:row r="63" ht="24" customHeight="1">
      <x:c r="A63" s="3"/>
      <x:c r="B63" s="24" t="str">
        <x:v>扩展 MRR</x:v>
      </x:c>
      <x:c r="C63" s="32">
        <x:f>SUMIFS('月度经营数据'!$F$8:$F$43,'月度经营数据'!$B$8:$B$43,'月度经营数据'!B8)</x:f>
        <x:v>8612</x:v>
      </x:c>
      <x:c r="D63" s="32">
        <x:f>SUMIFS('月度经营数据'!$F$8:$F$43,'月度经营数据'!$B$8:$B$43,'月度经营数据'!B11)</x:f>
        <x:v>8952</x:v>
      </x:c>
      <x:c r="E63" s="32">
        <x:f>SUMIFS('月度经营数据'!$F$8:$F$43,'月度经营数据'!$B$8:$B$43,'月度经营数据'!B14)</x:f>
        <x:v>9471</x:v>
      </x:c>
      <x:c r="F63" s="32">
        <x:f>SUMIFS('月度经营数据'!$F$8:$F$43,'月度经营数据'!$B$8:$B$43,'月度经营数据'!B17)</x:f>
        <x:v>10159</x:v>
      </x:c>
      <x:c r="G63" s="32">
        <x:f>SUMIFS('月度经营数据'!$F$8:$F$43,'月度经营数据'!$B$8:$B$43,'月度经营数据'!B20)</x:f>
        <x:v>10888</x:v>
      </x:c>
      <x:c r="H63" s="32">
        <x:f>SUMIFS('月度经营数据'!$F$8:$F$43,'月度经营数据'!$B$8:$B$43,'月度经营数据'!B23)</x:f>
        <x:v>11649</x:v>
      </x:c>
      <x:c r="I63" s="32">
        <x:f>SUMIFS('月度经营数据'!$F$8:$F$43,'月度经营数据'!$B$8:$B$43,'月度经营数据'!B26)</x:f>
        <x:v>12462</x:v>
      </x:c>
      <x:c r="J63" s="32">
        <x:f>SUMIFS('月度经营数据'!$F$8:$F$43,'月度经营数据'!$B$8:$B$43,'月度经营数据'!B29)</x:f>
        <x:v>13219</x:v>
      </x:c>
      <x:c r="K63" s="32">
        <x:f>SUMIFS('月度经营数据'!$F$8:$F$43,'月度经营数据'!$B$8:$B$43,'月度经营数据'!B32)</x:f>
        <x:v>16793</x:v>
      </x:c>
      <x:c r="L63" s="32">
        <x:f>SUMIFS('月度经营数据'!$F$8:$F$43,'月度经营数据'!$B$8:$B$43,'月度经营数据'!B35)</x:f>
        <x:v>18058</x:v>
      </x:c>
      <x:c r="M63" s="32">
        <x:f>SUMIFS('月度经营数据'!$F$8:$F$43,'月度经营数据'!$B$8:$B$43,'月度经营数据'!B38)</x:f>
        <x:v>19540</x:v>
      </x:c>
      <x:c r="N63" s="32">
        <x:f>SUMIFS('月度经营数据'!$F$8:$F$43,'月度经营数据'!$B$8:$B$43,'月度经营数据'!B41)</x:f>
        <x:v>21096</x:v>
      </x:c>
      <x:c r="O63" s="3"/>
      <x:c r="P63" s="3"/>
    </x:row>
    <x:row r="64" ht="24" customHeight="1">
      <x:c r="A64" s="3"/>
      <x:c r="B64" s="24" t="str">
        <x:v>流失 MRR</x:v>
      </x:c>
      <x:c r="C64" s="32">
        <x:f>SUMIFS('月度经营数据'!$G$8:$G$43,'月度经营数据'!$B$8:$B$43,'月度经营数据'!B8)</x:f>
        <x:v>24480</x:v>
      </x:c>
      <x:c r="D64" s="32">
        <x:f>SUMIFS('月度经营数据'!$G$8:$G$43,'月度经营数据'!$B$8:$B$43,'月度经营数据'!B11)</x:f>
        <x:v>8097</x:v>
      </x:c>
      <x:c r="E64" s="32">
        <x:f>SUMIFS('月度经营数据'!$G$8:$G$43,'月度经营数据'!$B$8:$B$43,'月度经营数据'!B14)</x:f>
        <x:v>8635</x:v>
      </x:c>
      <x:c r="F64" s="32">
        <x:f>SUMIFS('月度经营数据'!$G$8:$G$43,'月度经营数据'!$B$8:$B$43,'月度经营数据'!B17)</x:f>
        <x:v>8199</x:v>
      </x:c>
      <x:c r="G64" s="32">
        <x:f>SUMIFS('月度经营数据'!$G$8:$G$43,'月度经营数据'!$B$8:$B$43,'月度经营数据'!B20)</x:f>
        <x:v>8244</x:v>
      </x:c>
      <x:c r="H64" s="32">
        <x:f>SUMIFS('月度经营数据'!$G$8:$G$43,'月度经营数据'!$B$8:$B$43,'月度经营数据'!B23)</x:f>
        <x:v>8795</x:v>
      </x:c>
      <x:c r="I64" s="32">
        <x:f>SUMIFS('月度经营数据'!$G$8:$G$43,'月度经营数据'!$B$8:$B$43,'月度经营数据'!B26)</x:f>
        <x:v>27053</x:v>
      </x:c>
      <x:c r="J64" s="32">
        <x:f>SUMIFS('月度经营数据'!$G$8:$G$43,'月度经营数据'!$B$8:$B$43,'月度经营数据'!B29)</x:f>
        <x:v>9903</x:v>
      </x:c>
      <x:c r="K64" s="32">
        <x:f>SUMIFS('月度经营数据'!$G$8:$G$43,'月度经营数据'!$B$8:$B$43,'月度经营数据'!B32)</x:f>
        <x:v>9956</x:v>
      </x:c>
      <x:c r="L64" s="32">
        <x:f>SUMIFS('月度经营数据'!$G$8:$G$43,'月度经营数据'!$B$8:$B$43,'月度经营数据'!B35)</x:f>
        <x:v>10042</x:v>
      </x:c>
      <x:c r="M64" s="32">
        <x:f>SUMIFS('月度经营数据'!$G$8:$G$43,'月度经营数据'!$B$8:$B$43,'月度经营数据'!B38)</x:f>
        <x:v>10632</x:v>
      </x:c>
      <x:c r="N64" s="32">
        <x:f>SUMIFS('月度经营数据'!$G$8:$G$43,'月度经营数据'!$B$8:$B$43,'月度经营数据'!B41)</x:f>
        <x:v>12985</x:v>
      </x:c>
      <x:c r="O64" s="3"/>
      <x:c r="P64" s="3"/>
    </x:row>
    <x:row r="65" ht="24" customHeight="1">
      <x:c r="A65" s="3"/>
      <x:c r="B65" s="24" t="str">
        <x:v>降配 MRR</x:v>
      </x:c>
      <x:c r="C65" s="32">
        <x:f>SUMIFS('月度经营数据'!$H$8:$H$43,'月度经营数据'!$B$8:$B$43,'月度经营数据'!B8)</x:f>
        <x:v>1964</x:v>
      </x:c>
      <x:c r="D65" s="32">
        <x:f>SUMIFS('月度经营数据'!$H$8:$H$43,'月度经营数据'!$B$8:$B$43,'月度经营数据'!B11)</x:f>
        <x:v>2041</x:v>
      </x:c>
      <x:c r="E65" s="32">
        <x:f>SUMIFS('月度经营数据'!$H$8:$H$43,'月度经营数据'!$B$8:$B$43,'月度经营数据'!B14)</x:f>
        <x:v>2158</x:v>
      </x:c>
      <x:c r="F65" s="32">
        <x:f>SUMIFS('月度经营数据'!$H$8:$H$43,'月度经营数据'!$B$8:$B$43,'月度经营数据'!B17)</x:f>
        <x:v>2312</x:v>
      </x:c>
      <x:c r="G65" s="32">
        <x:f>SUMIFS('月度经营数据'!$H$8:$H$43,'月度经营数据'!$B$8:$B$43,'月度经营数据'!B20)</x:f>
        <x:v>2476</x:v>
      </x:c>
      <x:c r="H65" s="32">
        <x:f>SUMIFS('月度经营数据'!$H$8:$H$43,'月度经营数据'!$B$8:$B$43,'月度经营数据'!B23)</x:f>
        <x:v>2648</x:v>
      </x:c>
      <x:c r="I65" s="32">
        <x:f>SUMIFS('月度经营数据'!$H$8:$H$43,'月度经营数据'!$B$8:$B$43,'月度经营数据'!B26)</x:f>
        <x:v>2831</x:v>
      </x:c>
      <x:c r="J65" s="32">
        <x:f>SUMIFS('月度经营数据'!$H$8:$H$43,'月度经营数据'!$B$8:$B$43,'月度经营数据'!B29)</x:f>
        <x:v>3001</x:v>
      </x:c>
      <x:c r="K65" s="32">
        <x:f>SUMIFS('月度经营数据'!$H$8:$H$43,'月度经营数据'!$B$8:$B$43,'月度经营数据'!B32)</x:f>
        <x:v>3224</x:v>
      </x:c>
      <x:c r="L65" s="32">
        <x:f>SUMIFS('月度经营数据'!$H$8:$H$43,'月度经营数据'!$B$8:$B$43,'月度经营数据'!B35)</x:f>
        <x:v>3465</x:v>
      </x:c>
      <x:c r="M65" s="32">
        <x:f>SUMIFS('月度经营数据'!$H$8:$H$43,'月度经营数据'!$B$8:$B$43,'月度经营数据'!B38)</x:f>
        <x:v>3747</x:v>
      </x:c>
      <x:c r="N65" s="32">
        <x:f>SUMIFS('月度经营数据'!$H$8:$H$43,'月度经营数据'!$B$8:$B$43,'月度经营数据'!B41)</x:f>
        <x:v>4043</x:v>
      </x:c>
      <x:c r="O65" s="3"/>
      <x:c r="P65" s="3"/>
    </x:row>
    <x:row r="66" ht="24" customHeight="1">
      <x:c r="A66" s="3"/>
      <x:c r="B66" s="35" t="str">
        <x:v>期末 MRR</x:v>
      </x:c>
      <x:c r="C66" s="36">
        <x:f>C61+C62+C63-C64-C65</x:f>
        <x:v>816528</x:v>
      </x:c>
      <x:c r="D66" s="36">
        <x:f>D61+D62+D63-D64-D65</x:f>
        <x:v>863342</x:v>
      </x:c>
      <x:c r="E66" s="36">
        <x:f>E61+E62+E63-E64-E65</x:f>
        <x:v>924840</x:v>
      </x:c>
      <x:c r="F66" s="36">
        <x:f>F61+F62+F63-F64-F65</x:f>
        <x:v>990368</x:v>
      </x:c>
      <x:c r="G66" s="36">
        <x:f>G61+G62+G63-G64-G65</x:f>
        <x:v>1059047</x:v>
      </x:c>
      <x:c r="H66" s="36">
        <x:f>H61+H62+H63-H64-H65</x:f>
        <x:v>1132561</x:v>
      </x:c>
      <x:c r="I66" s="36">
        <x:f>I61+I62+I63-I64-I65</x:f>
        <x:v>1200501</x:v>
      </x:c>
      <x:c r="J66" s="36">
        <x:f>J61+J62+J63-J64-J65</x:f>
        <x:v>1289806.5</x:v>
      </x:c>
      <x:c r="K66" s="36">
        <x:f>K61+K62+K63-K64-K65</x:f>
        <x:v>1386281.5</x:v>
      </x:c>
      <x:c r="L66" s="36">
        <x:f>L61+L62+L63-L64-L65</x:f>
        <x:v>1498751.5</x:v>
      </x:c>
      <x:c r="M66" s="36">
        <x:f>M61+M62+M63-M64-M65</x:f>
        <x:v>1617249.5</x:v>
      </x:c>
      <x:c r="N66" s="36">
        <x:f>N61+N62+N63-N64-N65</x:f>
        <x:v>1750215.5</x:v>
      </x:c>
      <x:c r="O66" s="3"/>
      <x:c r="P66" s="3"/>
    </x:row>
    <x:row r="67" ht="24" customHeight="1">
      <x:c r="A67" s="3"/>
      <x:c r="B67" s="28" t="str">
        <x:v>MRR 环比增长</x:v>
      </x:c>
      <x:c r="C67" s="29">
        <x:f>C66/C61-1</x:f>
        <x:v>0.039633307868602</x:v>
      </x:c>
      <x:c r="D67" s="29">
        <x:f>D66/D61-1</x:f>
        <x:v>0.0573330002155468</x:v>
      </x:c>
      <x:c r="E67" s="29">
        <x:f>E66/E61-1</x:f>
        <x:v>0.0712324895580199</x:v>
      </x:c>
      <x:c r="F67" s="29">
        <x:f>F66/F61-1</x:f>
        <x:v>0.0708533367933912</x:v>
      </x:c>
      <x:c r="G67" s="29">
        <x:f>G66/G61-1</x:f>
        <x:v>0.0693469498206727</x:v>
      </x:c>
      <x:c r="H67" s="29">
        <x:f>H66/H61-1</x:f>
        <x:v>0.0694152384171807</x:v>
      </x:c>
      <x:c r="I67" s="29">
        <x:f>I66/I61-1</x:f>
        <x:v>0.0599879388394975</x:v>
      </x:c>
      <x:c r="J67" s="29">
        <x:f>J66/J61-1</x:f>
        <x:v>0.0743901920948005</x:v>
      </x:c>
      <x:c r="K67" s="29">
        <x:f>K66/K61-1</x:f>
        <x:v>0.074798041411638</x:v>
      </x:c>
      <x:c r="L67" s="29">
        <x:f>L66/L61-1</x:f>
        <x:v>0.0811307083013082</x:v>
      </x:c>
      <x:c r="M67" s="29">
        <x:f>M66/M61-1</x:f>
        <x:v>0.0790644746644122</x:v>
      </x:c>
      <x:c r="N67" s="29">
        <x:f>N66/N61-1</x:f>
        <x:v>0.0822173696761075</x:v>
      </x:c>
      <x:c r="O67" s="3"/>
      <x:c r="P67" s="3"/>
    </x:row>
    <x:row r="68" ht="24" customHeight="1">
      <x:c r="A68" s="3"/>
      <x:c r="B68" s="3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3"/>
      <x:c r="P68" s="3"/>
    </x:row>
    <x:row r="69" ht="24" customHeight="1">
      <x:c r="A69" s="3"/>
      <x:c r="B69" s="24" t="str">
        <x:v>期初客户</x:v>
      </x:c>
      <x:c r="C69" s="26">
        <x:f>SUMIFS('月度经营数据'!$I$8:$I$43,'月度经营数据'!$B$8:$B$43,'月度经营数据'!B8)</x:f>
        <x:v>445</x:v>
      </x:c>
      <x:c r="D69" s="26">
        <x:f>SUMIFS('月度经营数据'!$I$8:$I$43,'月度经营数据'!$B$8:$B$43,'月度经营数据'!B11)</x:f>
        <x:v>461</x:v>
      </x:c>
      <x:c r="E69" s="26">
        <x:f>SUMIFS('月度经营数据'!$I$8:$I$43,'月度经营数据'!$B$8:$B$43,'月度经营数据'!B14)</x:f>
        <x:v>481</x:v>
      </x:c>
      <x:c r="F69" s="26">
        <x:f>SUMIFS('月度经营数据'!$I$8:$I$43,'月度经营数据'!$B$8:$B$43,'月度经营数据'!B17)</x:f>
        <x:v>506</x:v>
      </x:c>
      <x:c r="G69" s="26">
        <x:f>SUMIFS('月度经营数据'!$I$8:$I$43,'月度经营数据'!$B$8:$B$43,'月度经营数据'!B20)</x:f>
        <x:v>535</x:v>
      </x:c>
      <x:c r="H69" s="26">
        <x:f>SUMIFS('月度经营数据'!$I$8:$I$43,'月度经营数据'!$B$8:$B$43,'月度经营数据'!B23)</x:f>
        <x:v>566</x:v>
      </x:c>
      <x:c r="I69" s="26">
        <x:f>SUMIFS('月度经营数据'!$I$8:$I$43,'月度经营数据'!$B$8:$B$43,'月度经营数据'!B26)</x:f>
        <x:v>599</x:v>
      </x:c>
      <x:c r="J69" s="26">
        <x:f>SUMIFS('月度经营数据'!$I$8:$I$43,'月度经营数据'!$B$8:$B$43,'月度经营数据'!B29)</x:f>
        <x:v>627</x:v>
      </x:c>
      <x:c r="K69" s="26">
        <x:f>SUMIFS('月度经营数据'!$I$8:$I$43,'月度经营数据'!$B$8:$B$43,'月度经营数据'!B32)</x:f>
        <x:v>665</x:v>
      </x:c>
      <x:c r="L69" s="26">
        <x:f>SUMIFS('月度经营数据'!$I$8:$I$43,'月度经营数据'!$B$8:$B$43,'月度经营数据'!B35)</x:f>
        <x:v>703</x:v>
      </x:c>
      <x:c r="M69" s="26">
        <x:f>SUMIFS('月度经营数据'!$I$8:$I$43,'月度经营数据'!$B$8:$B$43,'月度经营数据'!B38)</x:f>
        <x:v>746</x:v>
      </x:c>
      <x:c r="N69" s="26">
        <x:f>SUMIFS('月度经营数据'!$I$8:$I$43,'月度经营数据'!$B$8:$B$43,'月度经营数据'!B41)</x:f>
        <x:v>792</x:v>
      </x:c>
      <x:c r="O69" s="3"/>
      <x:c r="P69" s="3"/>
    </x:row>
    <x:row r="70" ht="24" customHeight="1">
      <x:c r="A70" s="3"/>
      <x:c r="B70" s="24" t="str">
        <x:v>新增客户</x:v>
      </x:c>
      <x:c r="C70" s="26">
        <x:f>SUMIFS('月度经营数据'!$J$8:$J$43,'月度经营数据'!$B$8:$B$43,'月度经营数据'!B8)</x:f>
        <x:v>32</x:v>
      </x:c>
      <x:c r="D70" s="26">
        <x:f>SUMIFS('月度经营数据'!$J$8:$J$43,'月度经营数据'!$B$8:$B$43,'月度经营数据'!B11)</x:f>
        <x:v>30</x:v>
      </x:c>
      <x:c r="E70" s="26">
        <x:f>SUMIFS('月度经营数据'!$J$8:$J$43,'月度经营数据'!$B$8:$B$43,'月度经营数据'!B14)</x:f>
        <x:v>36</x:v>
      </x:c>
      <x:c r="F70" s="26">
        <x:f>SUMIFS('月度经营数据'!$J$8:$J$43,'月度经营数据'!$B$8:$B$43,'月度经营数据'!B17)</x:f>
        <x:v>39</x:v>
      </x:c>
      <x:c r="G70" s="26">
        <x:f>SUMIFS('月度经营数据'!$J$8:$J$43,'月度经营数据'!$B$8:$B$43,'月度经营数据'!B20)</x:f>
        <x:v>41</x:v>
      </x:c>
      <x:c r="H70" s="26">
        <x:f>SUMIFS('月度经营数据'!$J$8:$J$43,'月度经营数据'!$B$8:$B$43,'月度经营数据'!B23)</x:f>
        <x:v>44</x:v>
      </x:c>
      <x:c r="I70" s="26">
        <x:f>SUMIFS('月度经营数据'!$J$8:$J$43,'月度经营数据'!$B$8:$B$43,'月度经营数据'!B26)</x:f>
        <x:v>47</x:v>
      </x:c>
      <x:c r="J70" s="26">
        <x:f>SUMIFS('月度经营数据'!$J$8:$J$43,'月度经营数据'!$B$8:$B$43,'月度经营数据'!B29)</x:f>
        <x:v>51</x:v>
      </x:c>
      <x:c r="K70" s="26">
        <x:f>SUMIFS('月度经营数据'!$J$8:$J$43,'月度经营数据'!$B$8:$B$43,'月度经营数据'!B32)</x:f>
        <x:v>51</x:v>
      </x:c>
      <x:c r="L70" s="26">
        <x:f>SUMIFS('月度经营数据'!$J$8:$J$43,'月度经营数据'!$B$8:$B$43,'月度经营数据'!B35)</x:f>
        <x:v>56</x:v>
      </x:c>
      <x:c r="M70" s="26">
        <x:f>SUMIFS('月度经营数据'!$J$8:$J$43,'月度经营数据'!$B$8:$B$43,'月度经营数据'!B38)</x:f>
        <x:v>60</x:v>
      </x:c>
      <x:c r="N70" s="26">
        <x:f>SUMIFS('月度经营数据'!$J$8:$J$43,'月度经营数据'!$B$8:$B$43,'月度经营数据'!B41)</x:f>
        <x:v>66</x:v>
      </x:c>
      <x:c r="O70" s="3"/>
      <x:c r="P70" s="3"/>
    </x:row>
    <x:row r="71" ht="24" customHeight="1">
      <x:c r="A71" s="3"/>
      <x:c r="B71" s="24" t="str">
        <x:v>流失客户</x:v>
      </x:c>
      <x:c r="C71" s="26">
        <x:f>SUMIFS('月度经营数据'!$K$8:$K$43,'月度经营数据'!$B$8:$B$43,'月度经营数据'!B8)</x:f>
        <x:v>16</x:v>
      </x:c>
      <x:c r="D71" s="26">
        <x:f>SUMIFS('月度经营数据'!$K$8:$K$43,'月度经营数据'!$B$8:$B$43,'月度经营数据'!B11)</x:f>
        <x:v>10</x:v>
      </x:c>
      <x:c r="E71" s="26">
        <x:f>SUMIFS('月度经营数据'!$K$8:$K$43,'月度经营数据'!$B$8:$B$43,'月度经营数据'!B14)</x:f>
        <x:v>11</x:v>
      </x:c>
      <x:c r="F71" s="26">
        <x:f>SUMIFS('月度经营数据'!$K$8:$K$43,'月度经营数据'!$B$8:$B$43,'月度经营数据'!B17)</x:f>
        <x:v>10</x:v>
      </x:c>
      <x:c r="G71" s="26">
        <x:f>SUMIFS('月度经营数据'!$K$8:$K$43,'月度经营数据'!$B$8:$B$43,'月度经营数据'!B20)</x:f>
        <x:v>10</x:v>
      </x:c>
      <x:c r="H71" s="26">
        <x:f>SUMIFS('月度经营数据'!$K$8:$K$43,'月度经营数据'!$B$8:$B$43,'月度经营数据'!B23)</x:f>
        <x:v>11</x:v>
      </x:c>
      <x:c r="I71" s="26">
        <x:f>SUMIFS('月度经营数据'!$K$8:$K$43,'月度经营数据'!$B$8:$B$43,'月度经营数据'!B26)</x:f>
        <x:v>19</x:v>
      </x:c>
      <x:c r="J71" s="26">
        <x:f>SUMIFS('月度经营数据'!$K$8:$K$43,'月度经营数据'!$B$8:$B$43,'月度经营数据'!B29)</x:f>
        <x:v>13</x:v>
      </x:c>
      <x:c r="K71" s="26">
        <x:f>SUMIFS('月度经营数据'!$K$8:$K$43,'月度经营数据'!$B$8:$B$43,'月度经营数据'!B32)</x:f>
        <x:v>13</x:v>
      </x:c>
      <x:c r="L71" s="26">
        <x:f>SUMIFS('月度经营数据'!$K$8:$K$43,'月度经营数据'!$B$8:$B$43,'月度经营数据'!B35)</x:f>
        <x:v>13</x:v>
      </x:c>
      <x:c r="M71" s="26">
        <x:f>SUMIFS('月度经营数据'!$K$8:$K$43,'月度经营数据'!$B$8:$B$43,'月度经营数据'!B38)</x:f>
        <x:v>14</x:v>
      </x:c>
      <x:c r="N71" s="26">
        <x:f>SUMIFS('月度经营数据'!$K$8:$K$43,'月度经营数据'!$B$8:$B$43,'月度经营数据'!B41)</x:f>
        <x:v>15</x:v>
      </x:c>
      <x:c r="O71" s="3"/>
      <x:c r="P71" s="3"/>
    </x:row>
    <x:row r="72" ht="24" customHeight="1">
      <x:c r="A72" s="3"/>
      <x:c r="B72" s="35" t="str">
        <x:v>期末客户</x:v>
      </x:c>
      <x:c r="C72" s="38">
        <x:f>C69+C70-C71</x:f>
        <x:v>461</x:v>
      </x:c>
      <x:c r="D72" s="38">
        <x:f>D69+D70-D71</x:f>
        <x:v>481</x:v>
      </x:c>
      <x:c r="E72" s="38">
        <x:f>E69+E70-E71</x:f>
        <x:v>506</x:v>
      </x:c>
      <x:c r="F72" s="38">
        <x:f>F69+F70-F71</x:f>
        <x:v>535</x:v>
      </x:c>
      <x:c r="G72" s="38">
        <x:f>G69+G70-G71</x:f>
        <x:v>566</x:v>
      </x:c>
      <x:c r="H72" s="38">
        <x:f>H69+H70-H71</x:f>
        <x:v>599</x:v>
      </x:c>
      <x:c r="I72" s="38">
        <x:f>I69+I70-I71</x:f>
        <x:v>627</x:v>
      </x:c>
      <x:c r="J72" s="38">
        <x:f>J69+J70-J71</x:f>
        <x:v>665</x:v>
      </x:c>
      <x:c r="K72" s="38">
        <x:f>K69+K70-K71</x:f>
        <x:v>703</x:v>
      </x:c>
      <x:c r="L72" s="38">
        <x:f>L69+L70-L71</x:f>
        <x:v>746</x:v>
      </x:c>
      <x:c r="M72" s="38">
        <x:f>M69+M70-M71</x:f>
        <x:v>792</x:v>
      </x:c>
      <x:c r="N72" s="38">
        <x:f>N69+N70-N71</x:f>
        <x:v>843</x:v>
      </x:c>
      <x:c r="O72" s="3"/>
      <x:c r="P72" s="3"/>
    </x:row>
    <x:row r="73" ht="24" customHeight="1">
      <x:c r="A73" s="3"/>
      <x:c r="B73" s="3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3"/>
      <x:c r="P73" s="3"/>
    </x:row>
    <x:row r="74" ht="24" customHeight="1">
      <x:c r="A74" s="3"/>
      <x:c r="B74" s="35" t="str">
        <x:v>订阅收入</x:v>
      </x:c>
      <x:c r="C74" s="36">
        <x:f>(C61+C66)/2</x:f>
        <x:v>800964</x:v>
      </x:c>
      <x:c r="D74" s="36">
        <x:f>(D61+D66)/2</x:f>
        <x:v>839935</x:v>
      </x:c>
      <x:c r="E74" s="36">
        <x:f>(E61+E66)/2</x:f>
        <x:v>894091</x:v>
      </x:c>
      <x:c r="F74" s="36">
        <x:f>(F61+F66)/2</x:f>
        <x:v>957604</x:v>
      </x:c>
      <x:c r="G74" s="36">
        <x:f>(G61+G66)/2</x:f>
        <x:v>1024707.5</x:v>
      </x:c>
      <x:c r="H74" s="36">
        <x:f>(H61+H66)/2</x:f>
        <x:v>1095804</x:v>
      </x:c>
      <x:c r="I74" s="36">
        <x:f>(I61+I66)/2</x:f>
        <x:v>1166531</x:v>
      </x:c>
      <x:c r="J74" s="36">
        <x:f>(J61+J66)/2</x:f>
        <x:v>1245153.75</x:v>
      </x:c>
      <x:c r="K74" s="36">
        <x:f>(K61+K66)/2</x:f>
        <x:v>1338044</x:v>
      </x:c>
      <x:c r="L74" s="36">
        <x:f>(L61+L66)/2</x:f>
        <x:v>1442516.5</x:v>
      </x:c>
      <x:c r="M74" s="36">
        <x:f>(M61+M66)/2</x:f>
        <x:v>1558000.5</x:v>
      </x:c>
      <x:c r="N74" s="36">
        <x:f>(N61+N66)/2</x:f>
        <x:v>1683732.5</x:v>
      </x:c>
      <x:c r="O74" s="3"/>
      <x:c r="P74" s="3"/>
    </x:row>
    <x:row r="75" ht="24" customHeight="1">
      <x:c r="A75" s="3"/>
      <x:c r="B75" s="24" t="str">
        <x:v>直接成本</x:v>
      </x:c>
      <x:c r="C75" s="32">
        <x:f>SUMIFS('月度经营数据'!$L$8:$L$43,'月度经营数据'!$B$8:$B$43,'月度经营数据'!B8)</x:f>
        <x:v>165346</x:v>
      </x:c>
      <x:c r="D75" s="32">
        <x:f>SUMIFS('月度经营数据'!$L$8:$L$43,'月度经营数据'!$B$8:$B$43,'月度经营数据'!B11)</x:f>
        <x:v>171685</x:v>
      </x:c>
      <x:c r="E75" s="32">
        <x:f>SUMIFS('月度经营数据'!$L$8:$L$43,'月度经营数据'!$B$8:$B$43,'月度经营数据'!B14)</x:f>
        <x:v>180848</x:v>
      </x:c>
      <x:c r="F75" s="32">
        <x:f>SUMIFS('月度经营数据'!$L$8:$L$43,'月度经营数据'!$B$8:$B$43,'月度经营数据'!B17)</x:f>
        <x:v>191645</x:v>
      </x:c>
      <x:c r="G75" s="32">
        <x:f>SUMIFS('月度经营数据'!$L$8:$L$43,'月度经营数据'!$B$8:$B$43,'月度经营数据'!B20)</x:f>
        <x:v>202931</x:v>
      </x:c>
      <x:c r="H75" s="32">
        <x:f>SUMIFS('月度经营数据'!$L$8:$L$43,'月度经营数据'!$B$8:$B$43,'月度经营数据'!B23)</x:f>
        <x:v>214756</x:v>
      </x:c>
      <x:c r="I75" s="32">
        <x:f>SUMIFS('月度经营数据'!$L$8:$L$43,'月度经营数据'!$B$8:$B$43,'月度经营数据'!B26)</x:f>
        <x:v>226205</x:v>
      </x:c>
      <x:c r="J75" s="32">
        <x:f>SUMIFS('月度经营数据'!$L$8:$L$43,'月度经营数据'!$B$8:$B$43,'月度经营数据'!B29)</x:f>
        <x:v>238842</x:v>
      </x:c>
      <x:c r="K75" s="32">
        <x:f>SUMIFS('月度经营数据'!$L$8:$L$43,'月度经营数据'!$B$8:$B$43,'月度经营数据'!B32)</x:f>
        <x:v>253860</x:v>
      </x:c>
      <x:c r="L75" s="32">
        <x:f>SUMIFS('月度经营数据'!$L$8:$L$43,'月度经营数据'!$B$8:$B$43,'月度经营数据'!B35)</x:f>
        <x:v>270638</x:v>
      </x:c>
      <x:c r="M75" s="32">
        <x:f>SUMIFS('月度经营数据'!$L$8:$L$43,'月度经营数据'!$B$8:$B$43,'月度经营数据'!B38)</x:f>
        <x:v>289017</x:v>
      </x:c>
      <x:c r="N75" s="32">
        <x:f>SUMIFS('月度经营数据'!$L$8:$L$43,'月度经营数据'!$B$8:$B$43,'月度经营数据'!B41)</x:f>
        <x:v>308791</x:v>
      </x:c>
      <x:c r="O75" s="3"/>
      <x:c r="P75" s="3"/>
    </x:row>
    <x:row r="76" ht="24" customHeight="1">
      <x:c r="A76" s="3"/>
      <x:c r="B76" s="35" t="str">
        <x:v>毛利</x:v>
      </x:c>
      <x:c r="C76" s="36">
        <x:f>C74-C75</x:f>
        <x:v>635618</x:v>
      </x:c>
      <x:c r="D76" s="36">
        <x:f>D74-D75</x:f>
        <x:v>668250</x:v>
      </x:c>
      <x:c r="E76" s="36">
        <x:f>E74-E75</x:f>
        <x:v>713243</x:v>
      </x:c>
      <x:c r="F76" s="36">
        <x:f>F74-F75</x:f>
        <x:v>765959</x:v>
      </x:c>
      <x:c r="G76" s="36">
        <x:f>G74-G75</x:f>
        <x:v>821776.5</x:v>
      </x:c>
      <x:c r="H76" s="36">
        <x:f>H74-H75</x:f>
        <x:v>881048</x:v>
      </x:c>
      <x:c r="I76" s="36">
        <x:f>I74-I75</x:f>
        <x:v>940326</x:v>
      </x:c>
      <x:c r="J76" s="36">
        <x:f>J74-J75</x:f>
        <x:v>1006311.75</x:v>
      </x:c>
      <x:c r="K76" s="36">
        <x:f>K74-K75</x:f>
        <x:v>1084184</x:v>
      </x:c>
      <x:c r="L76" s="36">
        <x:f>L74-L75</x:f>
        <x:v>1171878.5</x:v>
      </x:c>
      <x:c r="M76" s="36">
        <x:f>M74-M75</x:f>
        <x:v>1268983.5</x:v>
      </x:c>
      <x:c r="N76" s="36">
        <x:f>N74-N75</x:f>
        <x:v>1374941.5</x:v>
      </x:c>
      <x:c r="O76" s="3"/>
      <x:c r="P76" s="3"/>
    </x:row>
    <x:row r="77" ht="24" customHeight="1">
      <x:c r="A77" s="3"/>
      <x:c r="B77" s="28" t="str">
        <x:v>毛利率</x:v>
      </x:c>
      <x:c r="C77" s="29">
        <x:f>C76/C74</x:f>
        <x:v>0.793566252665538</x:v>
      </x:c>
      <x:c r="D77" s="29">
        <x:f>D76/D74</x:f>
        <x:v>0.795597278360826</x:v>
      </x:c>
      <x:c r="E77" s="29">
        <x:f>E76/E74</x:f>
        <x:v>0.797729761288281</x:v>
      </x:c>
      <x:c r="F77" s="29">
        <x:f>F76/F74</x:f>
        <x:v>0.799870301293645</x:v>
      </x:c>
      <x:c r="G77" s="29">
        <x:f>G76/G74</x:f>
        <x:v>0.801962023309091</x:v>
      </x:c>
      <x:c r="H77" s="29">
        <x:f>H76/H74</x:f>
        <x:v>0.804019696953105</x:v>
      </x:c>
      <x:c r="I77" s="29">
        <x:f>I76/I74</x:f>
        <x:v>0.8060874507407</x:v>
      </x:c>
      <x:c r="J77" s="29">
        <x:f>J76/J74</x:f>
        <x:v>0.808182724422586</x:v>
      </x:c>
      <x:c r="K77" s="29">
        <x:f>K76/K74</x:f>
        <x:v>0.810275297374376</x:v>
      </x:c>
      <x:c r="L77" s="29">
        <x:f>L76/L74</x:f>
        <x:v>0.812384815009049</x:v>
      </x:c>
      <x:c r="M77" s="29">
        <x:f>M76/M74</x:f>
        <x:v>0.814494924744889</x:v>
      </x:c>
      <x:c r="N77" s="29">
        <x:f>N76/N74</x:f>
        <x:v>0.816603290605842</x:v>
      </x:c>
      <x:c r="O77" s="3"/>
      <x:c r="P77" s="3"/>
    </x:row>
    <x:row r="78" ht="24" customHeight="1">
      <x:c r="A78" s="3"/>
      <x:c r="B78" s="3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3"/>
      <x:c r="P78" s="3"/>
    </x:row>
    <x:row r="79" ht="24" customHeight="1">
      <x:c r="A79" s="3"/>
      <x:c r="B79" s="24" t="str">
        <x:v>销售营销费用</x:v>
      </x:c>
      <x:c r="C79" s="32">
        <x:f>SUMIFS('月度经营数据'!$M$8:$M$43,'月度经营数据'!$B$8:$B$43,'月度经营数据'!B8)</x:f>
        <x:v>106300</x:v>
      </x:c>
      <x:c r="D79" s="32">
        <x:f>SUMIFS('月度经营数据'!$M$8:$M$43,'月度经营数据'!$B$8:$B$43,'月度经营数据'!B11)</x:f>
        <x:v>102357</x:v>
      </x:c>
      <x:c r="E79" s="32">
        <x:f>SUMIFS('月度经营数据'!$M$8:$M$43,'月度经营数据'!$B$8:$B$43,'月度经营数据'!B14)</x:f>
        <x:v>128539</x:v>
      </x:c>
      <x:c r="F79" s="32">
        <x:f>SUMIFS('月度经营数据'!$M$8:$M$43,'月度经营数据'!$B$8:$B$43,'月度经营数据'!B17)</x:f>
        <x:v>134574</x:v>
      </x:c>
      <x:c r="G79" s="32">
        <x:f>SUMIFS('月度经营数据'!$M$8:$M$43,'月度经营数据'!$B$8:$B$43,'月度经营数据'!B20)</x:f>
        <x:v>135470</x:v>
      </x:c>
      <x:c r="H79" s="32">
        <x:f>SUMIFS('月度经营数据'!$M$8:$M$43,'月度经营数据'!$B$8:$B$43,'月度经营数据'!B23)</x:f>
        <x:v>144807</x:v>
      </x:c>
      <x:c r="I79" s="32">
        <x:f>SUMIFS('月度经营数据'!$M$8:$M$43,'月度经营数据'!$B$8:$B$43,'月度经营数据'!B26)</x:f>
        <x:v>161704</x:v>
      </x:c>
      <x:c r="J79" s="32">
        <x:f>SUMIFS('月度经营数据'!$M$8:$M$43,'月度经营数据'!$B$8:$B$43,'月度经营数据'!B29)</x:f>
        <x:v>168086</x:v>
      </x:c>
      <x:c r="K79" s="32">
        <x:f>SUMIFS('月度经营数据'!$M$8:$M$43,'月度经营数据'!$B$8:$B$43,'月度经营数据'!B32)</x:f>
        <x:v>169364</x:v>
      </x:c>
      <x:c r="L79" s="32">
        <x:f>SUMIFS('月度经营数据'!$M$8:$M$43,'月度经营数据'!$B$8:$B$43,'月度经营数据'!B35)</x:f>
        <x:v>190977</x:v>
      </x:c>
      <x:c r="M79" s="32">
        <x:f>SUMIFS('月度经营数据'!$M$8:$M$43,'月度经营数据'!$B$8:$B$43,'月度经营数据'!B38)</x:f>
        <x:v>199936</x:v>
      </x:c>
      <x:c r="N79" s="32">
        <x:f>SUMIFS('月度经营数据'!$M$8:$M$43,'月度经营数据'!$B$8:$B$43,'月度经营数据'!B41)</x:f>
        <x:v>221601</x:v>
      </x:c>
      <x:c r="O79" s="3"/>
      <x:c r="P79" s="3"/>
    </x:row>
    <x:row r="80" ht="24" customHeight="1">
      <x:c r="A80" s="3"/>
      <x:c r="B80" s="24" t="str">
        <x:v>CAC（元 / 家）</x:v>
      </x:c>
      <x:c r="C80" s="26">
        <x:f>IF(C70=0,NA(),C79/C70)</x:f>
        <x:v>3321.875</x:v>
      </x:c>
      <x:c r="D80" s="26">
        <x:f>IF(D70=0,NA(),D79/D70)</x:f>
        <x:v>3411.9</x:v>
      </x:c>
      <x:c r="E80" s="26">
        <x:f>IF(E70=0,NA(),E79/E70)</x:f>
        <x:v>3570.52777777778</x:v>
      </x:c>
      <x:c r="F80" s="26">
        <x:f>IF(F70=0,NA(),F79/F70)</x:f>
        <x:v>3450.61538461538</x:v>
      </x:c>
      <x:c r="G80" s="26">
        <x:f>IF(G70=0,NA(),G79/G70)</x:f>
        <x:v>3304.14634146341</x:v>
      </x:c>
      <x:c r="H80" s="26">
        <x:f>IF(H70=0,NA(),H79/H70)</x:f>
        <x:v>3291.06818181818</x:v>
      </x:c>
      <x:c r="I80" s="26">
        <x:f>IF(I70=0,NA(),I79/I70)</x:f>
        <x:v>3440.51063829787</x:v>
      </x:c>
      <x:c r="J80" s="26">
        <x:f>IF(J70=0,NA(),J79/J70)</x:f>
        <x:v>3295.80392156863</x:v>
      </x:c>
      <x:c r="K80" s="26">
        <x:f>IF(K70=0,NA(),K79/K70)</x:f>
        <x:v>3320.86274509804</x:v>
      </x:c>
      <x:c r="L80" s="26">
        <x:f>IF(L70=0,NA(),L79/L70)</x:f>
        <x:v>3410.30357142857</x:v>
      </x:c>
      <x:c r="M80" s="26">
        <x:f>IF(M70=0,NA(),M79/M70)</x:f>
        <x:v>3332.26666666667</x:v>
      </x:c>
      <x:c r="N80" s="26">
        <x:f>IF(N70=0,NA(),N79/N70)</x:f>
        <x:v>3357.59090909091</x:v>
      </x:c>
      <x:c r="O80" s="3"/>
      <x:c r="P80" s="3"/>
    </x:row>
    <x:row r="81" ht="24" customHeight="1">
      <x:c r="A81" s="3"/>
      <x:c r="B81" s="24" t="str">
        <x:v>ARPA（元 / 月）</x:v>
      </x:c>
      <x:c r="C81" s="26">
        <x:f>C66/C72</x:f>
        <x:v>1771.21041214751</x:v>
      </x:c>
      <x:c r="D81" s="26">
        <x:f>D66/D72</x:f>
        <x:v>1794.88981288981</x:v>
      </x:c>
      <x:c r="E81" s="26">
        <x:f>E66/E72</x:f>
        <x:v>1827.74703557312</x:v>
      </x:c>
      <x:c r="F81" s="26">
        <x:f>F66/F72</x:f>
        <x:v>1851.15514018692</x:v>
      </x:c>
      <x:c r="G81" s="26">
        <x:f>G66/G72</x:f>
        <x:v>1871.10777385159</x:v>
      </x:c>
      <x:c r="H81" s="26">
        <x:f>H66/H72</x:f>
        <x:v>1890.75292153589</x:v>
      </x:c>
      <x:c r="I81" s="26">
        <x:f>I66/I72</x:f>
        <x:v>1914.67464114833</x:v>
      </x:c>
      <x:c r="J81" s="26">
        <x:f>J66/J72</x:f>
        <x:v>1939.55864661654</x:v>
      </x:c>
      <x:c r="K81" s="26">
        <x:f>K66/K72</x:f>
        <x:v>1971.95092460882</x:v>
      </x:c>
      <x:c r="L81" s="26">
        <x:f>L66/L72</x:f>
        <x:v>2009.05026809651</x:v>
      </x:c>
      <x:c r="M81" s="26">
        <x:f>M66/M72</x:f>
        <x:v>2041.98169191919</x:v>
      </x:c>
      <x:c r="N81" s="26">
        <x:f>N66/N72</x:f>
        <x:v>2076.17497034401</x:v>
      </x:c>
      <x:c r="O81" s="3"/>
      <x:c r="P81" s="3"/>
    </x:row>
    <x:row r="82" ht="24" customHeight="1">
      <x:c r="A82" s="3"/>
      <x:c r="B82" s="24" t="str">
        <x:v>CAC 回收（月）</x:v>
      </x:c>
      <x:c r="C82" s="30">
        <x:f>C80/(C81*C77)</x:f>
        <x:v>2.36336031663821</x:v>
      </x:c>
      <x:c r="D82" s="30">
        <x:f>D80/(D81*D77)</x:f>
        <x:v>2.38926990278566</x:v>
      </x:c>
      <x:c r="E82" s="30">
        <x:f>E80/(E81*E77)</x:f>
        <x:v>2.44884069137533</x:v>
      </x:c>
      <x:c r="F82" s="30">
        <x:f>F80/(F81*F77)</x:f>
        <x:v>2.33041981857944</x:v>
      </x:c>
      <x:c r="G82" s="30">
        <x:f>G80/(G81*G77)</x:f>
        <x:v>2.2019460195162</x:v>
      </x:c>
      <x:c r="H82" s="30">
        <x:f>H80/(H81*H77)</x:f>
        <x:v>2.16488789147672</x:v>
      </x:c>
      <x:c r="I82" s="30">
        <x:f>I80/(I81*I77)</x:f>
        <x:v>2.22918319120428</x:v>
      </x:c>
      <x:c r="J82" s="30">
        <x:f>J80/(J81*J77)</x:f>
        <x:v>2.10256236967217</x:v>
      </x:c>
      <x:c r="K82" s="30">
        <x:f>K80/(K81*K77)</x:f>
        <x:v>2.07836693542353</x:v>
      </x:c>
      <x:c r="L82" s="30">
        <x:f>L80/(L81*L77)</x:f>
        <x:v>2.08949068566869</x:v>
      </x:c>
      <x:c r="M82" s="30">
        <x:f>M80/(M81*M77)</x:f>
        <x:v>2.00354694289</x:v>
      </x:c>
      <x:c r="N82" s="30">
        <x:f>N80/(N81*N77)</x:f>
        <x:v>1.98039902413425</x:v>
      </x:c>
      <x:c r="O82" s="3"/>
      <x:c r="P82" s="3"/>
    </x:row>
    <x:row r="83" ht="24" customHeight="1">
      <x:c r="A83" s="3"/>
      <x:c r="B83" s="28" t="str">
        <x:v>月度 NRR</x:v>
      </x:c>
      <x:c r="C83" s="29">
        <x:f>(C61+C63-C64-C65)/C61</x:f>
        <x:v>0.97729564553094</x:v>
      </x:c>
      <x:c r="D83" s="29">
        <x:f>(D61+D63-D64-D65)/D61</x:f>
        <x:v>0.998547508474908</x:v>
      </x:c>
      <x:c r="E83" s="29">
        <x:f>(E61+E63-E64-E65)/E61</x:f>
        <x:v>0.998468741240435</x:v>
      </x:c>
      <x:c r="F83" s="29">
        <x:f>(F61+F63-F64-F65)/F61</x:f>
        <x:v>0.999619393624843</x:v>
      </x:c>
      <x:c r="G83" s="29">
        <x:f>(G61+G63-G64-G65)/G61</x:f>
        <x:v>1.00016963391386</x:v>
      </x:c>
      <x:c r="H83" s="29">
        <x:f>(H61+H63-H64-H65)/H61</x:f>
        <x:v>1.00019451450219</x:v>
      </x:c>
      <x:c r="I83" s="29">
        <x:f>(I61+I63-I64-I65)/I61</x:f>
        <x:v>0.9846171641086</x:v>
      </x:c>
      <x:c r="J83" s="29">
        <x:f>(J61+J63-J64-J65)/J61</x:f>
        <x:v>1.00026239045199</x:v>
      </x:c>
      <x:c r="K83" s="29">
        <x:f>(K61+K63-K64-K65)/K61</x:f>
        <x:v>1.0028011953731</x:v>
      </x:c>
      <x:c r="L83" s="29">
        <x:f>(L61+L63-L64-L65)/L61</x:f>
        <x:v>1.00328288302195</x:v>
      </x:c>
      <x:c r="M83" s="29">
        <x:f>(M61+M63-M64-M65)/M61</x:f>
        <x:v>1.00344353283383</x:v>
      </x:c>
      <x:c r="N83" s="29">
        <x:f>(N61+N63-N64-N65)/N61</x:f>
        <x:v>1.00251538182575</x:v>
      </x:c>
      <x:c r="O83" s="3"/>
      <x:c r="P83" s="3"/>
    </x:row>
    <x:row r="84" ht="24" customHeight="1">
      <x:c r="A84" s="3"/>
      <x:c r="B84" s="28" t="str">
        <x:v>月度 GRR</x:v>
      </x:c>
      <x:c r="C84" s="29">
        <x:f>(C61-C64-C65)/C61</x:f>
        <x:v>0.966330532212885</x:v>
      </x:c>
      <x:c r="D84" s="29">
        <x:f>(D61-D64-D65)/D61</x:f>
        <x:v>0.987584014265279</x:v>
      </x:c>
      <x:c r="E84" s="29">
        <x:f>(E61-E64-E65)/E61</x:f>
        <x:v>0.987498581095325</x:v>
      </x:c>
      <x:c r="F84" s="29">
        <x:f>(F61-F64-F65)/F61</x:f>
        <x:v>0.988634790882747</x:v>
      </x:c>
      <x:c r="G84" s="29">
        <x:f>(G61-G64-G65)/G61</x:f>
        <x:v>0.989175740734757</x:v>
      </x:c>
      <x:c r="H84" s="29">
        <x:f>(H61-H64-H65)/H61</x:f>
        <x:v>0.989195002676935</x:v>
      </x:c>
      <x:c r="I84" s="29">
        <x:f>(I61-I64-I65)/I61</x:f>
        <x:v>0.97361378327525</x:v>
      </x:c>
      <x:c r="J84" s="29">
        <x:f>(J61-J64-J65)/J61</x:f>
        <x:v>0.989251154309742</x:v>
      </x:c>
      <x:c r="K84" s="29">
        <x:f>(K61-K64-K65)/K61</x:f>
        <x:v>0.989781412948376</x:v>
      </x:c>
      <x:c r="L84" s="29">
        <x:f>(L61-L64-L65)/L61</x:f>
        <x:v>0.990256668649189</x:v>
      </x:c>
      <x:c r="M84" s="29">
        <x:f>(M61-M64-M65)/M61</x:f>
        <x:v>0.990406014606157</x:v>
      </x:c>
      <x:c r="N84" s="29">
        <x:f>(N61-N64-N65)/N61</x:f>
        <x:v>0.98947101235771</x:v>
      </x:c>
      <x:c r="O84" s="3"/>
      <x:c r="P84" s="3"/>
    </x:row>
    <x:row r="85" ht="24" customHeight="1">
      <x:c r="A85" s="3"/>
      <x:c r="B85" s="24" t="str">
        <x:v>产品研发费用</x:v>
      </x:c>
      <x:c r="C85" s="32">
        <x:f>SUMIFS('月度经营数据'!$N$8:$N$43,'月度经营数据'!$B$8:$B$43,'月度经营数据'!B8)</x:f>
        <x:v>102000</x:v>
      </x:c>
      <x:c r="D85" s="32">
        <x:f>SUMIFS('月度经营数据'!$N$8:$N$43,'月度经营数据'!$B$8:$B$43,'月度经营数据'!B11)</x:f>
        <x:v>103500</x:v>
      </x:c>
      <x:c r="E85" s="32">
        <x:f>SUMIFS('月度经营数据'!$N$8:$N$43,'月度经营数据'!$B$8:$B$43,'月度经营数据'!B14)</x:f>
        <x:v>105000</x:v>
      </x:c>
      <x:c r="F85" s="32">
        <x:f>SUMIFS('月度经营数据'!$N$8:$N$43,'月度经营数据'!$B$8:$B$43,'月度经营数据'!B17)</x:f>
        <x:v>106500</x:v>
      </x:c>
      <x:c r="G85" s="32">
        <x:f>SUMIFS('月度经营数据'!$N$8:$N$43,'月度经营数据'!$B$8:$B$43,'月度经营数据'!B20)</x:f>
        <x:v>108000</x:v>
      </x:c>
      <x:c r="H85" s="32">
        <x:f>SUMIFS('月度经营数据'!$N$8:$N$43,'月度经营数据'!$B$8:$B$43,'月度经营数据'!B23)</x:f>
        <x:v>109500</x:v>
      </x:c>
      <x:c r="I85" s="32">
        <x:f>SUMIFS('月度经营数据'!$N$8:$N$43,'月度经营数据'!$B$8:$B$43,'月度经营数据'!B26)</x:f>
        <x:v>111000</x:v>
      </x:c>
      <x:c r="J85" s="32">
        <x:f>SUMIFS('月度经营数据'!$N$8:$N$43,'月度经营数据'!$B$8:$B$43,'月度经营数据'!B29)</x:f>
        <x:v>112500</x:v>
      </x:c>
      <x:c r="K85" s="32">
        <x:f>SUMIFS('月度经营数据'!$N$8:$N$43,'月度经营数据'!$B$8:$B$43,'月度经营数据'!B32)</x:f>
        <x:v>114000</x:v>
      </x:c>
      <x:c r="L85" s="32">
        <x:f>SUMIFS('月度经营数据'!$N$8:$N$43,'月度经营数据'!$B$8:$B$43,'月度经营数据'!B35)</x:f>
        <x:v>115500</x:v>
      </x:c>
      <x:c r="M85" s="32">
        <x:f>SUMIFS('月度经营数据'!$N$8:$N$43,'月度经营数据'!$B$8:$B$43,'月度经营数据'!B38)</x:f>
        <x:v>117000</x:v>
      </x:c>
      <x:c r="N85" s="32">
        <x:f>SUMIFS('月度经营数据'!$N$8:$N$43,'月度经营数据'!$B$8:$B$43,'月度经营数据'!B41)</x:f>
        <x:v>118500</x:v>
      </x:c>
      <x:c r="O85" s="3"/>
      <x:c r="P85" s="3"/>
    </x:row>
    <x:row r="86" ht="24" customHeight="1">
      <x:c r="A86" s="3"/>
      <x:c r="B86" s="24" t="str">
        <x:v>行政管理费用</x:v>
      </x:c>
      <x:c r="C86" s="32">
        <x:f>SUMIFS('月度经营数据'!$O$8:$O$43,'月度经营数据'!$B$8:$B$43,'月度经营数据'!B8)</x:f>
        <x:v>60000</x:v>
      </x:c>
      <x:c r="D86" s="32">
        <x:f>SUMIFS('月度经营数据'!$O$8:$O$43,'月度经营数据'!$B$8:$B$43,'月度经营数据'!B11)</x:f>
        <x:v>60600</x:v>
      </x:c>
      <x:c r="E86" s="32">
        <x:f>SUMIFS('月度经营数据'!$O$8:$O$43,'月度经营数据'!$B$8:$B$43,'月度经营数据'!B14)</x:f>
        <x:v>61200</x:v>
      </x:c>
      <x:c r="F86" s="32">
        <x:f>SUMIFS('月度经营数据'!$O$8:$O$43,'月度经营数据'!$B$8:$B$43,'月度经营数据'!B17)</x:f>
        <x:v>61800</x:v>
      </x:c>
      <x:c r="G86" s="32">
        <x:f>SUMIFS('月度经营数据'!$O$8:$O$43,'月度经营数据'!$B$8:$B$43,'月度经营数据'!B20)</x:f>
        <x:v>62400</x:v>
      </x:c>
      <x:c r="H86" s="32">
        <x:f>SUMIFS('月度经营数据'!$O$8:$O$43,'月度经营数据'!$B$8:$B$43,'月度经营数据'!B23)</x:f>
        <x:v>63000</x:v>
      </x:c>
      <x:c r="I86" s="32">
        <x:f>SUMIFS('月度经营数据'!$O$8:$O$43,'月度经营数据'!$B$8:$B$43,'月度经营数据'!B26)</x:f>
        <x:v>63600</x:v>
      </x:c>
      <x:c r="J86" s="32">
        <x:f>SUMIFS('月度经营数据'!$O$8:$O$43,'月度经营数据'!$B$8:$B$43,'月度经营数据'!B29)</x:f>
        <x:v>64200</x:v>
      </x:c>
      <x:c r="K86" s="32">
        <x:f>SUMIFS('月度经营数据'!$O$8:$O$43,'月度经营数据'!$B$8:$B$43,'月度经营数据'!B32)</x:f>
        <x:v>64800</x:v>
      </x:c>
      <x:c r="L86" s="32">
        <x:f>SUMIFS('月度经营数据'!$O$8:$O$43,'月度经营数据'!$B$8:$B$43,'月度经营数据'!B35)</x:f>
        <x:v>65400</x:v>
      </x:c>
      <x:c r="M86" s="32">
        <x:f>SUMIFS('月度经营数据'!$O$8:$O$43,'月度经营数据'!$B$8:$B$43,'月度经营数据'!B38)</x:f>
        <x:v>66000</x:v>
      </x:c>
      <x:c r="N86" s="32">
        <x:f>SUMIFS('月度经营数据'!$O$8:$O$43,'月度经营数据'!$B$8:$B$43,'月度经营数据'!B41)</x:f>
        <x:v>66600</x:v>
      </x:c>
      <x:c r="O86" s="3"/>
      <x:c r="P86" s="3"/>
    </x:row>
    <x:row r="87" ht="24" customHeight="1">
      <x:c r="A87" s="3"/>
      <x:c r="B87" s="35" t="str">
        <x:v>经营利润</x:v>
      </x:c>
      <x:c r="C87" s="36">
        <x:f>C76-C79-C85-C86</x:f>
        <x:v>367318</x:v>
      </x:c>
      <x:c r="D87" s="36">
        <x:f>D76-D79-D85-D86</x:f>
        <x:v>401793</x:v>
      </x:c>
      <x:c r="E87" s="36">
        <x:f>E76-E79-E85-E86</x:f>
        <x:v>418504</x:v>
      </x:c>
      <x:c r="F87" s="36">
        <x:f>F76-F79-F85-F86</x:f>
        <x:v>463085</x:v>
      </x:c>
      <x:c r="G87" s="36">
        <x:f>G76-G79-G85-G86</x:f>
        <x:v>515906.5</x:v>
      </x:c>
      <x:c r="H87" s="36">
        <x:f>H76-H79-H85-H86</x:f>
        <x:v>563741</x:v>
      </x:c>
      <x:c r="I87" s="36">
        <x:f>I76-I79-I85-I86</x:f>
        <x:v>604022</x:v>
      </x:c>
      <x:c r="J87" s="36">
        <x:f>J76-J79-J85-J86</x:f>
        <x:v>661525.75</x:v>
      </x:c>
      <x:c r="K87" s="36">
        <x:f>K76-K79-K85-K86</x:f>
        <x:v>736020</x:v>
      </x:c>
      <x:c r="L87" s="36">
        <x:f>L76-L79-L85-L86</x:f>
        <x:v>800001.5</x:v>
      </x:c>
      <x:c r="M87" s="36">
        <x:f>M76-M79-M85-M86</x:f>
        <x:v>886047.5</x:v>
      </x:c>
      <x:c r="N87" s="36">
        <x:f>N76-N79-N85-N86</x:f>
        <x:v>968240.5</x:v>
      </x:c>
      <x:c r="O87" s="3"/>
      <x:c r="P87" s="3"/>
    </x:row>
    <x:row r="88" ht="24" customHeight="1">
      <x:c r="A88" s="3"/>
      <x:c r="B88" s="28" t="str">
        <x:v>经营利润率</x:v>
      </x:c>
      <x:c r="C88" s="29">
        <x:f>C87/C74</x:f>
        <x:v>0.45859489315375</x:v>
      </x:c>
      <x:c r="D88" s="29">
        <x:f>D87/D74</x:f>
        <x:v>0.478362016108389</x:v>
      </x:c>
      <x:c r="E88" s="29">
        <x:f>E87/E74</x:f>
        <x:v>0.468077634155807</x:v>
      </x:c>
      <x:c r="F88" s="29">
        <x:f>F87/F74</x:f>
        <x:v>0.483587161290053</x:v>
      </x:c>
      <x:c r="G88" s="29">
        <x:f>G87/G74</x:f>
        <x:v>0.503467086949203</x:v>
      </x:c>
      <x:c r="H88" s="29">
        <x:f>H87/H74</x:f>
        <x:v>0.514454227215816</x:v>
      </x:c>
      <x:c r="I88" s="29">
        <x:f>I87/I74</x:f>
        <x:v>0.517793354827261</x:v>
      </x:c>
      <x:c r="J88" s="29">
        <x:f>J87/J74</x:f>
        <x:v>0.531280374010037</x:v>
      </x:c>
      <x:c r="K88" s="29">
        <x:f>K87/K74</x:f>
        <x:v>0.550071597047631</x:v>
      </x:c>
      <x:c r="L88" s="29">
        <x:f>L87/L74</x:f>
        <x:v>0.554587417197654</x:v>
      </x:c>
      <x:c r="M88" s="29">
        <x:f>M87/M74</x:f>
        <x:v>0.56870809733373</x:v>
      </x:c>
      <x:c r="N88" s="29">
        <x:f>N87/N74</x:f>
        <x:v>0.575056013945208</x:v>
      </x:c>
      <x:c r="O88" s="3"/>
      <x:c r="P88" s="3"/>
    </x:row>
    <x:row r="89" ht="24" customHeight="1">
      <x:c r="A89" s="3"/>
      <x:c r="B89" s="3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3"/>
      <x:c r="P89" s="3"/>
    </x:row>
    <x:row r="90" ht="24" customHeight="1">
      <x:c r="A90" s="3"/>
      <x:c r="B90" s="24" t="str">
        <x:v>MRR 期初衔接差</x:v>
      </x:c>
      <x:c r="C90" s="31"/>
      <x:c r="D90" s="31">
        <x:f>D61-C66</x:f>
        <x:v>0</x:v>
      </x:c>
      <x:c r="E90" s="31">
        <x:f>E61-D66</x:f>
        <x:v>0</x:v>
      </x:c>
      <x:c r="F90" s="31">
        <x:f>F61-E66</x:f>
        <x:v>0</x:v>
      </x:c>
      <x:c r="G90" s="31">
        <x:f>G61-F66</x:f>
        <x:v>0</x:v>
      </x:c>
      <x:c r="H90" s="31">
        <x:f>H61-G66</x:f>
        <x:v>0</x:v>
      </x:c>
      <x:c r="I90" s="31">
        <x:f>I61-H66</x:f>
        <x:v>0</x:v>
      </x:c>
      <x:c r="J90" s="31">
        <x:f>J61-I66</x:f>
        <x:v>0</x:v>
      </x:c>
      <x:c r="K90" s="31">
        <x:f>K61-J66</x:f>
        <x:v>0</x:v>
      </x:c>
      <x:c r="L90" s="31">
        <x:f>L61-K66</x:f>
        <x:v>0</x:v>
      </x:c>
      <x:c r="M90" s="31">
        <x:f>M61-L66</x:f>
        <x:v>0</x:v>
      </x:c>
      <x:c r="N90" s="31">
        <x:f>N61-M66</x:f>
        <x:v>0</x:v>
      </x:c>
      <x:c r="O90" s="3"/>
      <x:c r="P90" s="3"/>
    </x:row>
    <x:row r="91" ht="24" customHeight="1">
      <x:c r="A91" s="3"/>
      <x:c r="B91" s="24" t="str">
        <x:v>客户期初衔接差</x:v>
      </x:c>
      <x:c r="C91" s="31"/>
      <x:c r="D91" s="31">
        <x:f>D69-C72</x:f>
        <x:v>0</x:v>
      </x:c>
      <x:c r="E91" s="31">
        <x:f>E69-D72</x:f>
        <x:v>0</x:v>
      </x:c>
      <x:c r="F91" s="31">
        <x:f>F69-E72</x:f>
        <x:v>0</x:v>
      </x:c>
      <x:c r="G91" s="31">
        <x:f>G69-F72</x:f>
        <x:v>0</x:v>
      </x:c>
      <x:c r="H91" s="31">
        <x:f>H69-G72</x:f>
        <x:v>0</x:v>
      </x:c>
      <x:c r="I91" s="31">
        <x:f>I69-H72</x:f>
        <x:v>0</x:v>
      </x:c>
      <x:c r="J91" s="31">
        <x:f>J69-I72</x:f>
        <x:v>0</x:v>
      </x:c>
      <x:c r="K91" s="31">
        <x:f>K69-J72</x:f>
        <x:v>0</x:v>
      </x:c>
      <x:c r="L91" s="31">
        <x:f>L69-K72</x:f>
        <x:v>0</x:v>
      </x:c>
      <x:c r="M91" s="31">
        <x:f>M69-L72</x:f>
        <x:v>0</x:v>
      </x:c>
      <x:c r="N91" s="31">
        <x:f>N69-M72</x:f>
        <x:v>0</x:v>
      </x:c>
      <x:c r="O91" s="3"/>
      <x:c r="P91" s="3"/>
    </x:row>
    <x:row r="92" ht="24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</x:row>
    <x:row r="93" ht="24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</x:row>
    <x:row r="94" ht="24" customHeight="1">
      <x:c r="A94" s="3"/>
      <x:c r="B94" s="20" t="str">
        <x:v>月度 NRR =（期初 MRR + 扩展 − 流失 − 降配）÷ 期初 MRR。GRR 剔除扩展收入。</x:v>
      </x:c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</x:row>
    <x:row r="95" ht="24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</x:row>
    <x:row r="96" ht="24" customHeight="1">
      <x:c r="A96" s="3"/>
      <x:c r="B96" s="20" t="str">
        <x:v>CAC = 当月销售营销费用 ÷ 新增客户；回收期 = CAC ÷（ARPA × 毛利率），为简化估计。</x:v>
      </x:c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</x:row>
    <x:row r="97" ht="24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</x:row>
    <x:row r="98" ht="24" customHeight="1">
      <x:c r="A98" s="3"/>
      <x:c r="B98" s="20" t="str">
        <x:v>经营利润包含直接成本、销售营销、研发和管理费用。税费、融资和一次性项目未纳入。</x:v>
      </x:c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</x:row>
    <x:row r="99" ht="24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</x:row>
    <x:row r="100" ht="24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</x:row>
    <x:row r="101" ht="24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</x:row>
    <x:row r="102" ht="24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</x:row>
    <x:row r="103" ht="24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</x:row>
    <x:row r="104" ht="24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</x:row>
    <x:row r="105" ht="24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</x:row>
    <x:row r="106" ht="24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</x:row>
    <x:row r="107" ht="24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</x:row>
    <x:row r="108" ht="24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</x:row>
    <x:row r="109" ht="24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</x:row>
    <x:row r="110" ht="24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</x:row>
    <x:row r="111" ht="24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</x:row>
    <x:row r="112" ht="24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</x:row>
    <x:row r="113" ht="24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</x:row>
    <x:row r="114" ht="24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</x:row>
    <x:row r="115" ht="24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</x:row>
    <x:row r="116" ht="24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</x:row>
    <x:row r="117" ht="24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</x:row>
    <x:row r="118" ht="28" customHeight="1">
      <x:c r="A118" s="3"/>
      <x:c r="B118" s="23" t="str">
        <x:v>图表数据（金额：万元）</x:v>
      </x:c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</x:row>
    <x:row r="119" ht="24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</x:row>
    <x:row r="120" ht="30" customHeight="1">
      <x:c r="A120" s="3"/>
      <x:c r="B120" s="13" t="str">
        <x:v>月份</x:v>
      </x:c>
      <x:c r="C120" s="13" t="str">
        <x:v>订阅收入</x:v>
      </x:c>
      <x:c r="D120" s="13" t="str">
        <x:v>经营利润</x:v>
      </x:c>
      <x:c r="E120" s="13" t="str">
        <x:v>期末 MRR</x:v>
      </x:c>
      <x:c r="F120" s="13" t="str">
        <x:v>毛利</x:v>
      </x:c>
      <x:c r="G120" s="13" t="str">
        <x:v>新增客户</x:v>
      </x:c>
      <x:c r="H120" s="13" t="str">
        <x:v>流失客户</x:v>
      </x:c>
      <x:c r="I120" s="13" t="str">
        <x:v>月度 NRR</x:v>
      </x:c>
      <x:c r="J120" s="13" t="str">
        <x:v>月度 GRR</x:v>
      </x:c>
      <x:c r="K120" s="13" t="str">
        <x:v>CAC 回收</x:v>
      </x:c>
      <x:c r="L120" s="13" t="str">
        <x:v>期末客户</x:v>
      </x:c>
      <x:c r="M120" s="13" t="str">
        <x:v>ARR</x:v>
      </x:c>
      <x:c r="N120" s="3"/>
      <x:c r="O120" s="3"/>
      <x:c r="P120" s="3"/>
    </x:row>
    <x:row r="121" ht="24" customHeight="1">
      <x:c r="A121" s="3"/>
      <x:c r="B121" s="3" t="str">
        <x:v>1月</x:v>
      </x:c>
      <x:c r="C121" s="39">
        <x:f>C74/10000</x:f>
        <x:v>80.0964</x:v>
      </x:c>
      <x:c r="D121" s="39">
        <x:f>C87/10000</x:f>
        <x:v>36.7318</x:v>
      </x:c>
      <x:c r="E121" s="39">
        <x:f>C66/10000</x:f>
        <x:v>81.6528</x:v>
      </x:c>
      <x:c r="F121" s="39">
        <x:f>C76/10000</x:f>
        <x:v>63.5618</x:v>
      </x:c>
      <x:c r="G121" s="40">
        <x:f>C70/1</x:f>
        <x:v>32</x:v>
      </x:c>
      <x:c r="H121" s="40">
        <x:f>C71/1</x:f>
        <x:v>16</x:v>
      </x:c>
      <x:c r="I121" s="41">
        <x:f>C83/1</x:f>
        <x:v>0.97729564553094</x:v>
      </x:c>
      <x:c r="J121" s="41">
        <x:f>C84/1</x:f>
        <x:v>0.966330532212885</x:v>
      </x:c>
      <x:c r="K121" s="39">
        <x:f>C82/1</x:f>
        <x:v>2.36336031663821</x:v>
      </x:c>
      <x:c r="L121" s="3">
        <x:f>C72/1</x:f>
        <x:v>461</x:v>
      </x:c>
      <x:c r="M121" s="39">
        <x:f>C66*12/10000</x:f>
        <x:v>979.8336</x:v>
      </x:c>
      <x:c r="N121" s="3"/>
      <x:c r="O121" s="3"/>
      <x:c r="P121" s="3"/>
    </x:row>
    <x:row r="122" ht="24" customHeight="1">
      <x:c r="A122" s="3"/>
      <x:c r="B122" s="3" t="str">
        <x:v>2月</x:v>
      </x:c>
      <x:c r="C122" s="39">
        <x:f>D74/10000</x:f>
        <x:v>83.9935</x:v>
      </x:c>
      <x:c r="D122" s="39">
        <x:f>D87/10000</x:f>
        <x:v>40.1793</x:v>
      </x:c>
      <x:c r="E122" s="39">
        <x:f>D66/10000</x:f>
        <x:v>86.3342</x:v>
      </x:c>
      <x:c r="F122" s="39">
        <x:f>D76/10000</x:f>
        <x:v>66.825</x:v>
      </x:c>
      <x:c r="G122" s="40">
        <x:f>D70/1</x:f>
        <x:v>30</x:v>
      </x:c>
      <x:c r="H122" s="40">
        <x:f>D71/1</x:f>
        <x:v>10</x:v>
      </x:c>
      <x:c r="I122" s="41">
        <x:f>D83/1</x:f>
        <x:v>0.998547508474908</x:v>
      </x:c>
      <x:c r="J122" s="41">
        <x:f>D84/1</x:f>
        <x:v>0.987584014265279</x:v>
      </x:c>
      <x:c r="K122" s="39">
        <x:f>D82/1</x:f>
        <x:v>2.38926990278566</x:v>
      </x:c>
      <x:c r="L122" s="3">
        <x:f>D72/1</x:f>
        <x:v>481</x:v>
      </x:c>
      <x:c r="M122" s="39">
        <x:f>D66*12/10000</x:f>
        <x:v>1036.0104</x:v>
      </x:c>
      <x:c r="N122" s="3"/>
      <x:c r="O122" s="3"/>
      <x:c r="P122" s="3"/>
    </x:row>
    <x:row r="123" ht="24" customHeight="1">
      <x:c r="A123" s="3"/>
      <x:c r="B123" s="3" t="str">
        <x:v>3月</x:v>
      </x:c>
      <x:c r="C123" s="39">
        <x:f>E74/10000</x:f>
        <x:v>89.4091</x:v>
      </x:c>
      <x:c r="D123" s="39">
        <x:f>E87/10000</x:f>
        <x:v>41.8504</x:v>
      </x:c>
      <x:c r="E123" s="39">
        <x:f>E66/10000</x:f>
        <x:v>92.484</x:v>
      </x:c>
      <x:c r="F123" s="39">
        <x:f>E76/10000</x:f>
        <x:v>71.3243</x:v>
      </x:c>
      <x:c r="G123" s="40">
        <x:f>E70/1</x:f>
        <x:v>36</x:v>
      </x:c>
      <x:c r="H123" s="40">
        <x:f>E71/1</x:f>
        <x:v>11</x:v>
      </x:c>
      <x:c r="I123" s="41">
        <x:f>E83/1</x:f>
        <x:v>0.998468741240435</x:v>
      </x:c>
      <x:c r="J123" s="41">
        <x:f>E84/1</x:f>
        <x:v>0.987498581095325</x:v>
      </x:c>
      <x:c r="K123" s="39">
        <x:f>E82/1</x:f>
        <x:v>2.44884069137533</x:v>
      </x:c>
      <x:c r="L123" s="3">
        <x:f>E72/1</x:f>
        <x:v>506</x:v>
      </x:c>
      <x:c r="M123" s="39">
        <x:f>E66*12/10000</x:f>
        <x:v>1109.808</x:v>
      </x:c>
      <x:c r="N123" s="3"/>
      <x:c r="O123" s="3"/>
      <x:c r="P123" s="3"/>
    </x:row>
    <x:row r="124" ht="24" customHeight="1">
      <x:c r="A124" s="3"/>
      <x:c r="B124" s="3" t="str">
        <x:v>4月</x:v>
      </x:c>
      <x:c r="C124" s="39">
        <x:f>F74/10000</x:f>
        <x:v>95.7604</x:v>
      </x:c>
      <x:c r="D124" s="39">
        <x:f>F87/10000</x:f>
        <x:v>46.3085</x:v>
      </x:c>
      <x:c r="E124" s="39">
        <x:f>F66/10000</x:f>
        <x:v>99.0368</x:v>
      </x:c>
      <x:c r="F124" s="39">
        <x:f>F76/10000</x:f>
        <x:v>76.5959</x:v>
      </x:c>
      <x:c r="G124" s="40">
        <x:f>F70/1</x:f>
        <x:v>39</x:v>
      </x:c>
      <x:c r="H124" s="40">
        <x:f>F71/1</x:f>
        <x:v>10</x:v>
      </x:c>
      <x:c r="I124" s="41">
        <x:f>F83/1</x:f>
        <x:v>0.999619393624843</x:v>
      </x:c>
      <x:c r="J124" s="41">
        <x:f>F84/1</x:f>
        <x:v>0.988634790882747</x:v>
      </x:c>
      <x:c r="K124" s="39">
        <x:f>F82/1</x:f>
        <x:v>2.33041981857944</x:v>
      </x:c>
      <x:c r="L124" s="3">
        <x:f>F72/1</x:f>
        <x:v>535</x:v>
      </x:c>
      <x:c r="M124" s="39">
        <x:f>F66*12/10000</x:f>
        <x:v>1188.4416</x:v>
      </x:c>
      <x:c r="N124" s="3"/>
      <x:c r="O124" s="3"/>
      <x:c r="P124" s="3"/>
    </x:row>
    <x:row r="125" ht="24" customHeight="1">
      <x:c r="A125" s="3"/>
      <x:c r="B125" s="3" t="str">
        <x:v>5月</x:v>
      </x:c>
      <x:c r="C125" s="39">
        <x:f>G74/10000</x:f>
        <x:v>102.47075</x:v>
      </x:c>
      <x:c r="D125" s="39">
        <x:f>G87/10000</x:f>
        <x:v>51.59065</x:v>
      </x:c>
      <x:c r="E125" s="39">
        <x:f>G66/10000</x:f>
        <x:v>105.9047</x:v>
      </x:c>
      <x:c r="F125" s="39">
        <x:f>G76/10000</x:f>
        <x:v>82.17765</x:v>
      </x:c>
      <x:c r="G125" s="40">
        <x:f>G70/1</x:f>
        <x:v>41</x:v>
      </x:c>
      <x:c r="H125" s="40">
        <x:f>G71/1</x:f>
        <x:v>10</x:v>
      </x:c>
      <x:c r="I125" s="41">
        <x:f>G83/1</x:f>
        <x:v>1.00016963391386</x:v>
      </x:c>
      <x:c r="J125" s="41">
        <x:f>G84/1</x:f>
        <x:v>0.989175740734757</x:v>
      </x:c>
      <x:c r="K125" s="39">
        <x:f>G82/1</x:f>
        <x:v>2.2019460195162</x:v>
      </x:c>
      <x:c r="L125" s="3">
        <x:f>G72/1</x:f>
        <x:v>566</x:v>
      </x:c>
      <x:c r="M125" s="39">
        <x:f>G66*12/10000</x:f>
        <x:v>1270.8564</x:v>
      </x:c>
      <x:c r="N125" s="3"/>
      <x:c r="O125" s="3"/>
      <x:c r="P125" s="3"/>
    </x:row>
    <x:row r="126" ht="24" customHeight="1">
      <x:c r="A126" s="3"/>
      <x:c r="B126" s="3" t="str">
        <x:v>6月</x:v>
      </x:c>
      <x:c r="C126" s="39">
        <x:f>H74/10000</x:f>
        <x:v>109.5804</x:v>
      </x:c>
      <x:c r="D126" s="39">
        <x:f>H87/10000</x:f>
        <x:v>56.3741</x:v>
      </x:c>
      <x:c r="E126" s="39">
        <x:f>H66/10000</x:f>
        <x:v>113.2561</x:v>
      </x:c>
      <x:c r="F126" s="39">
        <x:f>H76/10000</x:f>
        <x:v>88.1048</x:v>
      </x:c>
      <x:c r="G126" s="40">
        <x:f>H70/1</x:f>
        <x:v>44</x:v>
      </x:c>
      <x:c r="H126" s="40">
        <x:f>H71/1</x:f>
        <x:v>11</x:v>
      </x:c>
      <x:c r="I126" s="41">
        <x:f>H83/1</x:f>
        <x:v>1.00019451450219</x:v>
      </x:c>
      <x:c r="J126" s="41">
        <x:f>H84/1</x:f>
        <x:v>0.989195002676935</x:v>
      </x:c>
      <x:c r="K126" s="39">
        <x:f>H82/1</x:f>
        <x:v>2.16488789147672</x:v>
      </x:c>
      <x:c r="L126" s="3">
        <x:f>H72/1</x:f>
        <x:v>599</x:v>
      </x:c>
      <x:c r="M126" s="39">
        <x:f>H66*12/10000</x:f>
        <x:v>1359.0732</x:v>
      </x:c>
      <x:c r="N126" s="3"/>
      <x:c r="O126" s="3"/>
      <x:c r="P126" s="3"/>
    </x:row>
    <x:row r="127" ht="24" customHeight="1">
      <x:c r="A127" s="3"/>
      <x:c r="B127" s="3" t="str">
        <x:v>7月</x:v>
      </x:c>
      <x:c r="C127" s="39">
        <x:f>I74/10000</x:f>
        <x:v>116.6531</x:v>
      </x:c>
      <x:c r="D127" s="39">
        <x:f>I87/10000</x:f>
        <x:v>60.4022</x:v>
      </x:c>
      <x:c r="E127" s="39">
        <x:f>I66/10000</x:f>
        <x:v>120.0501</x:v>
      </x:c>
      <x:c r="F127" s="39">
        <x:f>I76/10000</x:f>
        <x:v>94.0326</x:v>
      </x:c>
      <x:c r="G127" s="40">
        <x:f>I70/1</x:f>
        <x:v>47</x:v>
      </x:c>
      <x:c r="H127" s="40">
        <x:f>I71/1</x:f>
        <x:v>19</x:v>
      </x:c>
      <x:c r="I127" s="41">
        <x:f>I83/1</x:f>
        <x:v>0.9846171641086</x:v>
      </x:c>
      <x:c r="J127" s="41">
        <x:f>I84/1</x:f>
        <x:v>0.97361378327525</x:v>
      </x:c>
      <x:c r="K127" s="39">
        <x:f>I82/1</x:f>
        <x:v>2.22918319120428</x:v>
      </x:c>
      <x:c r="L127" s="3">
        <x:f>I72/1</x:f>
        <x:v>627</x:v>
      </x:c>
      <x:c r="M127" s="39">
        <x:f>I66*12/10000</x:f>
        <x:v>1440.6012</x:v>
      </x:c>
      <x:c r="N127" s="3"/>
      <x:c r="O127" s="3"/>
      <x:c r="P127" s="3"/>
    </x:row>
    <x:row r="128" ht="24" customHeight="1">
      <x:c r="A128" s="3"/>
      <x:c r="B128" s="3" t="str">
        <x:v>8月</x:v>
      </x:c>
      <x:c r="C128" s="39">
        <x:f>J74/10000</x:f>
        <x:v>124.515375</x:v>
      </x:c>
      <x:c r="D128" s="39">
        <x:f>J87/10000</x:f>
        <x:v>66.152575</x:v>
      </x:c>
      <x:c r="E128" s="39">
        <x:f>J66/10000</x:f>
        <x:v>128.98065</x:v>
      </x:c>
      <x:c r="F128" s="39">
        <x:f>J76/10000</x:f>
        <x:v>100.631175</x:v>
      </x:c>
      <x:c r="G128" s="40">
        <x:f>J70/1</x:f>
        <x:v>51</x:v>
      </x:c>
      <x:c r="H128" s="40">
        <x:f>J71/1</x:f>
        <x:v>13</x:v>
      </x:c>
      <x:c r="I128" s="41">
        <x:f>J83/1</x:f>
        <x:v>1.00026239045199</x:v>
      </x:c>
      <x:c r="J128" s="41">
        <x:f>J84/1</x:f>
        <x:v>0.989251154309742</x:v>
      </x:c>
      <x:c r="K128" s="39">
        <x:f>J82/1</x:f>
        <x:v>2.10256236967217</x:v>
      </x:c>
      <x:c r="L128" s="3">
        <x:f>J72/1</x:f>
        <x:v>665</x:v>
      </x:c>
      <x:c r="M128" s="39">
        <x:f>J66*12/10000</x:f>
        <x:v>1547.7678</x:v>
      </x:c>
      <x:c r="N128" s="3"/>
      <x:c r="O128" s="3"/>
      <x:c r="P128" s="3"/>
    </x:row>
    <x:row r="129" ht="24" customHeight="1">
      <x:c r="A129" s="3"/>
      <x:c r="B129" s="3" t="str">
        <x:v>9月</x:v>
      </x:c>
      <x:c r="C129" s="39">
        <x:f>K74/10000</x:f>
        <x:v>133.8044</x:v>
      </x:c>
      <x:c r="D129" s="39">
        <x:f>K87/10000</x:f>
        <x:v>73.602</x:v>
      </x:c>
      <x:c r="E129" s="39">
        <x:f>K66/10000</x:f>
        <x:v>138.62815</x:v>
      </x:c>
      <x:c r="F129" s="39">
        <x:f>K76/10000</x:f>
        <x:v>108.4184</x:v>
      </x:c>
      <x:c r="G129" s="40">
        <x:f>K70/1</x:f>
        <x:v>51</x:v>
      </x:c>
      <x:c r="H129" s="40">
        <x:f>K71/1</x:f>
        <x:v>13</x:v>
      </x:c>
      <x:c r="I129" s="41">
        <x:f>K83/1</x:f>
        <x:v>1.0028011953731</x:v>
      </x:c>
      <x:c r="J129" s="41">
        <x:f>K84/1</x:f>
        <x:v>0.989781412948376</x:v>
      </x:c>
      <x:c r="K129" s="39">
        <x:f>K82/1</x:f>
        <x:v>2.07836693542353</x:v>
      </x:c>
      <x:c r="L129" s="3">
        <x:f>K72/1</x:f>
        <x:v>703</x:v>
      </x:c>
      <x:c r="M129" s="39">
        <x:f>K66*12/10000</x:f>
        <x:v>1663.5378</x:v>
      </x:c>
      <x:c r="N129" s="3"/>
      <x:c r="O129" s="3"/>
      <x:c r="P129" s="3"/>
    </x:row>
    <x:row r="130" ht="24" customHeight="1">
      <x:c r="A130" s="3"/>
      <x:c r="B130" s="3" t="str">
        <x:v>10月</x:v>
      </x:c>
      <x:c r="C130" s="39">
        <x:f>L74/10000</x:f>
        <x:v>144.25165</x:v>
      </x:c>
      <x:c r="D130" s="39">
        <x:f>L87/10000</x:f>
        <x:v>80.00015</x:v>
      </x:c>
      <x:c r="E130" s="39">
        <x:f>L66/10000</x:f>
        <x:v>149.87515</x:v>
      </x:c>
      <x:c r="F130" s="39">
        <x:f>L76/10000</x:f>
        <x:v>117.18785</x:v>
      </x:c>
      <x:c r="G130" s="40">
        <x:f>L70/1</x:f>
        <x:v>56</x:v>
      </x:c>
      <x:c r="H130" s="40">
        <x:f>L71/1</x:f>
        <x:v>13</x:v>
      </x:c>
      <x:c r="I130" s="41">
        <x:f>L83/1</x:f>
        <x:v>1.00328288302195</x:v>
      </x:c>
      <x:c r="J130" s="41">
        <x:f>L84/1</x:f>
        <x:v>0.990256668649189</x:v>
      </x:c>
      <x:c r="K130" s="39">
        <x:f>L82/1</x:f>
        <x:v>2.08949068566869</x:v>
      </x:c>
      <x:c r="L130" s="3">
        <x:f>L72/1</x:f>
        <x:v>746</x:v>
      </x:c>
      <x:c r="M130" s="39">
        <x:f>L66*12/10000</x:f>
        <x:v>1798.5018</x:v>
      </x:c>
      <x:c r="N130" s="3"/>
      <x:c r="O130" s="3"/>
      <x:c r="P130" s="3"/>
    </x:row>
    <x:row r="131" ht="24" customHeight="1">
      <x:c r="A131" s="3"/>
      <x:c r="B131" s="3" t="str">
        <x:v>11月</x:v>
      </x:c>
      <x:c r="C131" s="39">
        <x:f>M74/10000</x:f>
        <x:v>155.80005</x:v>
      </x:c>
      <x:c r="D131" s="39">
        <x:f>M87/10000</x:f>
        <x:v>88.60475</x:v>
      </x:c>
      <x:c r="E131" s="39">
        <x:f>M66/10000</x:f>
        <x:v>161.72495</x:v>
      </x:c>
      <x:c r="F131" s="39">
        <x:f>M76/10000</x:f>
        <x:v>126.89835</x:v>
      </x:c>
      <x:c r="G131" s="40">
        <x:f>M70/1</x:f>
        <x:v>60</x:v>
      </x:c>
      <x:c r="H131" s="40">
        <x:f>M71/1</x:f>
        <x:v>14</x:v>
      </x:c>
      <x:c r="I131" s="41">
        <x:f>M83/1</x:f>
        <x:v>1.00344353283383</x:v>
      </x:c>
      <x:c r="J131" s="41">
        <x:f>M84/1</x:f>
        <x:v>0.990406014606157</x:v>
      </x:c>
      <x:c r="K131" s="39">
        <x:f>M82/1</x:f>
        <x:v>2.00354694289</x:v>
      </x:c>
      <x:c r="L131" s="3">
        <x:f>M72/1</x:f>
        <x:v>792</x:v>
      </x:c>
      <x:c r="M131" s="39">
        <x:f>M66*12/10000</x:f>
        <x:v>1940.6994</x:v>
      </x:c>
      <x:c r="N131" s="3"/>
      <x:c r="O131" s="3"/>
      <x:c r="P131" s="3"/>
    </x:row>
    <x:row r="132" ht="24" customHeight="1">
      <x:c r="A132" s="3"/>
      <x:c r="B132" s="3" t="str">
        <x:v>12月</x:v>
      </x:c>
      <x:c r="C132" s="39">
        <x:f>N74/10000</x:f>
        <x:v>168.37325</x:v>
      </x:c>
      <x:c r="D132" s="39">
        <x:f>N87/10000</x:f>
        <x:v>96.82405</x:v>
      </x:c>
      <x:c r="E132" s="39">
        <x:f>N66/10000</x:f>
        <x:v>175.02155</x:v>
      </x:c>
      <x:c r="F132" s="39">
        <x:f>N76/10000</x:f>
        <x:v>137.49415</x:v>
      </x:c>
      <x:c r="G132" s="40">
        <x:f>N70/1</x:f>
        <x:v>66</x:v>
      </x:c>
      <x:c r="H132" s="40">
        <x:f>N71/1</x:f>
        <x:v>15</x:v>
      </x:c>
      <x:c r="I132" s="41">
        <x:f>N83/1</x:f>
        <x:v>1.00251538182575</x:v>
      </x:c>
      <x:c r="J132" s="41">
        <x:f>N84/1</x:f>
        <x:v>0.98947101235771</x:v>
      </x:c>
      <x:c r="K132" s="39">
        <x:f>N82/1</x:f>
        <x:v>1.98039902413425</x:v>
      </x:c>
      <x:c r="L132" s="3">
        <x:f>N72/1</x:f>
        <x:v>843</x:v>
      </x:c>
      <x:c r="M132" s="39">
        <x:f>N66*12/10000</x:f>
        <x:v>2100.2586</x:v>
      </x:c>
      <x:c r="N132" s="3"/>
      <x:c r="O132" s="3"/>
      <x:c r="P132" s="3"/>
    </x:row>
    <x:row r="133" ht="24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</x:row>
    <x:row r="134" ht="24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</x:row>
    <x:row r="135" ht="24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</x:row>
    <x:row r="136" ht="24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</x:row>
  </x:sheetData>
  <x:mergeCells>
    <x:mergeCell ref="B8:D9"/>
    <x:mergeCell ref="E8:G9"/>
    <x:mergeCell ref="I8:K9"/>
    <x:mergeCell ref="L8:O9"/>
  </x:mergeCells>
  <x:conditionalFormatting sqref="D90:N91">
    <x:cfRule type="cellIs" dxfId="0" priority="1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0754adaae07d4770"/>
</x:worksheet>
</file>

<file path=xl/worksheets/sheet4.xml><?xml version="1.0" encoding="utf-8"?>
<x:worksheet xmlns:x="http://schemas.openxmlformats.org/spreadsheetml/2006/main">
  <x:sheetPr>
    <x:tabColor rgb="FF20263D"/>
  </x:sheetPr>
  <x:sheetViews>
    <x:sheetView showGridLines="0" workbookViewId="0"/>
  </x:sheetViews>
  <x:sheetFormatPr defaultRowHeight="15"/>
  <x:cols>
    <x:col min="1" max="1" width="2.890000104904175" hidden="0" customWidth="1"/>
    <x:col min="2" max="2" width="18.440000534057617" hidden="0" customWidth="1"/>
    <x:col min="3" max="3" width="9.329999923706055" hidden="0" customWidth="1"/>
    <x:col min="4" max="4" width="9.329999923706055" hidden="0" customWidth="1"/>
    <x:col min="5" max="5" width="9.329999923706055" hidden="0" customWidth="1"/>
    <x:col min="6" max="6" width="9.329999923706055" hidden="0" customWidth="1"/>
    <x:col min="7" max="7" width="9.329999923706055" hidden="0" customWidth="1"/>
    <x:col min="8" max="8" width="9.329999923706055" hidden="0" customWidth="1"/>
    <x:col min="9" max="9" width="9.329999923706055" hidden="0" customWidth="1"/>
    <x:col min="10" max="10" width="9.329999923706055" hidden="0" customWidth="1"/>
    <x:col min="11" max="11" width="9.329999923706055" hidden="0" customWidth="1"/>
    <x:col min="12" max="12" width="9.329999923706055" hidden="0" customWidth="1"/>
    <x:col min="13" max="13" width="9.329999923706055" hidden="0" customWidth="1"/>
    <x:col min="14" max="14" width="9.329999923706055" hidden="0" customWidth="1"/>
    <x:col min="15" max="15" width="9.329999923706055" hidden="0" customWidth="1"/>
    <x:col min="16" max="16" width="2.890000104904175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4" customHeight="1">
      <x:c r="A2" s="3"/>
      <x:c r="B2" s="20" t="str">
        <x:v>03  /  CUSTOMER COHORTS</x:v>
      </x:c>
      <x:c r="C2" s="3"/>
      <x:c r="D2" s="3"/>
      <x:c r="E2" s="3"/>
      <x:c r="F2" s="3"/>
      <x:c r="G2" s="3"/>
      <x:c r="H2" s="3"/>
      <x:c r="I2" s="3"/>
      <x:c r="J2" s="3"/>
      <x:c r="K2" s="3"/>
      <x:c r="L2" s="20" t="str">
        <x:v>预测情景</x:v>
      </x:c>
      <x:c r="M2" s="3"/>
      <x:c r="N2" s="57" t="str">
        <x:f>'增长测算'!H6</x:f>
        <x:v>基准</x:v>
      </x:c>
      <x:c r="O2" s="57"/>
      <x:c r="P2" s="3"/>
    </x:row>
    <x:row r="3" ht="39" customHeight="1">
      <x:c r="A3" s="3"/>
      <x:c r="B3" s="21" t="str">
        <x:v>客户留存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24" customHeight="1">
      <x:c r="A4" s="3"/>
      <x:c r="B4" s="20" t="str">
        <x:v>2025 年新付费客户按月归组。M0 为首次付费月，M1 为随后第一个月。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24" customHeight="1">
      <x:c r="A5" s="3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3"/>
    </x:row>
    <x:row r="6" ht="24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7" ht="24" customHeight="1">
      <x:c r="A7" s="3"/>
      <x:c r="B7" s="20" t="str">
        <x:v>M1 加权客户留存</x:v>
      </x:c>
      <x:c r="C7" s="3"/>
      <x:c r="D7" s="3"/>
      <x:c r="E7" s="20" t="str">
        <x:v>M3 加权客户留存</x:v>
      </x:c>
      <x:c r="F7" s="3"/>
      <x:c r="G7" s="3"/>
      <x:c r="H7" s="3"/>
      <x:c r="I7" s="20" t="str">
        <x:v>M6 加权客户留存</x:v>
      </x:c>
      <x:c r="J7" s="3"/>
      <x:c r="K7" s="3"/>
      <x:c r="L7" s="20" t="str">
        <x:v>纳入新付费客户（家）</x:v>
      </x:c>
      <x:c r="M7" s="3"/>
      <x:c r="N7" s="3"/>
      <x:c r="O7" s="3"/>
      <x:c r="P7" s="3"/>
    </x:row>
    <x:row r="8" ht="24" customHeight="1">
      <x:c r="A8" s="3"/>
      <x:c r="B8" s="44">
        <x:f>SUM(E61:E71)/SUM(C61:C71)</x:f>
        <x:v>0.973305954825462</x:v>
      </x:c>
      <x:c r="C8" s="44"/>
      <x:c r="D8" s="44"/>
      <x:c r="E8" s="44">
        <x:f>SUM(G61:G69)/SUM(C61:C69)</x:f>
        <x:v>0.929919137466307</x:v>
      </x:c>
      <x:c r="F8" s="44"/>
      <x:c r="G8" s="44"/>
      <x:c r="H8" s="3"/>
      <x:c r="I8" s="44">
        <x:f>SUM(J61:J66)/SUM(C61:C66)</x:f>
        <x:v>0.864864864864865</x:v>
      </x:c>
      <x:c r="J8" s="44"/>
      <x:c r="K8" s="44"/>
      <x:c r="L8" s="43">
        <x:f>SUM(C61:C72)</x:f>
        <x:v>553</x:v>
      </x:c>
      <x:c r="M8" s="43"/>
      <x:c r="N8" s="43"/>
      <x:c r="O8" s="43"/>
      <x:c r="P8" s="3"/>
    </x:row>
    <x:row r="9" ht="24" customHeight="1">
      <x:c r="A9" s="3"/>
      <x:c r="B9" s="44"/>
      <x:c r="C9" s="44"/>
      <x:c r="D9" s="44"/>
      <x:c r="E9" s="44"/>
      <x:c r="F9" s="44"/>
      <x:c r="G9" s="44"/>
      <x:c r="H9" s="3"/>
      <x:c r="I9" s="44"/>
      <x:c r="J9" s="44"/>
      <x:c r="K9" s="44"/>
      <x:c r="L9" s="43"/>
      <x:c r="M9" s="43"/>
      <x:c r="N9" s="43"/>
      <x:c r="O9" s="43"/>
      <x:c r="P9" s="3"/>
    </x:row>
    <x:row r="10" ht="24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</x:row>
    <x:row r="11" ht="30" customHeight="1">
      <x:c r="A11" s="3"/>
      <x:c r="B11" s="13" t="str">
        <x:v>付费批次</x:v>
      </x:c>
      <x:c r="C11" s="13" t="str">
        <x:v>客户数</x:v>
      </x:c>
      <x:c r="D11" s="13" t="str">
        <x:v>M0</x:v>
      </x:c>
      <x:c r="E11" s="13" t="str">
        <x:v>M1</x:v>
      </x:c>
      <x:c r="F11" s="13" t="str">
        <x:v>M2</x:v>
      </x:c>
      <x:c r="G11" s="13" t="str">
        <x:v>M3</x:v>
      </x:c>
      <x:c r="H11" s="13" t="str">
        <x:v>M4</x:v>
      </x:c>
      <x:c r="I11" s="13" t="str">
        <x:v>M5</x:v>
      </x:c>
      <x:c r="J11" s="13" t="str">
        <x:v>M6</x:v>
      </x:c>
      <x:c r="K11" s="13" t="str">
        <x:v>M7</x:v>
      </x:c>
      <x:c r="L11" s="13" t="str">
        <x:v>M8</x:v>
      </x:c>
      <x:c r="M11" s="13" t="str">
        <x:v>M9</x:v>
      </x:c>
      <x:c r="N11" s="13" t="str">
        <x:v>M10</x:v>
      </x:c>
      <x:c r="O11" s="13" t="str">
        <x:v>M11</x:v>
      </x:c>
      <x:c r="P11" s="3"/>
    </x:row>
    <x:row r="12" ht="24" customHeight="1">
      <x:c r="A12" s="3"/>
      <x:c r="B12" s="51">
        <x:f>'客户批次数据'!B9</x:f>
        <x:v>45658</x:v>
      </x:c>
      <x:c r="C12" s="3">
        <x:f>'客户批次数据'!C9</x:f>
        <x:v>32</x:v>
      </x:c>
      <x:c r="D12" s="53">
        <x:f>D61/$C61</x:f>
        <x:v>1</x:v>
      </x:c>
      <x:c r="E12" s="53">
        <x:f>E61/$C61</x:f>
        <x:v>0.96875</x:v>
      </x:c>
      <x:c r="F12" s="53">
        <x:f>F61/$C61</x:f>
        <x:v>0.9375</x:v>
      </x:c>
      <x:c r="G12" s="53">
        <x:f>G61/$C61</x:f>
        <x:v>0.90625</x:v>
      </x:c>
      <x:c r="H12" s="53">
        <x:f>H61/$C61</x:f>
        <x:v>0.90625</x:v>
      </x:c>
      <x:c r="I12" s="53">
        <x:f>I61/$C61</x:f>
        <x:v>0.90625</x:v>
      </x:c>
      <x:c r="J12" s="53">
        <x:f>J61/$C61</x:f>
        <x:v>0.875</x:v>
      </x:c>
      <x:c r="K12" s="53">
        <x:f>K61/$C61</x:f>
        <x:v>0.875</x:v>
      </x:c>
      <x:c r="L12" s="53">
        <x:f>L61/$C61</x:f>
        <x:v>0.875</x:v>
      </x:c>
      <x:c r="M12" s="53">
        <x:f>M61/$C61</x:f>
        <x:v>0.875</x:v>
      </x:c>
      <x:c r="N12" s="53">
        <x:f>N61/$C61</x:f>
        <x:v>0.875</x:v>
      </x:c>
      <x:c r="O12" s="53">
        <x:f>O61/$C61</x:f>
        <x:v>0.875</x:v>
      </x:c>
      <x:c r="P12" s="3"/>
    </x:row>
    <x:row r="13" ht="24" customHeight="1">
      <x:c r="A13" s="3"/>
      <x:c r="B13" s="51">
        <x:f>'客户批次数据'!B10</x:f>
        <x:v>45689</x:v>
      </x:c>
      <x:c r="C13" s="3">
        <x:f>'客户批次数据'!C10</x:f>
        <x:v>30</x:v>
      </x:c>
      <x:c r="D13" s="53">
        <x:f>D62/$C62</x:f>
        <x:v>1</x:v>
      </x:c>
      <x:c r="E13" s="53">
        <x:f>E62/$C62</x:f>
        <x:v>0.966666666666667</x:v>
      </x:c>
      <x:c r="F13" s="53">
        <x:f>F62/$C62</x:f>
        <x:v>0.966666666666667</x:v>
      </x:c>
      <x:c r="G13" s="53">
        <x:f>G62/$C62</x:f>
        <x:v>0.966666666666667</x:v>
      </x:c>
      <x:c r="H13" s="53">
        <x:f>H62/$C62</x:f>
        <x:v>0.966666666666667</x:v>
      </x:c>
      <x:c r="I13" s="53">
        <x:f>I62/$C62</x:f>
        <x:v>0.933333333333333</x:v>
      </x:c>
      <x:c r="J13" s="53">
        <x:f>J62/$C62</x:f>
        <x:v>0.933333333333333</x:v>
      </x:c>
      <x:c r="K13" s="53">
        <x:f>K62/$C62</x:f>
        <x:v>0.933333333333333</x:v>
      </x:c>
      <x:c r="L13" s="53">
        <x:f>L62/$C62</x:f>
        <x:v>0.933333333333333</x:v>
      </x:c>
      <x:c r="M13" s="53">
        <x:f>M62/$C62</x:f>
        <x:v>0.933333333333333</x:v>
      </x:c>
      <x:c r="N13" s="53">
        <x:f>N62/$C62</x:f>
        <x:v>0.933333333333333</x:v>
      </x:c>
      <x:c r="O13" s="53"/>
      <x:c r="P13" s="3"/>
    </x:row>
    <x:row r="14" ht="24" customHeight="1">
      <x:c r="A14" s="3"/>
      <x:c r="B14" s="51">
        <x:f>'客户批次数据'!B11</x:f>
        <x:v>45717</x:v>
      </x:c>
      <x:c r="C14" s="3">
        <x:f>'客户批次数据'!C11</x:f>
        <x:v>36</x:v>
      </x:c>
      <x:c r="D14" s="53">
        <x:f>D63/$C63</x:f>
        <x:v>1</x:v>
      </x:c>
      <x:c r="E14" s="53">
        <x:f>E63/$C63</x:f>
        <x:v>0.972222222222222</x:v>
      </x:c>
      <x:c r="F14" s="53">
        <x:f>F63/$C63</x:f>
        <x:v>0.944444444444444</x:v>
      </x:c>
      <x:c r="G14" s="53">
        <x:f>G63/$C63</x:f>
        <x:v>0.916666666666667</x:v>
      </x:c>
      <x:c r="H14" s="53">
        <x:f>H63/$C63</x:f>
        <x:v>0.888888888888889</x:v>
      </x:c>
      <x:c r="I14" s="53">
        <x:f>I63/$C63</x:f>
        <x:v>0.861111111111111</x:v>
      </x:c>
      <x:c r="J14" s="53">
        <x:f>J63/$C63</x:f>
        <x:v>0.861111111111111</x:v>
      </x:c>
      <x:c r="K14" s="53">
        <x:f>K63/$C63</x:f>
        <x:v>0.861111111111111</x:v>
      </x:c>
      <x:c r="L14" s="53">
        <x:f>L63/$C63</x:f>
        <x:v>0.861111111111111</x:v>
      </x:c>
      <x:c r="M14" s="53">
        <x:f>M63/$C63</x:f>
        <x:v>0.861111111111111</x:v>
      </x:c>
      <x:c r="N14" s="53"/>
      <x:c r="O14" s="53"/>
      <x:c r="P14" s="3"/>
    </x:row>
    <x:row r="15" ht="24" customHeight="1">
      <x:c r="A15" s="3"/>
      <x:c r="B15" s="51">
        <x:f>'客户批次数据'!B12</x:f>
        <x:v>45748</x:v>
      </x:c>
      <x:c r="C15" s="3">
        <x:f>'客户批次数据'!C12</x:f>
        <x:v>39</x:v>
      </x:c>
      <x:c r="D15" s="53">
        <x:f>D64/$C64</x:f>
        <x:v>1</x:v>
      </x:c>
      <x:c r="E15" s="53">
        <x:f>E64/$C64</x:f>
        <x:v>0.974358974358974</x:v>
      </x:c>
      <x:c r="F15" s="53">
        <x:f>F64/$C64</x:f>
        <x:v>0.948717948717949</x:v>
      </x:c>
      <x:c r="G15" s="53">
        <x:f>G64/$C64</x:f>
        <x:v>0.923076923076923</x:v>
      </x:c>
      <x:c r="H15" s="53">
        <x:f>H64/$C64</x:f>
        <x:v>0.897435897435898</x:v>
      </x:c>
      <x:c r="I15" s="53">
        <x:f>I64/$C64</x:f>
        <x:v>0.871794871794872</x:v>
      </x:c>
      <x:c r="J15" s="53">
        <x:f>J64/$C64</x:f>
        <x:v>0.846153846153846</x:v>
      </x:c>
      <x:c r="K15" s="53">
        <x:f>K64/$C64</x:f>
        <x:v>0.820512820512821</x:v>
      </x:c>
      <x:c r="L15" s="53">
        <x:f>L64/$C64</x:f>
        <x:v>0.820512820512821</x:v>
      </x:c>
      <x:c r="M15" s="53"/>
      <x:c r="N15" s="53"/>
      <x:c r="O15" s="53"/>
      <x:c r="P15" s="3"/>
    </x:row>
    <x:row r="16" ht="24" customHeight="1">
      <x:c r="A16" s="3"/>
      <x:c r="B16" s="51">
        <x:f>'客户批次数据'!B13</x:f>
        <x:v>45778</x:v>
      </x:c>
      <x:c r="C16" s="3">
        <x:f>'客户批次数据'!C13</x:f>
        <x:v>41</x:v>
      </x:c>
      <x:c r="D16" s="53">
        <x:f>D65/$C65</x:f>
        <x:v>1</x:v>
      </x:c>
      <x:c r="E16" s="53">
        <x:f>E65/$C65</x:f>
        <x:v>0.975609756097561</x:v>
      </x:c>
      <x:c r="F16" s="53">
        <x:f>F65/$C65</x:f>
        <x:v>0.951219512195122</x:v>
      </x:c>
      <x:c r="G16" s="53">
        <x:f>G65/$C65</x:f>
        <x:v>0.926829268292683</x:v>
      </x:c>
      <x:c r="H16" s="53">
        <x:f>H65/$C65</x:f>
        <x:v>0.902439024390244</x:v>
      </x:c>
      <x:c r="I16" s="53">
        <x:f>I65/$C65</x:f>
        <x:v>0.878048780487805</x:v>
      </x:c>
      <x:c r="J16" s="53">
        <x:f>J65/$C65</x:f>
        <x:v>0.853658536585366</x:v>
      </x:c>
      <x:c r="K16" s="53">
        <x:f>K65/$C65</x:f>
        <x:v>0.829268292682927</x:v>
      </x:c>
      <x:c r="L16" s="53"/>
      <x:c r="M16" s="53"/>
      <x:c r="N16" s="53"/>
      <x:c r="O16" s="53"/>
      <x:c r="P16" s="3"/>
    </x:row>
    <x:row r="17" ht="24" customHeight="1">
      <x:c r="A17" s="3"/>
      <x:c r="B17" s="51">
        <x:f>'客户批次数据'!B14</x:f>
        <x:v>45809</x:v>
      </x:c>
      <x:c r="C17" s="3">
        <x:f>'客户批次数据'!C14</x:f>
        <x:v>44</x:v>
      </x:c>
      <x:c r="D17" s="53">
        <x:f>D66/$C66</x:f>
        <x:v>1</x:v>
      </x:c>
      <x:c r="E17" s="53">
        <x:f>E66/$C66</x:f>
        <x:v>0.954545454545455</x:v>
      </x:c>
      <x:c r="F17" s="53">
        <x:f>F66/$C66</x:f>
        <x:v>0.931818181818182</x:v>
      </x:c>
      <x:c r="G17" s="53">
        <x:f>G66/$C66</x:f>
        <x:v>0.909090909090909</x:v>
      </x:c>
      <x:c r="H17" s="53">
        <x:f>H66/$C66</x:f>
        <x:v>0.886363636363636</x:v>
      </x:c>
      <x:c r="I17" s="53">
        <x:f>I66/$C66</x:f>
        <x:v>0.863636363636364</x:v>
      </x:c>
      <x:c r="J17" s="53">
        <x:f>J66/$C66</x:f>
        <x:v>0.840909090909091</x:v>
      </x:c>
      <x:c r="K17" s="53"/>
      <x:c r="L17" s="53"/>
      <x:c r="M17" s="53"/>
      <x:c r="N17" s="53"/>
      <x:c r="O17" s="53"/>
      <x:c r="P17" s="3"/>
    </x:row>
    <x:row r="18" ht="24" customHeight="1">
      <x:c r="A18" s="3"/>
      <x:c r="B18" s="51">
        <x:f>'客户批次数据'!B15</x:f>
        <x:v>45839</x:v>
      </x:c>
      <x:c r="C18" s="3">
        <x:f>'客户批次数据'!C15</x:f>
        <x:v>47</x:v>
      </x:c>
      <x:c r="D18" s="53">
        <x:f>D67/$C67</x:f>
        <x:v>1</x:v>
      </x:c>
      <x:c r="E18" s="53">
        <x:f>E67/$C67</x:f>
        <x:v>0.978723404255319</x:v>
      </x:c>
      <x:c r="F18" s="53">
        <x:f>F67/$C67</x:f>
        <x:v>0.957446808510638</x:v>
      </x:c>
      <x:c r="G18" s="53">
        <x:f>G67/$C67</x:f>
        <x:v>0.936170212765958</x:v>
      </x:c>
      <x:c r="H18" s="53">
        <x:f>H67/$C67</x:f>
        <x:v>0.914893617021277</x:v>
      </x:c>
      <x:c r="I18" s="53">
        <x:f>I67/$C67</x:f>
        <x:v>0.893617021276596</x:v>
      </x:c>
      <x:c r="J18" s="53"/>
      <x:c r="K18" s="53"/>
      <x:c r="L18" s="53"/>
      <x:c r="M18" s="53"/>
      <x:c r="N18" s="53"/>
      <x:c r="O18" s="53"/>
      <x:c r="P18" s="3"/>
    </x:row>
    <x:row r="19" ht="24" customHeight="1">
      <x:c r="A19" s="3"/>
      <x:c r="B19" s="51">
        <x:f>'客户批次数据'!B16</x:f>
        <x:v>45870</x:v>
      </x:c>
      <x:c r="C19" s="3">
        <x:f>'客户批次数据'!C16</x:f>
        <x:v>51</x:v>
      </x:c>
      <x:c r="D19" s="53">
        <x:f>D68/$C68</x:f>
        <x:v>1</x:v>
      </x:c>
      <x:c r="E19" s="53">
        <x:f>E68/$C68</x:f>
        <x:v>0.980392156862745</x:v>
      </x:c>
      <x:c r="F19" s="53">
        <x:f>F68/$C68</x:f>
        <x:v>0.96078431372549</x:v>
      </x:c>
      <x:c r="G19" s="53">
        <x:f>G68/$C68</x:f>
        <x:v>0.941176470588235</x:v>
      </x:c>
      <x:c r="H19" s="53">
        <x:f>H68/$C68</x:f>
        <x:v>0.92156862745098</x:v>
      </x:c>
      <x:c r="I19" s="53"/>
      <x:c r="J19" s="53"/>
      <x:c r="K19" s="53"/>
      <x:c r="L19" s="53"/>
      <x:c r="M19" s="53"/>
      <x:c r="N19" s="53"/>
      <x:c r="O19" s="53"/>
      <x:c r="P19" s="3"/>
    </x:row>
    <x:row r="20" ht="24" customHeight="1">
      <x:c r="A20" s="3"/>
      <x:c r="B20" s="51">
        <x:f>'客户批次数据'!B17</x:f>
        <x:v>45901</x:v>
      </x:c>
      <x:c r="C20" s="3">
        <x:f>'客户批次数据'!C17</x:f>
        <x:v>51</x:v>
      </x:c>
      <x:c r="D20" s="53">
        <x:f>D69/$C69</x:f>
        <x:v>1</x:v>
      </x:c>
      <x:c r="E20" s="53">
        <x:f>E69/$C69</x:f>
        <x:v>0.980392156862745</x:v>
      </x:c>
      <x:c r="F20" s="53">
        <x:f>F69/$C69</x:f>
        <x:v>0.96078431372549</x:v>
      </x:c>
      <x:c r="G20" s="53">
        <x:f>G69/$C69</x:f>
        <x:v>0.941176470588235</x:v>
      </x:c>
      <x:c r="H20" s="53"/>
      <x:c r="I20" s="53"/>
      <x:c r="J20" s="53"/>
      <x:c r="K20" s="53"/>
      <x:c r="L20" s="53"/>
      <x:c r="M20" s="53"/>
      <x:c r="N20" s="53"/>
      <x:c r="O20" s="53"/>
      <x:c r="P20" s="3"/>
    </x:row>
    <x:row r="21" ht="24" customHeight="1">
      <x:c r="A21" s="3"/>
      <x:c r="B21" s="51">
        <x:f>'客户批次数据'!B18</x:f>
        <x:v>45931</x:v>
      </x:c>
      <x:c r="C21" s="3">
        <x:f>'客户批次数据'!C18</x:f>
        <x:v>56</x:v>
      </x:c>
      <x:c r="D21" s="53">
        <x:f>D70/$C70</x:f>
        <x:v>1</x:v>
      </x:c>
      <x:c r="E21" s="53">
        <x:f>E70/$C70</x:f>
        <x:v>0.982142857142857</x:v>
      </x:c>
      <x:c r="F21" s="53">
        <x:f>F70/$C70</x:f>
        <x:v>0.964285714285714</x:v>
      </x:c>
      <x:c r="G21" s="53"/>
      <x:c r="H21" s="53"/>
      <x:c r="I21" s="53"/>
      <x:c r="J21" s="53"/>
      <x:c r="K21" s="53"/>
      <x:c r="L21" s="53"/>
      <x:c r="M21" s="53"/>
      <x:c r="N21" s="53"/>
      <x:c r="O21" s="53"/>
      <x:c r="P21" s="3"/>
    </x:row>
    <x:row r="22" ht="24" customHeight="1">
      <x:c r="A22" s="3"/>
      <x:c r="B22" s="51">
        <x:f>'客户批次数据'!B19</x:f>
        <x:v>45962</x:v>
      </x:c>
      <x:c r="C22" s="3">
        <x:f>'客户批次数据'!C19</x:f>
        <x:v>60</x:v>
      </x:c>
      <x:c r="D22" s="53">
        <x:f>D71/$C71</x:f>
        <x:v>1</x:v>
      </x:c>
      <x:c r="E22" s="53">
        <x:f>E71/$C71</x:f>
        <x:v>0.966666666666667</x:v>
      </x:c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3"/>
    </x:row>
    <x:row r="23" ht="24" customHeight="1">
      <x:c r="A23" s="3"/>
      <x:c r="B23" s="51">
        <x:f>'客户批次数据'!B20</x:f>
        <x:v>45992</x:v>
      </x:c>
      <x:c r="C23" s="3">
        <x:f>'客户批次数据'!C20</x:f>
        <x:v>66</x:v>
      </x:c>
      <x:c r="D23" s="53">
        <x:f>D72/$C72</x:f>
        <x:v>1</x:v>
      </x:c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3"/>
    </x:row>
    <x:row r="24" ht="24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 ht="24" customHeight="1">
      <x:c r="A25" s="3"/>
      <x:c r="B25" s="20" t="str">
        <x:v>空白为观察期尚未到达。加权留存只使用已达到相应月龄的批次，按初始客户数加权。</x:v>
      </x:c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 ht="24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 ht="24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 ht="24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 ht="24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 ht="24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</x:row>
    <x:row r="31" ht="24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</x:row>
    <x:row r="32" ht="24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</x:row>
    <x:row r="33" ht="24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 ht="24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 ht="24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 ht="24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 ht="24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 ht="24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 ht="24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 ht="24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 ht="24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 ht="24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 ht="24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 ht="24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 ht="24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 ht="24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 ht="24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 ht="24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 ht="24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 ht="24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 ht="24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 ht="24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 ht="24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 ht="24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 ht="24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 ht="24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 ht="24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 ht="28" customHeight="1">
      <x:c r="A58" s="3"/>
      <x:c r="B58" s="23" t="str">
        <x:v>按客户月龄整理的留存家数</x:v>
      </x:c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  <x:row r="59" ht="24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 ht="30" customHeight="1">
      <x:c r="A60" s="3"/>
      <x:c r="B60" s="13" t="str">
        <x:v>付费批次</x:v>
      </x:c>
      <x:c r="C60" s="13" t="str">
        <x:v>初始客户</x:v>
      </x:c>
      <x:c r="D60" s="13" t="str">
        <x:v>M0</x:v>
      </x:c>
      <x:c r="E60" s="13" t="str">
        <x:v>M1</x:v>
      </x:c>
      <x:c r="F60" s="13" t="str">
        <x:v>M2</x:v>
      </x:c>
      <x:c r="G60" s="13" t="str">
        <x:v>M3</x:v>
      </x:c>
      <x:c r="H60" s="13" t="str">
        <x:v>M4</x:v>
      </x:c>
      <x:c r="I60" s="13" t="str">
        <x:v>M5</x:v>
      </x:c>
      <x:c r="J60" s="13" t="str">
        <x:v>M6</x:v>
      </x:c>
      <x:c r="K60" s="13" t="str">
        <x:v>M7</x:v>
      </x:c>
      <x:c r="L60" s="13" t="str">
        <x:v>M8</x:v>
      </x:c>
      <x:c r="M60" s="13" t="str">
        <x:v>M9</x:v>
      </x:c>
      <x:c r="N60" s="13" t="str">
        <x:v>M10</x:v>
      </x:c>
      <x:c r="O60" s="13" t="str">
        <x:v>M11</x:v>
      </x:c>
      <x:c r="P60" s="3"/>
    </x:row>
    <x:row r="61" ht="24" customHeight="1">
      <x:c r="A61" s="3"/>
      <x:c r="B61" s="51">
        <x:f>'客户批次数据'!B9</x:f>
        <x:v>45658</x:v>
      </x:c>
      <x:c r="C61" s="3">
        <x:f>'客户批次数据'!C9</x:f>
        <x:v>32</x:v>
      </x:c>
      <x:c r="D61" s="3">
        <x:f>'客户批次数据'!D9</x:f>
        <x:v>32</x:v>
      </x:c>
      <x:c r="E61" s="3">
        <x:f>'客户批次数据'!E9</x:f>
        <x:v>31</x:v>
      </x:c>
      <x:c r="F61" s="3">
        <x:f>'客户批次数据'!F9</x:f>
        <x:v>30</x:v>
      </x:c>
      <x:c r="G61" s="3">
        <x:f>'客户批次数据'!G9</x:f>
        <x:v>29</x:v>
      </x:c>
      <x:c r="H61" s="3">
        <x:f>'客户批次数据'!H9</x:f>
        <x:v>29</x:v>
      </x:c>
      <x:c r="I61" s="3">
        <x:f>'客户批次数据'!I9</x:f>
        <x:v>29</x:v>
      </x:c>
      <x:c r="J61" s="3">
        <x:f>'客户批次数据'!J9</x:f>
        <x:v>28</x:v>
      </x:c>
      <x:c r="K61" s="3">
        <x:f>'客户批次数据'!K9</x:f>
        <x:v>28</x:v>
      </x:c>
      <x:c r="L61" s="3">
        <x:f>'客户批次数据'!L9</x:f>
        <x:v>28</x:v>
      </x:c>
      <x:c r="M61" s="3">
        <x:f>'客户批次数据'!M9</x:f>
        <x:v>28</x:v>
      </x:c>
      <x:c r="N61" s="3">
        <x:f>'客户批次数据'!N9</x:f>
        <x:v>28</x:v>
      </x:c>
      <x:c r="O61" s="3">
        <x:f>'客户批次数据'!O9</x:f>
        <x:v>28</x:v>
      </x:c>
      <x:c r="P61" s="3"/>
    </x:row>
    <x:row r="62" ht="24" customHeight="1">
      <x:c r="A62" s="3"/>
      <x:c r="B62" s="51">
        <x:f>'客户批次数据'!B10</x:f>
        <x:v>45689</x:v>
      </x:c>
      <x:c r="C62" s="3">
        <x:f>'客户批次数据'!C10</x:f>
        <x:v>30</x:v>
      </x:c>
      <x:c r="D62" s="3">
        <x:f>'客户批次数据'!E10</x:f>
        <x:v>30</x:v>
      </x:c>
      <x:c r="E62" s="3">
        <x:f>'客户批次数据'!F10</x:f>
        <x:v>29</x:v>
      </x:c>
      <x:c r="F62" s="3">
        <x:f>'客户批次数据'!G10</x:f>
        <x:v>29</x:v>
      </x:c>
      <x:c r="G62" s="3">
        <x:f>'客户批次数据'!H10</x:f>
        <x:v>29</x:v>
      </x:c>
      <x:c r="H62" s="3">
        <x:f>'客户批次数据'!I10</x:f>
        <x:v>29</x:v>
      </x:c>
      <x:c r="I62" s="3">
        <x:f>'客户批次数据'!J10</x:f>
        <x:v>28</x:v>
      </x:c>
      <x:c r="J62" s="3">
        <x:f>'客户批次数据'!K10</x:f>
        <x:v>28</x:v>
      </x:c>
      <x:c r="K62" s="3">
        <x:f>'客户批次数据'!L10</x:f>
        <x:v>28</x:v>
      </x:c>
      <x:c r="L62" s="3">
        <x:f>'客户批次数据'!M10</x:f>
        <x:v>28</x:v>
      </x:c>
      <x:c r="M62" s="3">
        <x:f>'客户批次数据'!N10</x:f>
        <x:v>28</x:v>
      </x:c>
      <x:c r="N62" s="3">
        <x:f>'客户批次数据'!O10</x:f>
        <x:v>28</x:v>
      </x:c>
      <x:c r="O62" s="3"/>
      <x:c r="P62" s="3"/>
    </x:row>
    <x:row r="63" ht="24" customHeight="1">
      <x:c r="A63" s="3"/>
      <x:c r="B63" s="51">
        <x:f>'客户批次数据'!B11</x:f>
        <x:v>45717</x:v>
      </x:c>
      <x:c r="C63" s="3">
        <x:f>'客户批次数据'!C11</x:f>
        <x:v>36</x:v>
      </x:c>
      <x:c r="D63" s="3">
        <x:f>'客户批次数据'!F11</x:f>
        <x:v>36</x:v>
      </x:c>
      <x:c r="E63" s="3">
        <x:f>'客户批次数据'!G11</x:f>
        <x:v>35</x:v>
      </x:c>
      <x:c r="F63" s="3">
        <x:f>'客户批次数据'!H11</x:f>
        <x:v>34</x:v>
      </x:c>
      <x:c r="G63" s="3">
        <x:f>'客户批次数据'!I11</x:f>
        <x:v>33</x:v>
      </x:c>
      <x:c r="H63" s="3">
        <x:f>'客户批次数据'!J11</x:f>
        <x:v>32</x:v>
      </x:c>
      <x:c r="I63" s="3">
        <x:f>'客户批次数据'!K11</x:f>
        <x:v>31</x:v>
      </x:c>
      <x:c r="J63" s="3">
        <x:f>'客户批次数据'!L11</x:f>
        <x:v>31</x:v>
      </x:c>
      <x:c r="K63" s="3">
        <x:f>'客户批次数据'!M11</x:f>
        <x:v>31</x:v>
      </x:c>
      <x:c r="L63" s="3">
        <x:f>'客户批次数据'!N11</x:f>
        <x:v>31</x:v>
      </x:c>
      <x:c r="M63" s="3">
        <x:f>'客户批次数据'!O11</x:f>
        <x:v>31</x:v>
      </x:c>
      <x:c r="N63" s="3"/>
      <x:c r="O63" s="3"/>
      <x:c r="P63" s="3"/>
    </x:row>
    <x:row r="64" ht="24" customHeight="1">
      <x:c r="A64" s="3"/>
      <x:c r="B64" s="51">
        <x:f>'客户批次数据'!B12</x:f>
        <x:v>45748</x:v>
      </x:c>
      <x:c r="C64" s="3">
        <x:f>'客户批次数据'!C12</x:f>
        <x:v>39</x:v>
      </x:c>
      <x:c r="D64" s="3">
        <x:f>'客户批次数据'!G12</x:f>
        <x:v>39</x:v>
      </x:c>
      <x:c r="E64" s="3">
        <x:f>'客户批次数据'!H12</x:f>
        <x:v>38</x:v>
      </x:c>
      <x:c r="F64" s="3">
        <x:f>'客户批次数据'!I12</x:f>
        <x:v>37</x:v>
      </x:c>
      <x:c r="G64" s="3">
        <x:f>'客户批次数据'!J12</x:f>
        <x:v>36</x:v>
      </x:c>
      <x:c r="H64" s="3">
        <x:f>'客户批次数据'!K12</x:f>
        <x:v>35</x:v>
      </x:c>
      <x:c r="I64" s="3">
        <x:f>'客户批次数据'!L12</x:f>
        <x:v>34</x:v>
      </x:c>
      <x:c r="J64" s="3">
        <x:f>'客户批次数据'!M12</x:f>
        <x:v>33</x:v>
      </x:c>
      <x:c r="K64" s="3">
        <x:f>'客户批次数据'!N12</x:f>
        <x:v>32</x:v>
      </x:c>
      <x:c r="L64" s="3">
        <x:f>'客户批次数据'!O12</x:f>
        <x:v>32</x:v>
      </x:c>
      <x:c r="M64" s="3"/>
      <x:c r="N64" s="3"/>
      <x:c r="O64" s="3"/>
      <x:c r="P64" s="3"/>
    </x:row>
    <x:row r="65" ht="24" customHeight="1">
      <x:c r="A65" s="3"/>
      <x:c r="B65" s="51">
        <x:f>'客户批次数据'!B13</x:f>
        <x:v>45778</x:v>
      </x:c>
      <x:c r="C65" s="3">
        <x:f>'客户批次数据'!C13</x:f>
        <x:v>41</x:v>
      </x:c>
      <x:c r="D65" s="3">
        <x:f>'客户批次数据'!H13</x:f>
        <x:v>41</x:v>
      </x:c>
      <x:c r="E65" s="3">
        <x:f>'客户批次数据'!I13</x:f>
        <x:v>40</x:v>
      </x:c>
      <x:c r="F65" s="3">
        <x:f>'客户批次数据'!J13</x:f>
        <x:v>39</x:v>
      </x:c>
      <x:c r="G65" s="3">
        <x:f>'客户批次数据'!K13</x:f>
        <x:v>38</x:v>
      </x:c>
      <x:c r="H65" s="3">
        <x:f>'客户批次数据'!L13</x:f>
        <x:v>37</x:v>
      </x:c>
      <x:c r="I65" s="3">
        <x:f>'客户批次数据'!M13</x:f>
        <x:v>36</x:v>
      </x:c>
      <x:c r="J65" s="3">
        <x:f>'客户批次数据'!N13</x:f>
        <x:v>35</x:v>
      </x:c>
      <x:c r="K65" s="3">
        <x:f>'客户批次数据'!O13</x:f>
        <x:v>34</x:v>
      </x:c>
      <x:c r="L65" s="3"/>
      <x:c r="M65" s="3"/>
      <x:c r="N65" s="3"/>
      <x:c r="O65" s="3"/>
      <x:c r="P65" s="3"/>
    </x:row>
    <x:row r="66" ht="24" customHeight="1">
      <x:c r="A66" s="3"/>
      <x:c r="B66" s="51">
        <x:f>'客户批次数据'!B14</x:f>
        <x:v>45809</x:v>
      </x:c>
      <x:c r="C66" s="3">
        <x:f>'客户批次数据'!C14</x:f>
        <x:v>44</x:v>
      </x:c>
      <x:c r="D66" s="3">
        <x:f>'客户批次数据'!I14</x:f>
        <x:v>44</x:v>
      </x:c>
      <x:c r="E66" s="3">
        <x:f>'客户批次数据'!J14</x:f>
        <x:v>42</x:v>
      </x:c>
      <x:c r="F66" s="3">
        <x:f>'客户批次数据'!K14</x:f>
        <x:v>41</x:v>
      </x:c>
      <x:c r="G66" s="3">
        <x:f>'客户批次数据'!L14</x:f>
        <x:v>40</x:v>
      </x:c>
      <x:c r="H66" s="3">
        <x:f>'客户批次数据'!M14</x:f>
        <x:v>39</x:v>
      </x:c>
      <x:c r="I66" s="3">
        <x:f>'客户批次数据'!N14</x:f>
        <x:v>38</x:v>
      </x:c>
      <x:c r="J66" s="3">
        <x:f>'客户批次数据'!O14</x:f>
        <x:v>37</x:v>
      </x:c>
      <x:c r="K66" s="3"/>
      <x:c r="L66" s="3"/>
      <x:c r="M66" s="3"/>
      <x:c r="N66" s="3"/>
      <x:c r="O66" s="3"/>
      <x:c r="P66" s="3"/>
    </x:row>
    <x:row r="67" ht="24" customHeight="1">
      <x:c r="A67" s="3"/>
      <x:c r="B67" s="51">
        <x:f>'客户批次数据'!B15</x:f>
        <x:v>45839</x:v>
      </x:c>
      <x:c r="C67" s="3">
        <x:f>'客户批次数据'!C15</x:f>
        <x:v>47</x:v>
      </x:c>
      <x:c r="D67" s="3">
        <x:f>'客户批次数据'!J15</x:f>
        <x:v>47</x:v>
      </x:c>
      <x:c r="E67" s="3">
        <x:f>'客户批次数据'!K15</x:f>
        <x:v>46</x:v>
      </x:c>
      <x:c r="F67" s="3">
        <x:f>'客户批次数据'!L15</x:f>
        <x:v>45</x:v>
      </x:c>
      <x:c r="G67" s="3">
        <x:f>'客户批次数据'!M15</x:f>
        <x:v>44</x:v>
      </x:c>
      <x:c r="H67" s="3">
        <x:f>'客户批次数据'!N15</x:f>
        <x:v>43</x:v>
      </x:c>
      <x:c r="I67" s="3">
        <x:f>'客户批次数据'!O15</x:f>
        <x:v>42</x:v>
      </x:c>
      <x:c r="J67" s="3"/>
      <x:c r="K67" s="3"/>
      <x:c r="L67" s="3"/>
      <x:c r="M67" s="3"/>
      <x:c r="N67" s="3"/>
      <x:c r="O67" s="3"/>
      <x:c r="P67" s="3"/>
    </x:row>
    <x:row r="68" ht="24" customHeight="1">
      <x:c r="A68" s="3"/>
      <x:c r="B68" s="51">
        <x:f>'客户批次数据'!B16</x:f>
        <x:v>45870</x:v>
      </x:c>
      <x:c r="C68" s="3">
        <x:f>'客户批次数据'!C16</x:f>
        <x:v>51</x:v>
      </x:c>
      <x:c r="D68" s="3">
        <x:f>'客户批次数据'!K16</x:f>
        <x:v>51</x:v>
      </x:c>
      <x:c r="E68" s="3">
        <x:f>'客户批次数据'!L16</x:f>
        <x:v>50</x:v>
      </x:c>
      <x:c r="F68" s="3">
        <x:f>'客户批次数据'!M16</x:f>
        <x:v>49</x:v>
      </x:c>
      <x:c r="G68" s="3">
        <x:f>'客户批次数据'!N16</x:f>
        <x:v>48</x:v>
      </x:c>
      <x:c r="H68" s="3">
        <x:f>'客户批次数据'!O16</x:f>
        <x:v>47</x:v>
      </x:c>
      <x:c r="I68" s="3"/>
      <x:c r="J68" s="3"/>
      <x:c r="K68" s="3"/>
      <x:c r="L68" s="3"/>
      <x:c r="M68" s="3"/>
      <x:c r="N68" s="3"/>
      <x:c r="O68" s="3"/>
      <x:c r="P68" s="3"/>
    </x:row>
    <x:row r="69" ht="24" customHeight="1">
      <x:c r="A69" s="3"/>
      <x:c r="B69" s="51">
        <x:f>'客户批次数据'!B17</x:f>
        <x:v>45901</x:v>
      </x:c>
      <x:c r="C69" s="3">
        <x:f>'客户批次数据'!C17</x:f>
        <x:v>51</x:v>
      </x:c>
      <x:c r="D69" s="3">
        <x:f>'客户批次数据'!L17</x:f>
        <x:v>51</x:v>
      </x:c>
      <x:c r="E69" s="3">
        <x:f>'客户批次数据'!M17</x:f>
        <x:v>50</x:v>
      </x:c>
      <x:c r="F69" s="3">
        <x:f>'客户批次数据'!N17</x:f>
        <x:v>49</x:v>
      </x:c>
      <x:c r="G69" s="3">
        <x:f>'客户批次数据'!O17</x:f>
        <x:v>48</x:v>
      </x:c>
      <x:c r="H69" s="3"/>
      <x:c r="I69" s="3"/>
      <x:c r="J69" s="3"/>
      <x:c r="K69" s="3"/>
      <x:c r="L69" s="3"/>
      <x:c r="M69" s="3"/>
      <x:c r="N69" s="3"/>
      <x:c r="O69" s="3"/>
      <x:c r="P69" s="3"/>
    </x:row>
    <x:row r="70" ht="24" customHeight="1">
      <x:c r="A70" s="3"/>
      <x:c r="B70" s="51">
        <x:f>'客户批次数据'!B18</x:f>
        <x:v>45931</x:v>
      </x:c>
      <x:c r="C70" s="3">
        <x:f>'客户批次数据'!C18</x:f>
        <x:v>56</x:v>
      </x:c>
      <x:c r="D70" s="3">
        <x:f>'客户批次数据'!M18</x:f>
        <x:v>56</x:v>
      </x:c>
      <x:c r="E70" s="3">
        <x:f>'客户批次数据'!N18</x:f>
        <x:v>55</x:v>
      </x:c>
      <x:c r="F70" s="3">
        <x:f>'客户批次数据'!O18</x:f>
        <x:v>54</x:v>
      </x:c>
      <x:c r="G70" s="3"/>
      <x:c r="H70" s="3"/>
      <x:c r="I70" s="3"/>
      <x:c r="J70" s="3"/>
      <x:c r="K70" s="3"/>
      <x:c r="L70" s="3"/>
      <x:c r="M70" s="3"/>
      <x:c r="N70" s="3"/>
      <x:c r="O70" s="3"/>
      <x:c r="P70" s="3"/>
    </x:row>
    <x:row r="71" ht="24" customHeight="1">
      <x:c r="A71" s="3"/>
      <x:c r="B71" s="51">
        <x:f>'客户批次数据'!B19</x:f>
        <x:v>45962</x:v>
      </x:c>
      <x:c r="C71" s="3">
        <x:f>'客户批次数据'!C19</x:f>
        <x:v>60</x:v>
      </x:c>
      <x:c r="D71" s="3">
        <x:f>'客户批次数据'!N19</x:f>
        <x:v>60</x:v>
      </x:c>
      <x:c r="E71" s="3">
        <x:f>'客户批次数据'!O19</x:f>
        <x:v>58</x:v>
      </x:c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</x:row>
    <x:row r="72" ht="24" customHeight="1">
      <x:c r="A72" s="3"/>
      <x:c r="B72" s="51">
        <x:f>'客户批次数据'!B20</x:f>
        <x:v>45992</x:v>
      </x:c>
      <x:c r="C72" s="3">
        <x:f>'客户批次数据'!C20</x:f>
        <x:v>66</x:v>
      </x:c>
      <x:c r="D72" s="3">
        <x:f>'客户批次数据'!O20</x:f>
        <x:v>66</x:v>
      </x:c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</x:row>
    <x:row r="73" ht="24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</x:row>
    <x:row r="74" ht="24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</x:row>
    <x:row r="75" ht="24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</x:row>
    <x:row r="76" ht="24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</x:row>
    <x:row r="77" ht="30" customHeight="1">
      <x:c r="A77" s="3"/>
      <x:c r="B77" s="13" t="str">
        <x:v>客户月龄</x:v>
      </x:c>
      <x:c r="C77" s="13" t="str">
        <x:v>1 月批次</x:v>
      </x:c>
      <x:c r="D77" s="13" t="str">
        <x:v>4 月批次</x:v>
      </x:c>
      <x:c r="E77" s="13" t="str">
        <x:v>7 月批次</x:v>
      </x:c>
      <x:c r="F77" s="3"/>
      <x:c r="G77" s="3"/>
      <x:c r="H77" s="13" t="str">
        <x:v>付费批次</x:v>
      </x:c>
      <x:c r="I77" s="13" t="str">
        <x:v>M3 留存</x:v>
      </x:c>
      <x:c r="J77" s="3"/>
      <x:c r="K77" s="3"/>
      <x:c r="L77" s="3"/>
      <x:c r="M77" s="3"/>
      <x:c r="N77" s="3"/>
      <x:c r="O77" s="3"/>
      <x:c r="P77" s="3"/>
    </x:row>
    <x:row r="78" ht="24" customHeight="1">
      <x:c r="A78" s="3"/>
      <x:c r="B78" s="3" t="str">
        <x:v>M0</x:v>
      </x:c>
      <x:c r="C78" s="41">
        <x:f>D12</x:f>
        <x:v>1</x:v>
      </x:c>
      <x:c r="D78" s="41">
        <x:f>D15</x:f>
        <x:v>1</x:v>
      </x:c>
      <x:c r="E78" s="41">
        <x:f>D18</x:f>
        <x:v>1</x:v>
      </x:c>
      <x:c r="F78" s="3"/>
      <x:c r="G78" s="3"/>
      <x:c r="H78" s="3" t="str">
        <x:v>1月</x:v>
      </x:c>
      <x:c r="I78" s="41">
        <x:f>G12</x:f>
        <x:v>0.90625</x:v>
      </x:c>
      <x:c r="J78" s="3"/>
      <x:c r="K78" s="3"/>
      <x:c r="L78" s="3"/>
      <x:c r="M78" s="3"/>
      <x:c r="N78" s="3"/>
      <x:c r="O78" s="3"/>
      <x:c r="P78" s="3"/>
    </x:row>
    <x:row r="79" ht="24" customHeight="1">
      <x:c r="A79" s="3"/>
      <x:c r="B79" s="3" t="str">
        <x:v>M1</x:v>
      </x:c>
      <x:c r="C79" s="41">
        <x:f>E12</x:f>
        <x:v>0.96875</x:v>
      </x:c>
      <x:c r="D79" s="41">
        <x:f>E15</x:f>
        <x:v>0.974358974358974</x:v>
      </x:c>
      <x:c r="E79" s="41">
        <x:f>E18</x:f>
        <x:v>0.978723404255319</x:v>
      </x:c>
      <x:c r="F79" s="3"/>
      <x:c r="G79" s="3"/>
      <x:c r="H79" s="3" t="str">
        <x:v>2月</x:v>
      </x:c>
      <x:c r="I79" s="41">
        <x:f>G13</x:f>
        <x:v>0.966666666666667</x:v>
      </x:c>
      <x:c r="J79" s="3"/>
      <x:c r="K79" s="3"/>
      <x:c r="L79" s="3"/>
      <x:c r="M79" s="3"/>
      <x:c r="N79" s="3"/>
      <x:c r="O79" s="3"/>
      <x:c r="P79" s="3"/>
    </x:row>
    <x:row r="80">
      <x:c r="B80" t="str">
        <x:v>M2</x:v>
      </x:c>
      <x:c r="C80" s="54">
        <x:f>F12</x:f>
        <x:v>0.9375</x:v>
      </x:c>
      <x:c r="D80" s="54">
        <x:f>F15</x:f>
        <x:v>0.948717948717949</x:v>
      </x:c>
      <x:c r="E80" s="54">
        <x:f>F18</x:f>
        <x:v>0.957446808510638</x:v>
      </x:c>
      <x:c r="H80" t="str">
        <x:v>3月</x:v>
      </x:c>
      <x:c r="I80" s="54">
        <x:f>G14</x:f>
        <x:v>0.916666666666667</x:v>
      </x:c>
    </x:row>
    <x:row r="81">
      <x:c r="B81" t="str">
        <x:v>M3</x:v>
      </x:c>
      <x:c r="C81" s="54">
        <x:f>G12</x:f>
        <x:v>0.90625</x:v>
      </x:c>
      <x:c r="D81" s="54">
        <x:f>G15</x:f>
        <x:v>0.923076923076923</x:v>
      </x:c>
      <x:c r="E81" s="54">
        <x:f>G18</x:f>
        <x:v>0.936170212765958</x:v>
      </x:c>
      <x:c r="H81" t="str">
        <x:v>4月</x:v>
      </x:c>
      <x:c r="I81" s="54">
        <x:f>G15</x:f>
        <x:v>0.923076923076923</x:v>
      </x:c>
    </x:row>
    <x:row r="82">
      <x:c r="B82" t="str">
        <x:v>M4</x:v>
      </x:c>
      <x:c r="C82" s="54">
        <x:f>H12</x:f>
        <x:v>0.90625</x:v>
      </x:c>
      <x:c r="D82" s="54">
        <x:f>H15</x:f>
        <x:v>0.897435897435898</x:v>
      </x:c>
      <x:c r="E82" s="54">
        <x:f>H18</x:f>
        <x:v>0.914893617021277</x:v>
      </x:c>
      <x:c r="H82" t="str">
        <x:v>5月</x:v>
      </x:c>
      <x:c r="I82" s="54">
        <x:f>G16</x:f>
        <x:v>0.926829268292683</x:v>
      </x:c>
    </x:row>
    <x:row r="83">
      <x:c r="B83" t="str">
        <x:v>M5</x:v>
      </x:c>
      <x:c r="C83" s="54">
        <x:f>I12</x:f>
        <x:v>0.90625</x:v>
      </x:c>
      <x:c r="D83" s="54">
        <x:f>I15</x:f>
        <x:v>0.871794871794872</x:v>
      </x:c>
      <x:c r="E83" s="54">
        <x:f>I18</x:f>
        <x:v>0.893617021276596</x:v>
      </x:c>
      <x:c r="H83" t="str">
        <x:v>6月</x:v>
      </x:c>
      <x:c r="I83" s="54">
        <x:f>G17</x:f>
        <x:v>0.909090909090909</x:v>
      </x:c>
    </x:row>
    <x:row r="84">
      <x:c r="H84" t="str">
        <x:v>7月</x:v>
      </x:c>
      <x:c r="I84" s="54">
        <x:f>G18</x:f>
        <x:v>0.936170212765958</x:v>
      </x:c>
    </x:row>
    <x:row r="85">
      <x:c r="H85" t="str">
        <x:v>8月</x:v>
      </x:c>
      <x:c r="I85" s="54">
        <x:f>G19</x:f>
        <x:v>0.941176470588235</x:v>
      </x:c>
    </x:row>
    <x:row r="86">
      <x:c r="H86" t="str">
        <x:v>9月</x:v>
      </x:c>
      <x:c r="I86" s="54">
        <x:f>G20</x:f>
        <x:v>0.941176470588235</x:v>
      </x:c>
    </x:row>
  </x:sheetData>
  <x:mergeCells>
    <x:mergeCell ref="B8:D9"/>
    <x:mergeCell ref="E8:G9"/>
    <x:mergeCell ref="I8:K9"/>
    <x:mergeCell ref="L8:O9"/>
  </x:mergeCells>
  <x:conditionalFormatting sqref="D12:O23">
    <x:cfRule type="colorScale" priority="1">
      <x:colorScale>
        <x:cfvo type="num" val="0"/>
        <x:cfvo type="num" val="0.75"/>
        <x:cfvo type="num" val="1"/>
        <x:color rgb="FFF3E6DC"/>
        <x:color rgb="FFD6DCCC"/>
        <x:color rgb="FF96B7A5"/>
      </x:colorScale>
    </x:cfRule>
  </x:conditionalFormatting>
  <x:pageMargins left="0.7" right="0.7" top="0.75" bottom="0.75" header="0.3" footer="0.3"/>
  <x:drawing xmlns:r="http://schemas.openxmlformats.org/officeDocument/2006/relationships" r:id="Ra465150899124148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.890000104904175" hidden="0" customWidth="1"/>
    <x:col min="2" max="2" width="10.5600004196167" hidden="0" customWidth="1"/>
    <x:col min="3" max="3" width="11.109999656677246" hidden="0" customWidth="1"/>
    <x:col min="4" max="4" width="11.109999656677246" hidden="0" customWidth="1"/>
    <x:col min="5" max="5" width="11.109999656677246" hidden="0" customWidth="1"/>
    <x:col min="6" max="6" width="11.109999656677246" hidden="0" customWidth="1"/>
    <x:col min="7" max="7" width="11.109999656677246" hidden="0" customWidth="1"/>
    <x:col min="8" max="8" width="11.109999656677246" hidden="0" customWidth="1"/>
    <x:col min="9" max="9" width="11.109999656677246" hidden="0" customWidth="1"/>
    <x:col min="10" max="10" width="11.109999656677246" hidden="0" customWidth="1"/>
    <x:col min="11" max="11" width="11.109999656677246" hidden="0" customWidth="1"/>
    <x:col min="12" max="12" width="11.109999656677246" hidden="0" customWidth="1"/>
    <x:col min="13" max="13" width="11.109999656677246" hidden="0" customWidth="1"/>
    <x:col min="14" max="14" width="11.109999656677246" hidden="0" customWidth="1"/>
    <x:col min="15" max="15" width="11.109999656677246" hidden="0" customWidth="1"/>
    <x:col min="16" max="16" width="2.890000104904175" hidden="0" customWidth="1"/>
  </x:cols>
  <x:sheetData>
    <x:row r="1" ht="24" customHeight="1">
      <x:c r="A1" s="6"/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 ht="24" customHeight="1">
      <x:c r="A2" s="6"/>
      <x:c r="B2" s="7" t="str">
        <x:v>SOURCE 01</x:v>
      </x:c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39" customHeight="1">
      <x:c r="A3" s="6"/>
      <x:c r="B3" s="8" t="str">
        <x:v>月度经营数据</x:v>
      </x:c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 ht="24" customHeight="1">
      <x:c r="A4" s="6"/>
      <x:c r="B4" s="7" t="str">
        <x:v>模拟数据。每行对应一个月份和产品版本，金额单位为元，客户单位为家。</x:v>
      </x:c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</x:row>
    <x:row r="5" ht="24" customHeight="1">
      <x:c r="A5" s="6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6"/>
    </x:row>
    <x:row r="6" ht="24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</x:row>
    <x:row r="7" ht="30" customHeight="1">
      <x:c r="A7" s="6"/>
      <x:c r="B7" s="13" t="str">
        <x:v>月份</x:v>
      </x:c>
      <x:c r="C7" s="13" t="str">
        <x:v>产品版本</x:v>
      </x:c>
      <x:c r="D7" s="13" t="str">
        <x:v>期初 MRR</x:v>
      </x:c>
      <x:c r="E7" s="13" t="str">
        <x:v>新增 MRR</x:v>
      </x:c>
      <x:c r="F7" s="13" t="str">
        <x:v>扩展 MRR</x:v>
      </x:c>
      <x:c r="G7" s="13" t="str">
        <x:v>流失 MRR</x:v>
      </x:c>
      <x:c r="H7" s="13" t="str">
        <x:v>降配 MRR</x:v>
      </x:c>
      <x:c r="I7" s="13" t="str">
        <x:v>期初客户</x:v>
      </x:c>
      <x:c r="J7" s="13" t="str">
        <x:v>新增客户</x:v>
      </x:c>
      <x:c r="K7" s="13" t="str">
        <x:v>流失客户</x:v>
      </x:c>
      <x:c r="L7" s="13" t="str">
        <x:v>直接成本</x:v>
      </x:c>
      <x:c r="M7" s="13" t="str">
        <x:v>销售营销</x:v>
      </x:c>
      <x:c r="N7" s="13" t="str">
        <x:v>产品研发</x:v>
      </x:c>
      <x:c r="O7" s="13" t="str">
        <x:v>行政管理</x:v>
      </x:c>
      <x:c r="P7" s="6"/>
    </x:row>
    <x:row r="8" ht="24" customHeight="1">
      <x:c r="A8" s="6"/>
      <x:c r="B8" s="14" t="n">
        <x:v>45658</x:v>
      </x:c>
      <x:c r="C8" s="6" t="str">
        <x:v>基础版</x:v>
      </x:c>
      <x:c r="D8" s="17" t="n">
        <x:v>134400</x:v>
      </x:c>
      <x:c r="E8" s="17" t="n">
        <x:v>10560</x:v>
      </x:c>
      <x:c r="F8" s="17" t="n">
        <x:v>1210</x:v>
      </x:c>
      <x:c r="G8" s="17" t="n">
        <x:v>5280</x:v>
      </x:c>
      <x:c r="H8" s="17" t="n">
        <x:v>336</x:v>
      </x:c>
      <x:c r="I8" s="17" t="n">
        <x:v>280</x:v>
      </x:c>
      <x:c r="J8" s="17" t="n">
        <x:v>22</x:v>
      </x:c>
      <x:c r="K8" s="17" t="n">
        <x:v>11</x:v>
      </x:c>
      <x:c r="L8" s="17" t="n">
        <x:v>31620</x:v>
      </x:c>
      <x:c r="M8" s="17" t="n">
        <x:v>29700</x:v>
      </x:c>
      <x:c r="N8" s="17" t="n">
        <x:v>26000</x:v>
      </x:c>
      <x:c r="O8" s="17" t="n">
        <x:v>16000</x:v>
      </x:c>
      <x:c r="P8" s="6"/>
    </x:row>
    <x:row r="9" ht="24" customHeight="1">
      <x:c r="A9" s="6"/>
      <x:c r="B9" s="14" t="n">
        <x:v>45658</x:v>
      </x:c>
      <x:c r="C9" s="6" t="str">
        <x:v>专业版</x:v>
      </x:c>
      <x:c r="D9" s="17" t="n">
        <x:v>273000</x:v>
      </x:c>
      <x:c r="E9" s="17" t="n">
        <x:v>16800</x:v>
      </x:c>
      <x:c r="F9" s="17" t="n">
        <x:v>2866</x:v>
      </x:c>
      <x:c r="G9" s="17" t="n">
        <x:v>8400</x:v>
      </x:c>
      <x:c r="H9" s="17" t="n">
        <x:v>683</x:v>
      </x:c>
      <x:c r="I9" s="17" t="n">
        <x:v>130</x:v>
      </x:c>
      <x:c r="J9" s="17" t="n">
        <x:v>8</x:v>
      </x:c>
      <x:c r="K9" s="17" t="n">
        <x:v>4</x:v>
      </x:c>
      <x:c r="L9" s="17" t="n">
        <x:v>58998</x:v>
      </x:c>
      <x:c r="M9" s="17" t="n">
        <x:v>41600</x:v>
      </x:c>
      <x:c r="N9" s="17" t="n">
        <x:v>35000</x:v>
      </x:c>
      <x:c r="O9" s="17" t="n">
        <x:v>20000</x:v>
      </x:c>
      <x:c r="P9" s="6"/>
    </x:row>
    <x:row r="10" ht="24" customHeight="1">
      <x:c r="A10" s="6"/>
      <x:c r="B10" s="14" t="n">
        <x:v>45658</x:v>
      </x:c>
      <x:c r="C10" s="6" t="str">
        <x:v>企业版</x:v>
      </x:c>
      <x:c r="D10" s="17" t="n">
        <x:v>378000</x:v>
      </x:c>
      <x:c r="E10" s="17" t="n">
        <x:v>21600</x:v>
      </x:c>
      <x:c r="F10" s="17" t="n">
        <x:v>4536</x:v>
      </x:c>
      <x:c r="G10" s="17" t="n">
        <x:v>10800</x:v>
      </x:c>
      <x:c r="H10" s="17" t="n">
        <x:v>945</x:v>
      </x:c>
      <x:c r="I10" s="17" t="n">
        <x:v>35</x:v>
      </x:c>
      <x:c r="J10" s="17" t="n">
        <x:v>2</x:v>
      </x:c>
      <x:c r="K10" s="17" t="n">
        <x:v>1</x:v>
      </x:c>
      <x:c r="L10" s="17" t="n">
        <x:v>74728</x:v>
      </x:c>
      <x:c r="M10" s="17" t="n">
        <x:v>35000</x:v>
      </x:c>
      <x:c r="N10" s="17" t="n">
        <x:v>41000</x:v>
      </x:c>
      <x:c r="O10" s="17" t="n">
        <x:v>24000</x:v>
      </x:c>
      <x:c r="P10" s="6"/>
    </x:row>
    <x:row r="11" ht="24" customHeight="1">
      <x:c r="A11" s="6"/>
      <x:c r="B11" s="14" t="n">
        <x:v>45689</x:v>
      </x:c>
      <x:c r="C11" s="6" t="str">
        <x:v>基础版</x:v>
      </x:c>
      <x:c r="D11" s="17" t="n">
        <x:v>140554</x:v>
      </x:c>
      <x:c r="E11" s="17" t="n">
        <x:v>9600</x:v>
      </x:c>
      <x:c r="F11" s="17" t="n">
        <x:v>1265</x:v>
      </x:c>
      <x:c r="G11" s="17" t="n">
        <x:v>3864</x:v>
      </x:c>
      <x:c r="H11" s="17" t="n">
        <x:v>351</x:v>
      </x:c>
      <x:c r="I11" s="17" t="n">
        <x:v>291</x:v>
      </x:c>
      <x:c r="J11" s="17" t="n">
        <x:v>20</x:v>
      </x:c>
      <x:c r="K11" s="17" t="n">
        <x:v>8</x:v>
      </x:c>
      <x:c r="L11" s="17" t="n">
        <x:v>32804</x:v>
      </x:c>
      <x:c r="M11" s="17" t="n">
        <x:v>26676</x:v>
      </x:c>
      <x:c r="N11" s="17" t="n">
        <x:v>26500</x:v>
      </x:c>
      <x:c r="O11" s="17" t="n">
        <x:v>16200</x:v>
      </x:c>
      <x:c r="P11" s="6"/>
    </x:row>
    <x:row r="12" ht="24" customHeight="1">
      <x:c r="A12" s="6"/>
      <x:c r="B12" s="14" t="n">
        <x:v>45689</x:v>
      </x:c>
      <x:c r="C12" s="6" t="str">
        <x:v>专业版</x:v>
      </x:c>
      <x:c r="D12" s="17" t="n">
        <x:v>283583</x:v>
      </x:c>
      <x:c r="E12" s="17" t="n">
        <x:v>16800</x:v>
      </x:c>
      <x:c r="F12" s="17" t="n">
        <x:v>2978</x:v>
      </x:c>
      <x:c r="G12" s="17" t="n">
        <x:v>4233</x:v>
      </x:c>
      <x:c r="H12" s="17" t="n">
        <x:v>709</x:v>
      </x:c>
      <x:c r="I12" s="17" t="n">
        <x:v>134</x:v>
      </x:c>
      <x:c r="J12" s="17" t="n">
        <x:v>8</x:v>
      </x:c>
      <x:c r="K12" s="17" t="n">
        <x:v>2</x:v>
      </x:c>
      <x:c r="L12" s="17" t="n">
        <x:v>61110</x:v>
      </x:c>
      <x:c r="M12" s="17" t="n">
        <x:v>41101</x:v>
      </x:c>
      <x:c r="N12" s="17" t="n">
        <x:v>35500</x:v>
      </x:c>
      <x:c r="O12" s="17" t="n">
        <x:v>20200</x:v>
      </x:c>
      <x:c r="P12" s="6"/>
    </x:row>
    <x:row r="13" ht="24" customHeight="1">
      <x:c r="A13" s="6"/>
      <x:c r="B13" s="14" t="n">
        <x:v>45689</x:v>
      </x:c>
      <x:c r="C13" s="6" t="str">
        <x:v>企业版</x:v>
      </x:c>
      <x:c r="D13" s="17" t="n">
        <x:v>392391</x:v>
      </x:c>
      <x:c r="E13" s="17" t="n">
        <x:v>21600</x:v>
      </x:c>
      <x:c r="F13" s="17" t="n">
        <x:v>4709</x:v>
      </x:c>
      <x:c r="G13" s="17" t="n">
        <x:v>0</x:v>
      </x:c>
      <x:c r="H13" s="17" t="n">
        <x:v>981</x:v>
      </x:c>
      <x:c r="I13" s="17" t="n">
        <x:v>36</x:v>
      </x:c>
      <x:c r="J13" s="17" t="n">
        <x:v>2</x:v>
      </x:c>
      <x:c r="K13" s="17" t="n">
        <x:v>0</x:v>
      </x:c>
      <x:c r="L13" s="17" t="n">
        <x:v>77771</x:v>
      </x:c>
      <x:c r="M13" s="17" t="n">
        <x:v>34580</x:v>
      </x:c>
      <x:c r="N13" s="17" t="n">
        <x:v>41500</x:v>
      </x:c>
      <x:c r="O13" s="17" t="n">
        <x:v>24200</x:v>
      </x:c>
      <x:c r="P13" s="6"/>
    </x:row>
    <x:row r="14" ht="24" customHeight="1">
      <x:c r="A14" s="6"/>
      <x:c r="B14" s="14" t="n">
        <x:v>45717</x:v>
      </x:c>
      <x:c r="C14" s="6" t="str">
        <x:v>基础版</x:v>
      </x:c>
      <x:c r="D14" s="17" t="n">
        <x:v>147204</x:v>
      </x:c>
      <x:c r="E14" s="17" t="n">
        <x:v>11520</x:v>
      </x:c>
      <x:c r="F14" s="17" t="n">
        <x:v>1325</x:v>
      </x:c>
      <x:c r="G14" s="17" t="n">
        <x:v>4372</x:v>
      </x:c>
      <x:c r="H14" s="17" t="n">
        <x:v>368</x:v>
      </x:c>
      <x:c r="I14" s="17" t="n">
        <x:v>303</x:v>
      </x:c>
      <x:c r="J14" s="17" t="n">
        <x:v>24</x:v>
      </x:c>
      <x:c r="K14" s="17" t="n">
        <x:v>9</x:v>
      </x:c>
      <x:c r="L14" s="17" t="n">
        <x:v>34184</x:v>
      </x:c>
      <x:c r="M14" s="17" t="n">
        <x:v>31622</x:v>
      </x:c>
      <x:c r="N14" s="17" t="n">
        <x:v>27000</x:v>
      </x:c>
      <x:c r="O14" s="17" t="n">
        <x:v>16400</x:v>
      </x:c>
      <x:c r="P14" s="6"/>
    </x:row>
    <x:row r="15" ht="24" customHeight="1">
      <x:c r="A15" s="6"/>
      <x:c r="B15" s="14" t="n">
        <x:v>45717</x:v>
      </x:c>
      <x:c r="C15" s="6" t="str">
        <x:v>专业版</x:v>
      </x:c>
      <x:c r="D15" s="17" t="n">
        <x:v>298419</x:v>
      </x:c>
      <x:c r="E15" s="17" t="n">
        <x:v>18900</x:v>
      </x:c>
      <x:c r="F15" s="17" t="n">
        <x:v>3133</x:v>
      </x:c>
      <x:c r="G15" s="17" t="n">
        <x:v>4263</x:v>
      </x:c>
      <x:c r="H15" s="17" t="n">
        <x:v>746</x:v>
      </x:c>
      <x:c r="I15" s="17" t="n">
        <x:v>140</x:v>
      </x:c>
      <x:c r="J15" s="17" t="n">
        <x:v>9</x:v>
      </x:c>
      <x:c r="K15" s="17" t="n">
        <x:v>2</x:v>
      </x:c>
      <x:c r="L15" s="17" t="n">
        <x:v>63842</x:v>
      </x:c>
      <x:c r="M15" s="17" t="n">
        <x:v>45677</x:v>
      </x:c>
      <x:c r="N15" s="17" t="n">
        <x:v>36000</x:v>
      </x:c>
      <x:c r="O15" s="17" t="n">
        <x:v>20400</x:v>
      </x:c>
      <x:c r="P15" s="6"/>
    </x:row>
    <x:row r="16" ht="24" customHeight="1">
      <x:c r="A16" s="6"/>
      <x:c r="B16" s="14" t="n">
        <x:v>45717</x:v>
      </x:c>
      <x:c r="C16" s="6" t="str">
        <x:v>企业版</x:v>
      </x:c>
      <x:c r="D16" s="17" t="n">
        <x:v>417719</x:v>
      </x:c>
      <x:c r="E16" s="17" t="n">
        <x:v>32400</x:v>
      </x:c>
      <x:c r="F16" s="17" t="n">
        <x:v>5013</x:v>
      </x:c>
      <x:c r="G16" s="17" t="n">
        <x:v>0</x:v>
      </x:c>
      <x:c r="H16" s="17" t="n">
        <x:v>1044</x:v>
      </x:c>
      <x:c r="I16" s="17" t="n">
        <x:v>38</x:v>
      </x:c>
      <x:c r="J16" s="17" t="n">
        <x:v>3</x:v>
      </x:c>
      <x:c r="K16" s="17" t="n">
        <x:v>0</x:v>
      </x:c>
      <x:c r="L16" s="17" t="n">
        <x:v>82822</x:v>
      </x:c>
      <x:c r="M16" s="17" t="n">
        <x:v>51240</x:v>
      </x:c>
      <x:c r="N16" s="17" t="n">
        <x:v>42000</x:v>
      </x:c>
      <x:c r="O16" s="17" t="n">
        <x:v>24400</x:v>
      </x:c>
      <x:c r="P16" s="6"/>
    </x:row>
    <x:row r="17" ht="24" customHeight="1">
      <x:c r="A17" s="6"/>
      <x:c r="B17" s="14" t="n">
        <x:v>45748</x:v>
      </x:c>
      <x:c r="C17" s="6" t="str">
        <x:v>基础版</x:v>
      </x:c>
      <x:c r="D17" s="17" t="n">
        <x:v>155309</x:v>
      </x:c>
      <x:c r="E17" s="17" t="n">
        <x:v>12480</x:v>
      </x:c>
      <x:c r="F17" s="17" t="n">
        <x:v>1398</x:v>
      </x:c>
      <x:c r="G17" s="17" t="n">
        <x:v>3907</x:v>
      </x:c>
      <x:c r="H17" s="17" t="n">
        <x:v>388</x:v>
      </x:c>
      <x:c r="I17" s="17" t="n">
        <x:v>318</x:v>
      </x:c>
      <x:c r="J17" s="17" t="n">
        <x:v>26</x:v>
      </x:c>
      <x:c r="K17" s="17" t="n">
        <x:v>8</x:v>
      </x:c>
      <x:c r="L17" s="17" t="n">
        <x:v>35863</x:v>
      </x:c>
      <x:c r="M17" s="17" t="n">
        <x:v>33836</x:v>
      </x:c>
      <x:c r="N17" s="17" t="n">
        <x:v>27500</x:v>
      </x:c>
      <x:c r="O17" s="17" t="n">
        <x:v>16600</x:v>
      </x:c>
      <x:c r="P17" s="6"/>
    </x:row>
    <x:row r="18" ht="24" customHeight="1">
      <x:c r="A18" s="6"/>
      <x:c r="B18" s="14" t="n">
        <x:v>45748</x:v>
      </x:c>
      <x:c r="C18" s="6" t="str">
        <x:v>专业版</x:v>
      </x:c>
      <x:c r="D18" s="17" t="n">
        <x:v>315443</x:v>
      </x:c>
      <x:c r="E18" s="17" t="n">
        <x:v>21000</x:v>
      </x:c>
      <x:c r="F18" s="17" t="n">
        <x:v>3312</x:v>
      </x:c>
      <x:c r="G18" s="17" t="n">
        <x:v>4292</x:v>
      </x:c>
      <x:c r="H18" s="17" t="n">
        <x:v>789</x:v>
      </x:c>
      <x:c r="I18" s="17" t="n">
        <x:v>147</x:v>
      </x:c>
      <x:c r="J18" s="17" t="n">
        <x:v>10</x:v>
      </x:c>
      <x:c r="K18" s="17" t="n">
        <x:v>2</x:v>
      </x:c>
      <x:c r="L18" s="17" t="n">
        <x:v>66962</x:v>
      </x:c>
      <x:c r="M18" s="17" t="n">
        <x:v>50128</x:v>
      </x:c>
      <x:c r="N18" s="17" t="n">
        <x:v>36500</x:v>
      </x:c>
      <x:c r="O18" s="17" t="n">
        <x:v>20600</x:v>
      </x:c>
      <x:c r="P18" s="6"/>
    </x:row>
    <x:row r="19" ht="24" customHeight="1">
      <x:c r="A19" s="6"/>
      <x:c r="B19" s="14" t="n">
        <x:v>45748</x:v>
      </x:c>
      <x:c r="C19" s="6" t="str">
        <x:v>企业版</x:v>
      </x:c>
      <x:c r="D19" s="17" t="n">
        <x:v>454088</x:v>
      </x:c>
      <x:c r="E19" s="17" t="n">
        <x:v>32400</x:v>
      </x:c>
      <x:c r="F19" s="17" t="n">
        <x:v>5449</x:v>
      </x:c>
      <x:c r="G19" s="17" t="n">
        <x:v>0</x:v>
      </x:c>
      <x:c r="H19" s="17" t="n">
        <x:v>1135</x:v>
      </x:c>
      <x:c r="I19" s="17" t="n">
        <x:v>41</x:v>
      </x:c>
      <x:c r="J19" s="17" t="n">
        <x:v>3</x:v>
      </x:c>
      <x:c r="K19" s="17" t="n">
        <x:v>0</x:v>
      </x:c>
      <x:c r="L19" s="17" t="n">
        <x:v>88820</x:v>
      </x:c>
      <x:c r="M19" s="17" t="n">
        <x:v>50610</x:v>
      </x:c>
      <x:c r="N19" s="17" t="n">
        <x:v>42500</x:v>
      </x:c>
      <x:c r="O19" s="17" t="n">
        <x:v>24600</x:v>
      </x:c>
      <x:c r="P19" s="6"/>
    </x:row>
    <x:row r="20" ht="24" customHeight="1">
      <x:c r="A20" s="6"/>
      <x:c r="B20" s="14" t="n">
        <x:v>45778</x:v>
      </x:c>
      <x:c r="C20" s="6" t="str">
        <x:v>基础版</x:v>
      </x:c>
      <x:c r="D20" s="17" t="n">
        <x:v>164892</x:v>
      </x:c>
      <x:c r="E20" s="17" t="n">
        <x:v>13776</x:v>
      </x:c>
      <x:c r="F20" s="17" t="n">
        <x:v>1484</x:v>
      </x:c>
      <x:c r="G20" s="17" t="n">
        <x:v>3926</x:v>
      </x:c>
      <x:c r="H20" s="17" t="n">
        <x:v>412</x:v>
      </x:c>
      <x:c r="I20" s="17" t="n">
        <x:v>336</x:v>
      </x:c>
      <x:c r="J20" s="17" t="n">
        <x:v>28</x:v>
      </x:c>
      <x:c r="K20" s="17" t="n">
        <x:v>8</x:v>
      </x:c>
      <x:c r="L20" s="17" t="n">
        <x:v>37818</x:v>
      </x:c>
      <x:c r="M20" s="17" t="n">
        <x:v>35986</x:v>
      </x:c>
      <x:c r="N20" s="17" t="n">
        <x:v>28000</x:v>
      </x:c>
      <x:c r="O20" s="17" t="n">
        <x:v>16800</x:v>
      </x:c>
      <x:c r="P20" s="6"/>
    </x:row>
    <x:row r="21" ht="24" customHeight="1">
      <x:c r="A21" s="6"/>
      <x:c r="B21" s="14" t="n">
        <x:v>45778</x:v>
      </x:c>
      <x:c r="C21" s="6" t="str">
        <x:v>专业版</x:v>
      </x:c>
      <x:c r="D21" s="17" t="n">
        <x:v>334674</x:v>
      </x:c>
      <x:c r="E21" s="17" t="n">
        <x:v>21525</x:v>
      </x:c>
      <x:c r="F21" s="17" t="n">
        <x:v>3514</x:v>
      </x:c>
      <x:c r="G21" s="17" t="n">
        <x:v>4318</x:v>
      </x:c>
      <x:c r="H21" s="17" t="n">
        <x:v>837</x:v>
      </x:c>
      <x:c r="I21" s="17" t="n">
        <x:v>155</x:v>
      </x:c>
      <x:c r="J21" s="17" t="n">
        <x:v>10</x:v>
      </x:c>
      <x:c r="K21" s="17" t="n">
        <x:v>2</x:v>
      </x:c>
      <x:c r="L21" s="17" t="n">
        <x:v>70302</x:v>
      </x:c>
      <x:c r="M21" s="17" t="n">
        <x:v>49504</x:v>
      </x:c>
      <x:c r="N21" s="17" t="n">
        <x:v>37000</x:v>
      </x:c>
      <x:c r="O21" s="17" t="n">
        <x:v>20800</x:v>
      </x:c>
      <x:c r="P21" s="6"/>
    </x:row>
    <x:row r="22" ht="24" customHeight="1">
      <x:c r="A22" s="6"/>
      <x:c r="B22" s="14" t="n">
        <x:v>45778</x:v>
      </x:c>
      <x:c r="C22" s="6" t="str">
        <x:v>企业版</x:v>
      </x:c>
      <x:c r="D22" s="17" t="n">
        <x:v>490802</x:v>
      </x:c>
      <x:c r="E22" s="17" t="n">
        <x:v>33210</x:v>
      </x:c>
      <x:c r="F22" s="17" t="n">
        <x:v>5890</x:v>
      </x:c>
      <x:c r="G22" s="17" t="n">
        <x:v>0</x:v>
      </x:c>
      <x:c r="H22" s="17" t="n">
        <x:v>1227</x:v>
      </x:c>
      <x:c r="I22" s="17" t="n">
        <x:v>44</x:v>
      </x:c>
      <x:c r="J22" s="17" t="n">
        <x:v>3</x:v>
      </x:c>
      <x:c r="K22" s="17" t="n">
        <x:v>0</x:v>
      </x:c>
      <x:c r="L22" s="17" t="n">
        <x:v>94811</x:v>
      </x:c>
      <x:c r="M22" s="17" t="n">
        <x:v>49980</x:v>
      </x:c>
      <x:c r="N22" s="17" t="n">
        <x:v>43000</x:v>
      </x:c>
      <x:c r="O22" s="17" t="n">
        <x:v>24800</x:v>
      </x:c>
      <x:c r="P22" s="6"/>
    </x:row>
    <x:row r="23" ht="24" customHeight="1">
      <x:c r="A23" s="6"/>
      <x:c r="B23" s="14" t="n">
        <x:v>45809</x:v>
      </x:c>
      <x:c r="C23" s="6" t="str">
        <x:v>基础版</x:v>
      </x:c>
      <x:c r="D23" s="17" t="n">
        <x:v>175814</x:v>
      </x:c>
      <x:c r="E23" s="17" t="n">
        <x:v>14268</x:v>
      </x:c>
      <x:c r="F23" s="17" t="n">
        <x:v>1582</x:v>
      </x:c>
      <x:c r="G23" s="17" t="n">
        <x:v>4445</x:v>
      </x:c>
      <x:c r="H23" s="17" t="n">
        <x:v>440</x:v>
      </x:c>
      <x:c r="I23" s="17" t="n">
        <x:v>356</x:v>
      </x:c>
      <x:c r="J23" s="17" t="n">
        <x:v>29</x:v>
      </x:c>
      <x:c r="K23" s="17" t="n">
        <x:v>9</x:v>
      </x:c>
      <x:c r="L23" s="17" t="n">
        <x:v>39885</x:v>
      </x:c>
      <x:c r="M23" s="17" t="n">
        <x:v>36801</x:v>
      </x:c>
      <x:c r="N23" s="17" t="n">
        <x:v>28500</x:v>
      </x:c>
      <x:c r="O23" s="17" t="n">
        <x:v>17000</x:v>
      </x:c>
      <x:c r="P23" s="6"/>
    </x:row>
    <x:row r="24" ht="24" customHeight="1">
      <x:c r="A24" s="6"/>
      <x:c r="B24" s="14" t="n">
        <x:v>45809</x:v>
      </x:c>
      <x:c r="C24" s="6" t="str">
        <x:v>专业版</x:v>
      </x:c>
      <x:c r="D24" s="17" t="n">
        <x:v>354558</x:v>
      </x:c>
      <x:c r="E24" s="17" t="n">
        <x:v>25830</x:v>
      </x:c>
      <x:c r="F24" s="17" t="n">
        <x:v>3723</x:v>
      </x:c>
      <x:c r="G24" s="17" t="n">
        <x:v>4350</x:v>
      </x:c>
      <x:c r="H24" s="17" t="n">
        <x:v>886</x:v>
      </x:c>
      <x:c r="I24" s="17" t="n">
        <x:v>163</x:v>
      </x:c>
      <x:c r="J24" s="17" t="n">
        <x:v>12</x:v>
      </x:c>
      <x:c r="K24" s="17" t="n">
        <x:v>2</x:v>
      </x:c>
      <x:c r="L24" s="17" t="n">
        <x:v>74077</x:v>
      </x:c>
      <x:c r="M24" s="17" t="n">
        <x:v>58656</x:v>
      </x:c>
      <x:c r="N24" s="17" t="n">
        <x:v>37500</x:v>
      </x:c>
      <x:c r="O24" s="17" t="n">
        <x:v>21000</x:v>
      </x:c>
      <x:c r="P24" s="6"/>
    </x:row>
    <x:row r="25" ht="24" customHeight="1">
      <x:c r="A25" s="6"/>
      <x:c r="B25" s="14" t="n">
        <x:v>45809</x:v>
      </x:c>
      <x:c r="C25" s="6" t="str">
        <x:v>企业版</x:v>
      </x:c>
      <x:c r="D25" s="17" t="n">
        <x:v>528675</x:v>
      </x:c>
      <x:c r="E25" s="17" t="n">
        <x:v>33210</x:v>
      </x:c>
      <x:c r="F25" s="17" t="n">
        <x:v>6344</x:v>
      </x:c>
      <x:c r="G25" s="17" t="n">
        <x:v>0</x:v>
      </x:c>
      <x:c r="H25" s="17" t="n">
        <x:v>1322</x:v>
      </x:c>
      <x:c r="I25" s="17" t="n">
        <x:v>47</x:v>
      </x:c>
      <x:c r="J25" s="17" t="n">
        <x:v>3</x:v>
      </x:c>
      <x:c r="K25" s="17" t="n">
        <x:v>0</x:v>
      </x:c>
      <x:c r="L25" s="17" t="n">
        <x:v>100794</x:v>
      </x:c>
      <x:c r="M25" s="17" t="n">
        <x:v>49350</x:v>
      </x:c>
      <x:c r="N25" s="17" t="n">
        <x:v>43500</x:v>
      </x:c>
      <x:c r="O25" s="17" t="n">
        <x:v>25000</x:v>
      </x:c>
      <x:c r="P25" s="6"/>
    </x:row>
    <x:row r="26" ht="24" customHeight="1">
      <x:c r="A26" s="6"/>
      <x:c r="B26" s="14" t="n">
        <x:v>45839</x:v>
      </x:c>
      <x:c r="C26" s="6" t="str">
        <x:v>基础版</x:v>
      </x:c>
      <x:c r="D26" s="17" t="n">
        <x:v>186779</x:v>
      </x:c>
      <x:c r="E26" s="17" t="n">
        <x:v>15252</x:v>
      </x:c>
      <x:c r="F26" s="17" t="n">
        <x:v>1681</x:v>
      </x:c>
      <x:c r="G26" s="17" t="n">
        <x:v>6955</x:v>
      </x:c>
      <x:c r="H26" s="17" t="n">
        <x:v>467</x:v>
      </x:c>
      <x:c r="I26" s="17" t="n">
        <x:v>376</x:v>
      </x:c>
      <x:c r="J26" s="17" t="n">
        <x:v>31</x:v>
      </x:c>
      <x:c r="K26" s="17" t="n">
        <x:v>14</x:v>
      </x:c>
      <x:c r="L26" s="17" t="n">
        <x:v>41755</x:v>
      </x:c>
      <x:c r="M26" s="17" t="n">
        <x:v>38837</x:v>
      </x:c>
      <x:c r="N26" s="17" t="n">
        <x:v>29000</x:v>
      </x:c>
      <x:c r="O26" s="17" t="n">
        <x:v>17200</x:v>
      </x:c>
      <x:c r="P26" s="6"/>
    </x:row>
    <x:row r="27" ht="24" customHeight="1">
      <x:c r="A27" s="6"/>
      <x:c r="B27" s="14" t="n">
        <x:v>45839</x:v>
      </x:c>
      <x:c r="C27" s="6" t="str">
        <x:v>专业版</x:v>
      </x:c>
      <x:c r="D27" s="17" t="n">
        <x:v>378875</x:v>
      </x:c>
      <x:c r="E27" s="17" t="n">
        <x:v>25830</x:v>
      </x:c>
      <x:c r="F27" s="17" t="n">
        <x:v>3978</x:v>
      </x:c>
      <x:c r="G27" s="17" t="n">
        <x:v>8760</x:v>
      </x:c>
      <x:c r="H27" s="17" t="n">
        <x:v>947</x:v>
      </x:c>
      <x:c r="I27" s="17" t="n">
        <x:v>173</x:v>
      </x:c>
      <x:c r="J27" s="17" t="n">
        <x:v>12</x:v>
      </x:c>
      <x:c r="K27" s="17" t="n">
        <x:v>4</x:v>
      </x:c>
      <x:c r="L27" s="17" t="n">
        <x:v>77785</x:v>
      </x:c>
      <x:c r="M27" s="17" t="n">
        <x:v>57907</x:v>
      </x:c>
      <x:c r="N27" s="17" t="n">
        <x:v>38000</x:v>
      </x:c>
      <x:c r="O27" s="17" t="n">
        <x:v>21200</x:v>
      </x:c>
      <x:c r="P27" s="6"/>
    </x:row>
    <x:row r="28" ht="24" customHeight="1">
      <x:c r="A28" s="6"/>
      <x:c r="B28" s="14" t="n">
        <x:v>45839</x:v>
      </x:c>
      <x:c r="C28" s="6" t="str">
        <x:v>企业版</x:v>
      </x:c>
      <x:c r="D28" s="17" t="n">
        <x:v>566907</x:v>
      </x:c>
      <x:c r="E28" s="17" t="n">
        <x:v>44280</x:v>
      </x:c>
      <x:c r="F28" s="17" t="n">
        <x:v>6803</x:v>
      </x:c>
      <x:c r="G28" s="17" t="n">
        <x:v>11338</x:v>
      </x:c>
      <x:c r="H28" s="17" t="n">
        <x:v>1417</x:v>
      </x:c>
      <x:c r="I28" s="17" t="n">
        <x:v>50</x:v>
      </x:c>
      <x:c r="J28" s="17" t="n">
        <x:v>4</x:v>
      </x:c>
      <x:c r="K28" s="17" t="n">
        <x:v>1</x:v>
      </x:c>
      <x:c r="L28" s="17" t="n">
        <x:v>106665</x:v>
      </x:c>
      <x:c r="M28" s="17" t="n">
        <x:v>64960</x:v>
      </x:c>
      <x:c r="N28" s="17" t="n">
        <x:v>44000</x:v>
      </x:c>
      <x:c r="O28" s="17" t="n">
        <x:v>25200</x:v>
      </x:c>
      <x:c r="P28" s="6"/>
    </x:row>
    <x:row r="29" ht="24" customHeight="1">
      <x:c r="A29" s="6"/>
      <x:c r="B29" s="14" t="n">
        <x:v>45870</x:v>
      </x:c>
      <x:c r="C29" s="6" t="str">
        <x:v>基础版</x:v>
      </x:c>
      <x:c r="D29" s="17" t="n">
        <x:v>196290</x:v>
      </x:c>
      <x:c r="E29" s="17" t="n">
        <x:v>16728</x:v>
      </x:c>
      <x:c r="F29" s="17" t="n">
        <x:v>1767</x:v>
      </x:c>
      <x:c r="G29" s="17" t="n">
        <x:v>5494</x:v>
      </x:c>
      <x:c r="H29" s="17" t="n">
        <x:v>491</x:v>
      </x:c>
      <x:c r="I29" s="17" t="n">
        <x:v>393</x:v>
      </x:c>
      <x:c r="J29" s="17" t="n">
        <x:v>34</x:v>
      </x:c>
      <x:c r="K29" s="17" t="n">
        <x:v>11</x:v>
      </x:c>
      <x:c r="L29" s="17" t="n">
        <x:v>43750</x:v>
      </x:c>
      <x:c r="M29" s="17" t="n">
        <x:v>42044</x:v>
      </x:c>
      <x:c r="N29" s="17" t="n">
        <x:v>29500</x:v>
      </x:c>
      <x:c r="O29" s="17" t="n">
        <x:v>17400</x:v>
      </x:c>
      <x:c r="P29" s="6"/>
    </x:row>
    <x:row r="30" ht="24" customHeight="1">
      <x:c r="A30" s="6"/>
      <x:c r="B30" s="14" t="n">
        <x:v>45870</x:v>
      </x:c>
      <x:c r="C30" s="6" t="str">
        <x:v>专业版</x:v>
      </x:c>
      <x:c r="D30" s="17" t="n">
        <x:v>398976</x:v>
      </x:c>
      <x:c r="E30" s="17" t="n">
        <x:v>27982.5</x:v>
      </x:c>
      <x:c r="F30" s="17" t="n">
        <x:v>4189</x:v>
      </x:c>
      <x:c r="G30" s="17" t="n">
        <x:v>4409</x:v>
      </x:c>
      <x:c r="H30" s="17" t="n">
        <x:v>997</x:v>
      </x:c>
      <x:c r="I30" s="17" t="n">
        <x:v>181</x:v>
      </x:c>
      <x:c r="J30" s="17" t="n">
        <x:v>13</x:v>
      </x:c>
      <x:c r="K30" s="17" t="n">
        <x:v>2</x:v>
      </x:c>
      <x:c r="L30" s="17" t="n">
        <x:v>81647</x:v>
      </x:c>
      <x:c r="M30" s="17" t="n">
        <x:v>61922</x:v>
      </x:c>
      <x:c r="N30" s="17" t="n">
        <x:v>38500</x:v>
      </x:c>
      <x:c r="O30" s="17" t="n">
        <x:v>21400</x:v>
      </x:c>
      <x:c r="P30" s="6"/>
    </x:row>
    <x:row r="31" ht="24" customHeight="1">
      <x:c r="A31" s="6"/>
      <x:c r="B31" s="14" t="n">
        <x:v>45870</x:v>
      </x:c>
      <x:c r="C31" s="6" t="str">
        <x:v>企业版</x:v>
      </x:c>
      <x:c r="D31" s="17" t="n">
        <x:v>605235</x:v>
      </x:c>
      <x:c r="E31" s="17" t="n">
        <x:v>44280</x:v>
      </x:c>
      <x:c r="F31" s="17" t="n">
        <x:v>7263</x:v>
      </x:c>
      <x:c r="G31" s="17" t="n">
        <x:v>0</x:v>
      </x:c>
      <x:c r="H31" s="17" t="n">
        <x:v>1513</x:v>
      </x:c>
      <x:c r="I31" s="17" t="n">
        <x:v>53</x:v>
      </x:c>
      <x:c r="J31" s="17" t="n">
        <x:v>4</x:v>
      </x:c>
      <x:c r="K31" s="17" t="n">
        <x:v>0</x:v>
      </x:c>
      <x:c r="L31" s="17" t="n">
        <x:v>113445</x:v>
      </x:c>
      <x:c r="M31" s="17" t="n">
        <x:v>64120</x:v>
      </x:c>
      <x:c r="N31" s="17" t="n">
        <x:v>44500</x:v>
      </x:c>
      <x:c r="O31" s="17" t="n">
        <x:v>25400</x:v>
      </x:c>
      <x:c r="P31" s="6"/>
    </x:row>
    <x:row r="32" ht="24" customHeight="1">
      <x:c r="A32" s="6"/>
      <x:c r="B32" s="14" t="n">
        <x:v>45901</x:v>
      </x:c>
      <x:c r="C32" s="6" t="str">
        <x:v>基础版</x:v>
      </x:c>
      <x:c r="D32" s="17" t="n">
        <x:v>208800</x:v>
      </x:c>
      <x:c r="E32" s="17" t="n">
        <x:v>16632</x:v>
      </x:c>
      <x:c r="F32" s="17" t="n">
        <x:v>2297</x:v>
      </x:c>
      <x:c r="G32" s="17" t="n">
        <x:v>5521</x:v>
      </x:c>
      <x:c r="H32" s="17" t="n">
        <x:v>522</x:v>
      </x:c>
      <x:c r="I32" s="17" t="n">
        <x:v>416</x:v>
      </x:c>
      <x:c r="J32" s="17" t="n">
        <x:v>33</x:v>
      </x:c>
      <x:c r="K32" s="17" t="n">
        <x:v>11</x:v>
      </x:c>
      <x:c r="L32" s="17" t="n">
        <x:v>46062</x:v>
      </x:c>
      <x:c r="M32" s="17" t="n">
        <x:v>40273</x:v>
      </x:c>
      <x:c r="N32" s="17" t="n">
        <x:v>30000</x:v>
      </x:c>
      <x:c r="O32" s="17" t="n">
        <x:v>17600</x:v>
      </x:c>
      <x:c r="P32" s="6"/>
    </x:row>
    <x:row r="33" ht="24" customHeight="1">
      <x:c r="A33" s="6"/>
      <x:c r="B33" s="14" t="n">
        <x:v>45901</x:v>
      </x:c>
      <x:c r="C33" s="6" t="str">
        <x:v>专业版</x:v>
      </x:c>
      <x:c r="D33" s="17" t="n">
        <x:v>425741.5</x:v>
      </x:c>
      <x:c r="E33" s="17" t="n">
        <x:v>30870</x:v>
      </x:c>
      <x:c r="F33" s="17" t="n">
        <x:v>5322</x:v>
      </x:c>
      <x:c r="G33" s="17" t="n">
        <x:v>4435</x:v>
      </x:c>
      <x:c r="H33" s="17" t="n">
        <x:v>1064</x:v>
      </x:c>
      <x:c r="I33" s="17" t="n">
        <x:v>192</x:v>
      </x:c>
      <x:c r="J33" s="17" t="n">
        <x:v>14</x:v>
      </x:c>
      <x:c r="K33" s="17" t="n">
        <x:v>2</x:v>
      </x:c>
      <x:c r="L33" s="17" t="n">
        <x:v>86453</x:v>
      </x:c>
      <x:c r="M33" s="17" t="n">
        <x:v>65811</x:v>
      </x:c>
      <x:c r="N33" s="17" t="n">
        <x:v>39000</x:v>
      </x:c>
      <x:c r="O33" s="17" t="n">
        <x:v>21600</x:v>
      </x:c>
      <x:c r="P33" s="6"/>
    </x:row>
    <x:row r="34" ht="24" customHeight="1">
      <x:c r="A34" s="6"/>
      <x:c r="B34" s="14" t="n">
        <x:v>45901</x:v>
      </x:c>
      <x:c r="C34" s="6" t="str">
        <x:v>企业版</x:v>
      </x:c>
      <x:c r="D34" s="17" t="n">
        <x:v>655265</x:v>
      </x:c>
      <x:c r="E34" s="17" t="n">
        <x:v>45360</x:v>
      </x:c>
      <x:c r="F34" s="17" t="n">
        <x:v>9174</x:v>
      </x:c>
      <x:c r="G34" s="17" t="n">
        <x:v>0</x:v>
      </x:c>
      <x:c r="H34" s="17" t="n">
        <x:v>1638</x:v>
      </x:c>
      <x:c r="I34" s="17" t="n">
        <x:v>57</x:v>
      </x:c>
      <x:c r="J34" s="17" t="n">
        <x:v>4</x:v>
      </x:c>
      <x:c r="K34" s="17" t="n">
        <x:v>0</x:v>
      </x:c>
      <x:c r="L34" s="17" t="n">
        <x:v>121345</x:v>
      </x:c>
      <x:c r="M34" s="17" t="n">
        <x:v>63280</x:v>
      </x:c>
      <x:c r="N34" s="17" t="n">
        <x:v>45000</x:v>
      </x:c>
      <x:c r="O34" s="17" t="n">
        <x:v>25600</x:v>
      </x:c>
      <x:c r="P34" s="6"/>
    </x:row>
    <x:row r="35" ht="24" customHeight="1">
      <x:c r="A35" s="6"/>
      <x:c r="B35" s="14" t="n">
        <x:v>45931</x:v>
      </x:c>
      <x:c r="C35" s="6" t="str">
        <x:v>基础版</x:v>
      </x:c>
      <x:c r="D35" s="17" t="n">
        <x:v>221686</x:v>
      </x:c>
      <x:c r="E35" s="17" t="n">
        <x:v>18144</x:v>
      </x:c>
      <x:c r="F35" s="17" t="n">
        <x:v>2439</x:v>
      </x:c>
      <x:c r="G35" s="17" t="n">
        <x:v>5567</x:v>
      </x:c>
      <x:c r="H35" s="17" t="n">
        <x:v>554</x:v>
      </x:c>
      <x:c r="I35" s="17" t="n">
        <x:v>438</x:v>
      </x:c>
      <x:c r="J35" s="17" t="n">
        <x:v>36</x:v>
      </x:c>
      <x:c r="K35" s="17" t="n">
        <x:v>11</x:v>
      </x:c>
      <x:c r="L35" s="17" t="n">
        <x:v>48530</x:v>
      </x:c>
      <x:c r="M35" s="17" t="n">
        <x:v>43351</x:v>
      </x:c>
      <x:c r="N35" s="17" t="n">
        <x:v>30500</x:v>
      </x:c>
      <x:c r="O35" s="17" t="n">
        <x:v>17800</x:v>
      </x:c>
      <x:c r="P35" s="6"/>
    </x:row>
    <x:row r="36" ht="24" customHeight="1">
      <x:c r="A36" s="6"/>
      <x:c r="B36" s="14" t="n">
        <x:v>45931</x:v>
      </x:c>
      <x:c r="C36" s="6" t="str">
        <x:v>专业版</x:v>
      </x:c>
      <x:c r="D36" s="17" t="n">
        <x:v>456434.5</x:v>
      </x:c>
      <x:c r="E36" s="17" t="n">
        <x:v>33075</x:v>
      </x:c>
      <x:c r="F36" s="17" t="n">
        <x:v>5705</x:v>
      </x:c>
      <x:c r="G36" s="17" t="n">
        <x:v>4475</x:v>
      </x:c>
      <x:c r="H36" s="17" t="n">
        <x:v>1141</x:v>
      </x:c>
      <x:c r="I36" s="17" t="n">
        <x:v>204</x:v>
      </x:c>
      <x:c r="J36" s="17" t="n">
        <x:v>15</x:v>
      </x:c>
      <x:c r="K36" s="17" t="n">
        <x:v>2</x:v>
      </x:c>
      <x:c r="L36" s="17" t="n">
        <x:v>91765</x:v>
      </x:c>
      <x:c r="M36" s="17" t="n">
        <x:v>69576</x:v>
      </x:c>
      <x:c r="N36" s="17" t="n">
        <x:v>39500</x:v>
      </x:c>
      <x:c r="O36" s="17" t="n">
        <x:v>21800</x:v>
      </x:c>
      <x:c r="P36" s="6"/>
    </x:row>
    <x:row r="37" ht="24" customHeight="1">
      <x:c r="A37" s="6"/>
      <x:c r="B37" s="14" t="n">
        <x:v>45931</x:v>
      </x:c>
      <x:c r="C37" s="6" t="str">
        <x:v>企业版</x:v>
      </x:c>
      <x:c r="D37" s="17" t="n">
        <x:v>708161</x:v>
      </x:c>
      <x:c r="E37" s="17" t="n">
        <x:v>56700</x:v>
      </x:c>
      <x:c r="F37" s="17" t="n">
        <x:v>9914</x:v>
      </x:c>
      <x:c r="G37" s="17" t="n">
        <x:v>0</x:v>
      </x:c>
      <x:c r="H37" s="17" t="n">
        <x:v>1770</x:v>
      </x:c>
      <x:c r="I37" s="17" t="n">
        <x:v>61</x:v>
      </x:c>
      <x:c r="J37" s="17" t="n">
        <x:v>5</x:v>
      </x:c>
      <x:c r="K37" s="17" t="n">
        <x:v>0</x:v>
      </x:c>
      <x:c r="L37" s="17" t="n">
        <x:v>130343</x:v>
      </x:c>
      <x:c r="M37" s="17" t="n">
        <x:v>78050</x:v>
      </x:c>
      <x:c r="N37" s="17" t="n">
        <x:v>45500</x:v>
      </x:c>
      <x:c r="O37" s="17" t="n">
        <x:v>25800</x:v>
      </x:c>
      <x:c r="P37" s="6"/>
    </x:row>
    <x:row r="38" ht="24" customHeight="1">
      <x:c r="A38" s="6"/>
      <x:c r="B38" s="14" t="n">
        <x:v>45962</x:v>
      </x:c>
      <x:c r="C38" s="6" t="str">
        <x:v>基础版</x:v>
      </x:c>
      <x:c r="D38" s="17" t="n">
        <x:v>236148</x:v>
      </x:c>
      <x:c r="E38" s="17" t="n">
        <x:v>19152</x:v>
      </x:c>
      <x:c r="F38" s="17" t="n">
        <x:v>2598</x:v>
      </x:c>
      <x:c r="G38" s="17" t="n">
        <x:v>6120</x:v>
      </x:c>
      <x:c r="H38" s="17" t="n">
        <x:v>590</x:v>
      </x:c>
      <x:c r="I38" s="17" t="n">
        <x:v>463</x:v>
      </x:c>
      <x:c r="J38" s="17" t="n">
        <x:v>38</x:v>
      </x:c>
      <x:c r="K38" s="17" t="n">
        <x:v>12</x:v>
      </x:c>
      <x:c r="L38" s="17" t="n">
        <x:v>51170</x:v>
      </x:c>
      <x:c r="M38" s="17" t="n">
        <x:v>45144</x:v>
      </x:c>
      <x:c r="N38" s="17" t="n">
        <x:v>31000</x:v>
      </x:c>
      <x:c r="O38" s="17" t="n">
        <x:v>18000</x:v>
      </x:c>
      <x:c r="P38" s="6"/>
    </x:row>
    <x:row r="39" ht="24" customHeight="1">
      <x:c r="A39" s="6"/>
      <x:c r="B39" s="14" t="n">
        <x:v>45962</x:v>
      </x:c>
      <x:c r="C39" s="6" t="str">
        <x:v>专业版</x:v>
      </x:c>
      <x:c r="D39" s="17" t="n">
        <x:v>489598.5</x:v>
      </x:c>
      <x:c r="E39" s="17" t="n">
        <x:v>37485</x:v>
      </x:c>
      <x:c r="F39" s="17" t="n">
        <x:v>6120</x:v>
      </x:c>
      <x:c r="G39" s="17" t="n">
        <x:v>4512</x:v>
      </x:c>
      <x:c r="H39" s="17" t="n">
        <x:v>1224</x:v>
      </x:c>
      <x:c r="I39" s="17" t="n">
        <x:v>217</x:v>
      </x:c>
      <x:c r="J39" s="17" t="n">
        <x:v>17</x:v>
      </x:c>
      <x:c r="K39" s="17" t="n">
        <x:v>2</x:v>
      </x:c>
      <x:c r="L39" s="17" t="n">
        <x:v>97638</x:v>
      </x:c>
      <x:c r="M39" s="17" t="n">
        <x:v>77792</x:v>
      </x:c>
      <x:c r="N39" s="17" t="n">
        <x:v>40000</x:v>
      </x:c>
      <x:c r="O39" s="17" t="n">
        <x:v>22000</x:v>
      </x:c>
      <x:c r="P39" s="6"/>
    </x:row>
    <x:row r="40" ht="24" customHeight="1">
      <x:c r="A40" s="6"/>
      <x:c r="B40" s="14" t="n">
        <x:v>45962</x:v>
      </x:c>
      <x:c r="C40" s="6" t="str">
        <x:v>企业版</x:v>
      </x:c>
      <x:c r="D40" s="17" t="n">
        <x:v>773005</x:v>
      </x:c>
      <x:c r="E40" s="17" t="n">
        <x:v>56700</x:v>
      </x:c>
      <x:c r="F40" s="17" t="n">
        <x:v>10822</x:v>
      </x:c>
      <x:c r="G40" s="17" t="n">
        <x:v>0</x:v>
      </x:c>
      <x:c r="H40" s="17" t="n">
        <x:v>1933</x:v>
      </x:c>
      <x:c r="I40" s="17" t="n">
        <x:v>66</x:v>
      </x:c>
      <x:c r="J40" s="17" t="n">
        <x:v>5</x:v>
      </x:c>
      <x:c r="K40" s="17" t="n">
        <x:v>0</x:v>
      </x:c>
      <x:c r="L40" s="17" t="n">
        <x:v>140209</x:v>
      </x:c>
      <x:c r="M40" s="17" t="n">
        <x:v>77000</x:v>
      </x:c>
      <x:c r="N40" s="17" t="n">
        <x:v>46000</x:v>
      </x:c>
      <x:c r="O40" s="17" t="n">
        <x:v>26000</x:v>
      </x:c>
      <x:c r="P40" s="6"/>
    </x:row>
    <x:row r="41" ht="24" customHeight="1">
      <x:c r="A41" s="6"/>
      <x:c r="B41" s="14" t="n">
        <x:v>45992</x:v>
      </x:c>
      <x:c r="C41" s="6" t="str">
        <x:v>基础版</x:v>
      </x:c>
      <x:c r="D41" s="17" t="n">
        <x:v>251188</x:v>
      </x:c>
      <x:c r="E41" s="17" t="n">
        <x:v>21168</x:v>
      </x:c>
      <x:c r="F41" s="17" t="n">
        <x:v>2763</x:v>
      </x:c>
      <x:c r="G41" s="17" t="n">
        <x:v>6164</x:v>
      </x:c>
      <x:c r="H41" s="17" t="n">
        <x:v>628</x:v>
      </x:c>
      <x:c r="I41" s="17" t="n">
        <x:v>489</x:v>
      </x:c>
      <x:c r="J41" s="17" t="n">
        <x:v>42</x:v>
      </x:c>
      <x:c r="K41" s="17" t="n">
        <x:v>12</x:v>
      </x:c>
      <x:c r="L41" s="17" t="n">
        <x:v>54030</x:v>
      </x:c>
      <x:c r="M41" s="17" t="n">
        <x:v>49216</x:v>
      </x:c>
      <x:c r="N41" s="17" t="n">
        <x:v>31500</x:v>
      </x:c>
      <x:c r="O41" s="17" t="n">
        <x:v>18200</x:v>
      </x:c>
      <x:c r="P41" s="6"/>
    </x:row>
    <x:row r="42" ht="24" customHeight="1">
      <x:c r="A42" s="6"/>
      <x:c r="B42" s="14" t="n">
        <x:v>45992</x:v>
      </x:c>
      <x:c r="C42" s="6" t="str">
        <x:v>专业版</x:v>
      </x:c>
      <x:c r="D42" s="17" t="n">
        <x:v>527467.5</x:v>
      </x:c>
      <x:c r="E42" s="17" t="n">
        <x:v>39690</x:v>
      </x:c>
      <x:c r="F42" s="17" t="n">
        <x:v>6593</x:v>
      </x:c>
      <x:c r="G42" s="17" t="n">
        <x:v>6821</x:v>
      </x:c>
      <x:c r="H42" s="17" t="n">
        <x:v>1319</x:v>
      </x:c>
      <x:c r="I42" s="17" t="n">
        <x:v>232</x:v>
      </x:c>
      <x:c r="J42" s="17" t="n">
        <x:v>18</x:v>
      </x:c>
      <x:c r="K42" s="17" t="n">
        <x:v>3</x:v>
      </x:c>
      <x:c r="L42" s="17" t="n">
        <x:v>103842</x:v>
      </x:c>
      <x:c r="M42" s="17" t="n">
        <x:v>81245</x:v>
      </x:c>
      <x:c r="N42" s="17" t="n">
        <x:v>40500</x:v>
      </x:c>
      <x:c r="O42" s="17" t="n">
        <x:v>22200</x:v>
      </x:c>
      <x:c r="P42" s="6"/>
    </x:row>
    <x:row r="43" ht="24" customHeight="1">
      <x:c r="A43" s="6"/>
      <x:c r="B43" s="14" t="n">
        <x:v>45992</x:v>
      </x:c>
      <x:c r="C43" s="6" t="str">
        <x:v>企业版</x:v>
      </x:c>
      <x:c r="D43" s="17" t="n">
        <x:v>838594</x:v>
      </x:c>
      <x:c r="E43" s="17" t="n">
        <x:v>68040</x:v>
      </x:c>
      <x:c r="F43" s="17" t="n">
        <x:v>11740</x:v>
      </x:c>
      <x:c r="G43" s="17" t="n">
        <x:v>0</x:v>
      </x:c>
      <x:c r="H43" s="17" t="n">
        <x:v>2096</x:v>
      </x:c>
      <x:c r="I43" s="17" t="n">
        <x:v>71</x:v>
      </x:c>
      <x:c r="J43" s="17" t="n">
        <x:v>6</x:v>
      </x:c>
      <x:c r="K43" s="17" t="n">
        <x:v>0</x:v>
      </x:c>
      <x:c r="L43" s="17" t="n">
        <x:v>150919</x:v>
      </x:c>
      <x:c r="M43" s="17" t="n">
        <x:v>91140</x:v>
      </x:c>
      <x:c r="N43" s="17" t="n">
        <x:v>46500</x:v>
      </x:c>
      <x:c r="O43" s="17" t="n">
        <x:v>26200</x:v>
      </x:c>
      <x:c r="P43" s="6"/>
    </x:row>
    <x:row r="44" ht="24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</x:row>
    <x:row r="45" ht="24" customHeight="1">
      <x:c r="A45" s="6"/>
      <x:c r="B45" s="7" t="str">
        <x:v>数据来源：本样例按固定规则生成，覆盖 12 个月、3 个产品版本。</x:v>
      </x:c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</x:row>
    <x:row r="46" ht="24" customHeight="1">
      <x:c r="A46" s="6"/>
      <x:c r="B46" s="7" t="str">
        <x:v>新增、流失在月中发生；月度订阅收入按期初与期末 MRR 的平均值估算。</x:v>
      </x:c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</x:row>
    <x:row r="47" ht="24" customHeight="1">
      <x:c r="A47" s="6"/>
      <x:c r="B47" s="7" t="str">
        <x:v>MRR 是月度经常性收入运行额。销售营销费用覆盖获客和存量营销，CAC 采用简化口径。</x:v>
      </x:c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.890000104904175" hidden="0" customWidth="1"/>
    <x:col min="2" max="2" width="18.440000534057617" hidden="0" customWidth="1"/>
    <x:col min="3" max="3" width="9.329999923706055" hidden="0" customWidth="1"/>
    <x:col min="4" max="4" width="9.329999923706055" hidden="0" customWidth="1"/>
    <x:col min="5" max="5" width="9.329999923706055" hidden="0" customWidth="1"/>
    <x:col min="6" max="6" width="9.329999923706055" hidden="0" customWidth="1"/>
    <x:col min="7" max="7" width="9.329999923706055" hidden="0" customWidth="1"/>
    <x:col min="8" max="8" width="9.329999923706055" hidden="0" customWidth="1"/>
    <x:col min="9" max="9" width="9.329999923706055" hidden="0" customWidth="1"/>
    <x:col min="10" max="10" width="9.329999923706055" hidden="0" customWidth="1"/>
    <x:col min="11" max="11" width="9.329999923706055" hidden="0" customWidth="1"/>
    <x:col min="12" max="12" width="9.329999923706055" hidden="0" customWidth="1"/>
    <x:col min="13" max="13" width="9.329999923706055" hidden="0" customWidth="1"/>
    <x:col min="14" max="14" width="9.329999923706055" hidden="0" customWidth="1"/>
    <x:col min="15" max="15" width="9.329999923706055" hidden="0" customWidth="1"/>
    <x:col min="16" max="16" width="2.890000104904175" hidden="0" customWidth="1"/>
  </x:cols>
  <x:sheetData>
    <x:row r="1" ht="24" customHeight="1">
      <x:c r="A1" s="6"/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 ht="24" customHeight="1">
      <x:c r="A2" s="6"/>
      <x:c r="B2" s="7" t="str">
        <x:v>SOURCE 02</x:v>
      </x:c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39" customHeight="1">
      <x:c r="A3" s="6"/>
      <x:c r="B3" s="8" t="str">
        <x:v>客户批次数据</x:v>
      </x:c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 ht="24" customHeight="1">
      <x:c r="A4" s="6"/>
      <x:c r="B4" s="7" t="str">
        <x:v>按首次付费月份归组；客户持续付费且未取消时计入当月留存。演示数据包含存量客户。</x:v>
      </x:c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</x:row>
    <x:row r="5" ht="24" customHeight="1">
      <x:c r="A5" s="6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6"/>
    </x:row>
    <x:row r="6" ht="24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</x:row>
    <x:row r="7" ht="30" customHeight="1">
      <x:c r="A7" s="6"/>
      <x:c r="B7" s="13" t="str">
        <x:v>首次付费</x:v>
      </x:c>
      <x:c r="C7" s="13" t="str">
        <x:v>初始客户</x:v>
      </x:c>
      <x:c r="D7" s="13" t="str">
        <x:v>1月末</x:v>
      </x:c>
      <x:c r="E7" s="13" t="str">
        <x:v>2月末</x:v>
      </x:c>
      <x:c r="F7" s="13" t="str">
        <x:v>3月末</x:v>
      </x:c>
      <x:c r="G7" s="13" t="str">
        <x:v>4月末</x:v>
      </x:c>
      <x:c r="H7" s="13" t="str">
        <x:v>5月末</x:v>
      </x:c>
      <x:c r="I7" s="13" t="str">
        <x:v>6月末</x:v>
      </x:c>
      <x:c r="J7" s="13" t="str">
        <x:v>7月末</x:v>
      </x:c>
      <x:c r="K7" s="13" t="str">
        <x:v>8月末</x:v>
      </x:c>
      <x:c r="L7" s="13" t="str">
        <x:v>9月末</x:v>
      </x:c>
      <x:c r="M7" s="13" t="str">
        <x:v>10月末</x:v>
      </x:c>
      <x:c r="N7" s="13" t="str">
        <x:v>11月末</x:v>
      </x:c>
      <x:c r="O7" s="13" t="str">
        <x:v>12月末</x:v>
      </x:c>
      <x:c r="P7" s="6"/>
    </x:row>
    <x:row r="8" ht="24" customHeight="1">
      <x:c r="A8" s="6"/>
      <x:c r="B8" s="6" t="str">
        <x:v>2025 年前</x:v>
      </x:c>
      <x:c r="C8" s="17" t="n">
        <x:v>445</x:v>
      </x:c>
      <x:c r="D8" s="17" t="n">
        <x:v>429</x:v>
      </x:c>
      <x:c r="E8" s="17" t="n">
        <x:v>420</x:v>
      </x:c>
      <x:c r="F8" s="17" t="n">
        <x:v>411</x:v>
      </x:c>
      <x:c r="G8" s="17" t="n">
        <x:v>403</x:v>
      </x:c>
      <x:c r="H8" s="17" t="n">
        <x:v>395</x:v>
      </x:c>
      <x:c r="I8" s="17" t="n">
        <x:v>387</x:v>
      </x:c>
      <x:c r="J8" s="17" t="n">
        <x:v>375</x:v>
      </x:c>
      <x:c r="K8" s="17" t="n">
        <x:v>367</x:v>
      </x:c>
      <x:c r="L8" s="17" t="n">
        <x:v>359</x:v>
      </x:c>
      <x:c r="M8" s="17" t="n">
        <x:v>352</x:v>
      </x:c>
      <x:c r="N8" s="17" t="n">
        <x:v>345</x:v>
      </x:c>
      <x:c r="O8" s="17" t="n">
        <x:v>338</x:v>
      </x:c>
      <x:c r="P8" s="6"/>
    </x:row>
    <x:row r="9" ht="24" customHeight="1">
      <x:c r="A9" s="6"/>
      <x:c r="B9" s="14" t="n">
        <x:v>45658</x:v>
      </x:c>
      <x:c r="C9" s="17" t="n">
        <x:v>32</x:v>
      </x:c>
      <x:c r="D9" s="17" t="n">
        <x:v>32</x:v>
      </x:c>
      <x:c r="E9" s="17" t="n">
        <x:v>31</x:v>
      </x:c>
      <x:c r="F9" s="17" t="n">
        <x:v>30</x:v>
      </x:c>
      <x:c r="G9" s="17" t="n">
        <x:v>29</x:v>
      </x:c>
      <x:c r="H9" s="17" t="n">
        <x:v>29</x:v>
      </x:c>
      <x:c r="I9" s="17" t="n">
        <x:v>29</x:v>
      </x:c>
      <x:c r="J9" s="17" t="n">
        <x:v>28</x:v>
      </x:c>
      <x:c r="K9" s="17" t="n">
        <x:v>28</x:v>
      </x:c>
      <x:c r="L9" s="17" t="n">
        <x:v>28</x:v>
      </x:c>
      <x:c r="M9" s="17" t="n">
        <x:v>28</x:v>
      </x:c>
      <x:c r="N9" s="17" t="n">
        <x:v>28</x:v>
      </x:c>
      <x:c r="O9" s="17" t="n">
        <x:v>28</x:v>
      </x:c>
      <x:c r="P9" s="6"/>
    </x:row>
    <x:row r="10" ht="24" customHeight="1">
      <x:c r="A10" s="6"/>
      <x:c r="B10" s="14" t="n">
        <x:v>45689</x:v>
      </x:c>
      <x:c r="C10" s="17" t="n">
        <x:v>30</x:v>
      </x:c>
      <x:c r="D10" s="17"/>
      <x:c r="E10" s="17" t="n">
        <x:v>30</x:v>
      </x:c>
      <x:c r="F10" s="17" t="n">
        <x:v>29</x:v>
      </x:c>
      <x:c r="G10" s="17" t="n">
        <x:v>29</x:v>
      </x:c>
      <x:c r="H10" s="17" t="n">
        <x:v>29</x:v>
      </x:c>
      <x:c r="I10" s="17" t="n">
        <x:v>29</x:v>
      </x:c>
      <x:c r="J10" s="17" t="n">
        <x:v>28</x:v>
      </x:c>
      <x:c r="K10" s="17" t="n">
        <x:v>28</x:v>
      </x:c>
      <x:c r="L10" s="17" t="n">
        <x:v>28</x:v>
      </x:c>
      <x:c r="M10" s="17" t="n">
        <x:v>28</x:v>
      </x:c>
      <x:c r="N10" s="17" t="n">
        <x:v>28</x:v>
      </x:c>
      <x:c r="O10" s="17" t="n">
        <x:v>28</x:v>
      </x:c>
      <x:c r="P10" s="6"/>
    </x:row>
    <x:row r="11" ht="24" customHeight="1">
      <x:c r="A11" s="6"/>
      <x:c r="B11" s="14" t="n">
        <x:v>45717</x:v>
      </x:c>
      <x:c r="C11" s="17" t="n">
        <x:v>36</x:v>
      </x:c>
      <x:c r="D11" s="17"/>
      <x:c r="E11" s="17"/>
      <x:c r="F11" s="17" t="n">
        <x:v>36</x:v>
      </x:c>
      <x:c r="G11" s="17" t="n">
        <x:v>35</x:v>
      </x:c>
      <x:c r="H11" s="17" t="n">
        <x:v>34</x:v>
      </x:c>
      <x:c r="I11" s="17" t="n">
        <x:v>33</x:v>
      </x:c>
      <x:c r="J11" s="17" t="n">
        <x:v>32</x:v>
      </x:c>
      <x:c r="K11" s="17" t="n">
        <x:v>31</x:v>
      </x:c>
      <x:c r="L11" s="17" t="n">
        <x:v>31</x:v>
      </x:c>
      <x:c r="M11" s="17" t="n">
        <x:v>31</x:v>
      </x:c>
      <x:c r="N11" s="17" t="n">
        <x:v>31</x:v>
      </x:c>
      <x:c r="O11" s="17" t="n">
        <x:v>31</x:v>
      </x:c>
      <x:c r="P11" s="6"/>
    </x:row>
    <x:row r="12" ht="24" customHeight="1">
      <x:c r="A12" s="6"/>
      <x:c r="B12" s="14" t="n">
        <x:v>45748</x:v>
      </x:c>
      <x:c r="C12" s="17" t="n">
        <x:v>39</x:v>
      </x:c>
      <x:c r="D12" s="17"/>
      <x:c r="E12" s="17"/>
      <x:c r="F12" s="17"/>
      <x:c r="G12" s="17" t="n">
        <x:v>39</x:v>
      </x:c>
      <x:c r="H12" s="17" t="n">
        <x:v>38</x:v>
      </x:c>
      <x:c r="I12" s="17" t="n">
        <x:v>37</x:v>
      </x:c>
      <x:c r="J12" s="17" t="n">
        <x:v>36</x:v>
      </x:c>
      <x:c r="K12" s="17" t="n">
        <x:v>35</x:v>
      </x:c>
      <x:c r="L12" s="17" t="n">
        <x:v>34</x:v>
      </x:c>
      <x:c r="M12" s="17" t="n">
        <x:v>33</x:v>
      </x:c>
      <x:c r="N12" s="17" t="n">
        <x:v>32</x:v>
      </x:c>
      <x:c r="O12" s="17" t="n">
        <x:v>32</x:v>
      </x:c>
      <x:c r="P12" s="6"/>
    </x:row>
    <x:row r="13" ht="24" customHeight="1">
      <x:c r="A13" s="6"/>
      <x:c r="B13" s="14" t="n">
        <x:v>45778</x:v>
      </x:c>
      <x:c r="C13" s="17" t="n">
        <x:v>41</x:v>
      </x:c>
      <x:c r="D13" s="17"/>
      <x:c r="E13" s="17"/>
      <x:c r="F13" s="17"/>
      <x:c r="G13" s="17"/>
      <x:c r="H13" s="17" t="n">
        <x:v>41</x:v>
      </x:c>
      <x:c r="I13" s="17" t="n">
        <x:v>40</x:v>
      </x:c>
      <x:c r="J13" s="17" t="n">
        <x:v>39</x:v>
      </x:c>
      <x:c r="K13" s="17" t="n">
        <x:v>38</x:v>
      </x:c>
      <x:c r="L13" s="17" t="n">
        <x:v>37</x:v>
      </x:c>
      <x:c r="M13" s="17" t="n">
        <x:v>36</x:v>
      </x:c>
      <x:c r="N13" s="17" t="n">
        <x:v>35</x:v>
      </x:c>
      <x:c r="O13" s="17" t="n">
        <x:v>34</x:v>
      </x:c>
      <x:c r="P13" s="6"/>
    </x:row>
    <x:row r="14" ht="24" customHeight="1">
      <x:c r="A14" s="6"/>
      <x:c r="B14" s="14" t="n">
        <x:v>45809</x:v>
      </x:c>
      <x:c r="C14" s="17" t="n">
        <x:v>44</x:v>
      </x:c>
      <x:c r="D14" s="17"/>
      <x:c r="E14" s="17"/>
      <x:c r="F14" s="17"/>
      <x:c r="G14" s="17"/>
      <x:c r="H14" s="17"/>
      <x:c r="I14" s="17" t="n">
        <x:v>44</x:v>
      </x:c>
      <x:c r="J14" s="17" t="n">
        <x:v>42</x:v>
      </x:c>
      <x:c r="K14" s="17" t="n">
        <x:v>41</x:v>
      </x:c>
      <x:c r="L14" s="17" t="n">
        <x:v>40</x:v>
      </x:c>
      <x:c r="M14" s="17" t="n">
        <x:v>39</x:v>
      </x:c>
      <x:c r="N14" s="17" t="n">
        <x:v>38</x:v>
      </x:c>
      <x:c r="O14" s="17" t="n">
        <x:v>37</x:v>
      </x:c>
      <x:c r="P14" s="6"/>
    </x:row>
    <x:row r="15" ht="24" customHeight="1">
      <x:c r="A15" s="6"/>
      <x:c r="B15" s="14" t="n">
        <x:v>45839</x:v>
      </x:c>
      <x:c r="C15" s="17" t="n">
        <x:v>47</x:v>
      </x:c>
      <x:c r="D15" s="17"/>
      <x:c r="E15" s="17"/>
      <x:c r="F15" s="17"/>
      <x:c r="G15" s="17"/>
      <x:c r="H15" s="17"/>
      <x:c r="I15" s="17"/>
      <x:c r="J15" s="17" t="n">
        <x:v>47</x:v>
      </x:c>
      <x:c r="K15" s="17" t="n">
        <x:v>46</x:v>
      </x:c>
      <x:c r="L15" s="17" t="n">
        <x:v>45</x:v>
      </x:c>
      <x:c r="M15" s="17" t="n">
        <x:v>44</x:v>
      </x:c>
      <x:c r="N15" s="17" t="n">
        <x:v>43</x:v>
      </x:c>
      <x:c r="O15" s="17" t="n">
        <x:v>42</x:v>
      </x:c>
      <x:c r="P15" s="6"/>
    </x:row>
    <x:row r="16" ht="24" customHeight="1">
      <x:c r="A16" s="6"/>
      <x:c r="B16" s="14" t="n">
        <x:v>45870</x:v>
      </x:c>
      <x:c r="C16" s="17" t="n">
        <x:v>51</x:v>
      </x:c>
      <x:c r="D16" s="17"/>
      <x:c r="E16" s="17"/>
      <x:c r="F16" s="17"/>
      <x:c r="G16" s="17"/>
      <x:c r="H16" s="17"/>
      <x:c r="I16" s="17"/>
      <x:c r="J16" s="17"/>
      <x:c r="K16" s="17" t="n">
        <x:v>51</x:v>
      </x:c>
      <x:c r="L16" s="17" t="n">
        <x:v>50</x:v>
      </x:c>
      <x:c r="M16" s="17" t="n">
        <x:v>49</x:v>
      </x:c>
      <x:c r="N16" s="17" t="n">
        <x:v>48</x:v>
      </x:c>
      <x:c r="O16" s="17" t="n">
        <x:v>47</x:v>
      </x:c>
      <x:c r="P16" s="6"/>
    </x:row>
    <x:row r="17" ht="24" customHeight="1">
      <x:c r="A17" s="6"/>
      <x:c r="B17" s="14" t="n">
        <x:v>45901</x:v>
      </x:c>
      <x:c r="C17" s="17" t="n">
        <x:v>51</x:v>
      </x:c>
      <x:c r="D17" s="17"/>
      <x:c r="E17" s="17"/>
      <x:c r="F17" s="17"/>
      <x:c r="G17" s="17"/>
      <x:c r="H17" s="17"/>
      <x:c r="I17" s="17"/>
      <x:c r="J17" s="17"/>
      <x:c r="K17" s="17"/>
      <x:c r="L17" s="17" t="n">
        <x:v>51</x:v>
      </x:c>
      <x:c r="M17" s="17" t="n">
        <x:v>50</x:v>
      </x:c>
      <x:c r="N17" s="17" t="n">
        <x:v>49</x:v>
      </x:c>
      <x:c r="O17" s="17" t="n">
        <x:v>48</x:v>
      </x:c>
      <x:c r="P17" s="6"/>
    </x:row>
    <x:row r="18" ht="24" customHeight="1">
      <x:c r="A18" s="6"/>
      <x:c r="B18" s="14" t="n">
        <x:v>45931</x:v>
      </x:c>
      <x:c r="C18" s="17" t="n">
        <x:v>56</x:v>
      </x:c>
      <x:c r="D18" s="17"/>
      <x:c r="E18" s="17"/>
      <x:c r="F18" s="17"/>
      <x:c r="G18" s="17"/>
      <x:c r="H18" s="17"/>
      <x:c r="I18" s="17"/>
      <x:c r="J18" s="17"/>
      <x:c r="K18" s="17"/>
      <x:c r="L18" s="17"/>
      <x:c r="M18" s="17" t="n">
        <x:v>56</x:v>
      </x:c>
      <x:c r="N18" s="17" t="n">
        <x:v>55</x:v>
      </x:c>
      <x:c r="O18" s="17" t="n">
        <x:v>54</x:v>
      </x:c>
      <x:c r="P18" s="6"/>
    </x:row>
    <x:row r="19" ht="24" customHeight="1">
      <x:c r="A19" s="6"/>
      <x:c r="B19" s="14" t="n">
        <x:v>45962</x:v>
      </x:c>
      <x:c r="C19" s="17" t="n">
        <x:v>60</x:v>
      </x:c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 t="n">
        <x:v>60</x:v>
      </x:c>
      <x:c r="O19" s="17" t="n">
        <x:v>58</x:v>
      </x:c>
      <x:c r="P19" s="6"/>
    </x:row>
    <x:row r="20" ht="24" customHeight="1">
      <x:c r="A20" s="6"/>
      <x:c r="B20" s="14" t="n">
        <x:v>45992</x:v>
      </x:c>
      <x:c r="C20" s="17" t="n">
        <x:v>66</x:v>
      </x:c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 t="n">
        <x:v>66</x:v>
      </x:c>
      <x:c r="P20" s="6"/>
    </x:row>
    <x:row r="21" ht="24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</x:row>
    <x:row r="22" ht="24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</x:row>
    <x:row r="23" ht="24" customHeight="1">
      <x:c r="A23" s="6"/>
      <x:c r="B23" s="7" t="str">
        <x:v>数据来源：与月度经营数据共同生成的客户批次，按月末存续家数记录。</x:v>
      </x:c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</x:row>
    <x:row r="24" ht="24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</x:row>
    <x:row r="25" ht="24" customHeight="1">
      <x:c r="A25" s="6"/>
      <x:c r="B25" s="7" t="str">
        <x:v>空白表示尚未达到观察月份。真实为零的客户数保留为数值 0。</x:v>
      </x:c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</x:row>
    <x:row r="26" ht="24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</x:row>
    <x:row r="27" ht="30" customHeight="1">
      <x:c r="A27" s="6"/>
      <x:c r="B27" s="13" t="str">
        <x:v>核对项</x:v>
      </x:c>
      <x:c r="C27" s="13" t="str"/>
      <x:c r="D27" s="13" t="str">
        <x:v>1月</x:v>
      </x:c>
      <x:c r="E27" s="13" t="str">
        <x:v>2月</x:v>
      </x:c>
      <x:c r="F27" s="13" t="str">
        <x:v>3月</x:v>
      </x:c>
      <x:c r="G27" s="13" t="str">
        <x:v>4月</x:v>
      </x:c>
      <x:c r="H27" s="13" t="str">
        <x:v>5月</x:v>
      </x:c>
      <x:c r="I27" s="13" t="str">
        <x:v>6月</x:v>
      </x:c>
      <x:c r="J27" s="13" t="str">
        <x:v>7月</x:v>
      </x:c>
      <x:c r="K27" s="13" t="str">
        <x:v>8月</x:v>
      </x:c>
      <x:c r="L27" s="13" t="str">
        <x:v>9月</x:v>
      </x:c>
      <x:c r="M27" s="13" t="str">
        <x:v>10月</x:v>
      </x:c>
      <x:c r="N27" s="13" t="str">
        <x:v>11月</x:v>
      </x:c>
      <x:c r="O27" s="13" t="str">
        <x:v>12月</x:v>
      </x:c>
      <x:c r="P27" s="6"/>
    </x:row>
    <x:row r="28" ht="24" customHeight="1">
      <x:c r="A28" s="6"/>
      <x:c r="B28" s="6" t="str">
        <x:v>客户数核对差</x:v>
      </x:c>
      <x:c r="C28" s="6"/>
      <x:c r="D28" s="55">
        <x:f>SUM(D8:D20)-'增长质量'!C72</x:f>
        <x:v>0</x:v>
      </x:c>
      <x:c r="E28" s="55">
        <x:f>SUM(E8:E20)-'增长质量'!D72</x:f>
        <x:v>0</x:v>
      </x:c>
      <x:c r="F28" s="55">
        <x:f>SUM(F8:F20)-'增长质量'!E72</x:f>
        <x:v>0</x:v>
      </x:c>
      <x:c r="G28" s="55">
        <x:f>SUM(G8:G20)-'增长质量'!F72</x:f>
        <x:v>0</x:v>
      </x:c>
      <x:c r="H28" s="55">
        <x:f>SUM(H8:H20)-'增长质量'!G72</x:f>
        <x:v>0</x:v>
      </x:c>
      <x:c r="I28" s="55">
        <x:f>SUM(I8:I20)-'增长质量'!H72</x:f>
        <x:v>0</x:v>
      </x:c>
      <x:c r="J28" s="55">
        <x:f>SUM(J8:J20)-'增长质量'!I72</x:f>
        <x:v>0</x:v>
      </x:c>
      <x:c r="K28" s="55">
        <x:f>SUM(K8:K20)-'增长质量'!J72</x:f>
        <x:v>0</x:v>
      </x:c>
      <x:c r="L28" s="55">
        <x:f>SUM(L8:L20)-'增长质量'!K72</x:f>
        <x:v>0</x:v>
      </x:c>
      <x:c r="M28" s="55">
        <x:f>SUM(M8:M20)-'增长质量'!L72</x:f>
        <x:v>0</x:v>
      </x:c>
      <x:c r="N28" s="55">
        <x:f>SUM(N8:N20)-'增长质量'!M72</x:f>
        <x:v>0</x:v>
      </x:c>
      <x:c r="O28" s="55">
        <x:f>SUM(O8:O20)-'增长质量'!N72</x:f>
        <x:v>0</x:v>
      </x:c>
      <x:c r="P28" s="6"/>
    </x:row>
    <x:row r="29" ht="24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</x:row>
  </x:sheetData>
  <x:pageMargins left="0.7" right="0.7" top="0.75" bottom="0.75" header="0.3" footer="0.3"/>
</x:worksheet>
</file>