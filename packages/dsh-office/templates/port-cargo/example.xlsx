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港口总览" sheetId="1" state="visible" r:id="rId1"/>
    <sheet name="货类与航线" sheetId="2" state="visible" r:id="rId2"/>
    <sheet name="作业效率" sheetId="3" state="visible" r:id="rId3"/>
    <sheet name="日度汇总" sheetId="4" state="visible" r:id="rId4"/>
    <sheet name="作业明细" sheetId="5" state="visible" r:id="rId5"/>
  </sheets>
  <definedNames>
    <definedName name="_xlnm.Print_Area" localSheetId="0">'港口总览'!$A$1:$P$54</definedName>
    <definedName name="_xlnm.Print_Area" localSheetId="1">'货类与航线'!$A$1:$L$52</definedName>
    <definedName name="_xlnm.Print_Area" localSheetId="2">'作业效率'!$A$1:$L$52</definedName>
    <definedName name="_xlnm._FilterDatabase" localSheetId="3" hidden="1">'日度汇总'!$A$7:$H$372</definedName>
    <definedName name="_xlnm.Print_Area" localSheetId="3">'日度汇总'!$A$1:$H$46</definedName>
    <definedName name="_xlnm._FilterDatabase" localSheetId="4" hidden="1">'作业明细'!$A$7:$L$2197</definedName>
    <definedName name="_xlnm.Print_Area" localSheetId="4">'作业明细'!$A$1:$L$46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-dd"/>
    <numFmt numFmtId="166" formatCode="0.0"/>
    <numFmt numFmtId="167" formatCode="#,##0.0"/>
    <numFmt numFmtId="168" formatCode="0.0%"/>
  </numFmts>
  <fonts count="10">
    <font>
      <name val="Calibri"/>
      <family val="2"/>
      <color theme="1"/>
      <sz val="11"/>
      <scheme val="minor"/>
    </font>
    <font>
      <name val="Noto Sans CJK SC"/>
      <b val="1"/>
      <color rgb="00174661"/>
      <sz val="22"/>
    </font>
    <font>
      <name val="Noto Sans CJK SC"/>
      <color rgb="00687A8D"/>
      <sz val="10"/>
    </font>
    <font>
      <name val="Noto Sans CJK SC"/>
      <b val="1"/>
      <color rgb="00174661"/>
      <sz val="20"/>
    </font>
    <font>
      <name val="Noto Sans CJK SC"/>
      <b val="1"/>
      <color rgb="00FFFFFF"/>
      <sz val="9"/>
    </font>
    <font>
      <name val="Noto Sans CJK SC"/>
      <color rgb="00253446"/>
      <sz val="10"/>
    </font>
    <font>
      <name val="Noto Sans CJK SC"/>
      <b val="1"/>
      <color rgb="00174661"/>
      <sz val="11"/>
    </font>
    <font>
      <name val="Noto Sans CJK SC"/>
      <color rgb="00687A8D"/>
      <sz val="9"/>
    </font>
    <font>
      <name val="Noto Sans CJK SC"/>
      <b val="1"/>
      <color rgb="00174661"/>
      <sz val="23"/>
    </font>
    <font>
      <name val="Noto Sans CJK S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4661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167" fontId="8" fillId="0" borderId="0" applyAlignment="1" pivotButton="0" quotePrefix="0" xfId="0">
      <alignment horizontal="right" vertical="center" wrapText="1"/>
    </xf>
    <xf numFmtId="168" fontId="8" fillId="0" borderId="0" applyAlignment="1" pivotButton="0" quotePrefix="0" xfId="0">
      <alignment horizontal="right" vertical="center" wrapText="1"/>
    </xf>
    <xf numFmtId="166" fontId="8" fillId="0" borderId="0" applyAlignment="1" pivotButton="0" quotePrefix="0" xfId="0">
      <alignment horizontal="right" vertical="center" wrapText="1"/>
    </xf>
    <xf numFmtId="3" fontId="8" fillId="0" borderId="0" applyAlignment="1" pivotButton="0" quotePrefix="0" xfId="0">
      <alignment horizontal="righ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49" fontId="5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166" fontId="5" fillId="3" borderId="0" applyAlignment="1" pivotButton="0" quotePrefix="0" xfId="0">
      <alignment horizontal="right" vertical="center" wrapText="1"/>
    </xf>
    <xf numFmtId="49" fontId="5" fillId="4" borderId="0" applyAlignment="1" pivotButton="0" quotePrefix="0" xfId="0">
      <alignment horizontal="left" vertical="center" wrapText="1"/>
    </xf>
    <xf numFmtId="166" fontId="5" fillId="4" borderId="0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3" fontId="5" fillId="3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  <xf numFmtId="166" fontId="5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left" vertical="center" wrapText="1"/>
    </xf>
    <xf numFmtId="3" fontId="5" fillId="4" borderId="0" applyAlignment="1" pivotButton="0" quotePrefix="0" xfId="0">
      <alignment horizontal="right" vertical="center" wrapText="1"/>
    </xf>
    <xf numFmtId="1" fontId="5" fillId="0" borderId="0" applyAlignment="1" pivotButton="0" quotePrefix="0" xfId="0">
      <alignment horizontal="right" vertical="center" wrapText="1"/>
    </xf>
    <xf numFmtId="167" fontId="5" fillId="3" borderId="0" applyAlignment="1" pivotButton="0" quotePrefix="0" xfId="0">
      <alignment horizontal="right" vertical="center" wrapText="1"/>
    </xf>
    <xf numFmtId="168" fontId="5" fillId="3" borderId="0" applyAlignment="1" pivotButton="0" quotePrefix="0" xfId="0">
      <alignment horizontal="right" vertical="center" wrapText="1"/>
    </xf>
    <xf numFmtId="167" fontId="5" fillId="4" borderId="0" applyAlignment="1" pivotButton="0" quotePrefix="0" xfId="0">
      <alignment horizontal="right" vertical="center" wrapText="1"/>
    </xf>
    <xf numFmtId="168" fontId="5" fillId="4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165" fontId="5" fillId="3" borderId="0" applyAlignment="1" pivotButton="0" quotePrefix="0" xfId="0">
      <alignment horizontal="right" vertical="center" wrapText="1"/>
    </xf>
    <xf numFmtId="1" fontId="5" fillId="3" borderId="0" applyAlignment="1" pivotButton="0" quotePrefix="0" xfId="0">
      <alignment horizontal="right" vertical="center" wrapText="1"/>
    </xf>
    <xf numFmtId="165" fontId="5" fillId="4" borderId="0" applyAlignment="1" pivotButton="0" quotePrefix="0" xfId="0">
      <alignment horizontal="right" vertical="center" wrapText="1"/>
    </xf>
    <xf numFmtId="1" fontId="5" fillId="4" borderId="0" applyAlignment="1" pivotButton="0" quotePrefix="0" xfId="0">
      <alignment horizontal="right" vertical="center" wrapText="1"/>
    </xf>
    <xf numFmtId="164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2" fontId="5" fillId="3" borderId="0" applyAlignment="1" pivotButton="0" quotePrefix="0" xfId="0">
      <alignment horizontal="right" vertical="center" wrapText="1"/>
    </xf>
    <xf numFmtId="164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2" fontId="5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日度吞吐量 / 吨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scatterChart>
        <scatterStyle val="lineMarker"/>
        <ser>
          <idx val="0"/>
          <order val="0"/>
          <tx>
            <v>合计 / 吨</v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marker>
            <symbol val="none"/>
            <size val="4"/>
            <spPr>
              <a:ln>
                <a:prstDash val="solid"/>
              </a:ln>
            </spPr>
          </marker>
          <xVal>
            <numRef>
              <f>'日度汇总'!$A$8:$A$372</f>
              <c:numCache xmlns:c="http://schemas.openxmlformats.org/drawingml/2006/chart">
                <c:formatCode>mm\-dd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numRef>
          </xVal>
          <yVal>
            <numRef>
              <f>'日度汇总'!$D$8:$D$372</f>
              <c:numCache xmlns:c="http://schemas.openxmlformats.org/drawingml/2006/chart">
                <c:formatCode>#,##0</c:formatCode>
                <c:ptCount val="365"/>
                <c:pt idx="0">
                  <c:v>59684</c:v>
                </c:pt>
                <c:pt idx="1">
                  <c:v>54189</c:v>
                </c:pt>
                <c:pt idx="2">
                  <c:v>71561</c:v>
                </c:pt>
                <c:pt idx="3">
                  <c:v>73065</c:v>
                </c:pt>
                <c:pt idx="4">
                  <c:v>66327</c:v>
                </c:pt>
                <c:pt idx="5">
                  <c:v>69915</c:v>
                </c:pt>
                <c:pt idx="6">
                  <c:v>55308</c:v>
                </c:pt>
                <c:pt idx="7">
                  <c:v>51162</c:v>
                </c:pt>
                <c:pt idx="8">
                  <c:v>59682</c:v>
                </c:pt>
                <c:pt idx="9">
                  <c:v>51614</c:v>
                </c:pt>
                <c:pt idx="10">
                  <c:v>62287</c:v>
                </c:pt>
                <c:pt idx="11">
                  <c:v>55423</c:v>
                </c:pt>
                <c:pt idx="12">
                  <c:v>54866</c:v>
                </c:pt>
                <c:pt idx="13">
                  <c:v>55189</c:v>
                </c:pt>
                <c:pt idx="14">
                  <c:v>60362</c:v>
                </c:pt>
                <c:pt idx="15">
                  <c:v>70781</c:v>
                </c:pt>
                <c:pt idx="16">
                  <c:v>56748</c:v>
                </c:pt>
                <c:pt idx="17">
                  <c:v>57606</c:v>
                </c:pt>
                <c:pt idx="18">
                  <c:v>55471</c:v>
                </c:pt>
                <c:pt idx="19">
                  <c:v>71874</c:v>
                </c:pt>
                <c:pt idx="20">
                  <c:v>59417</c:v>
                </c:pt>
                <c:pt idx="21">
                  <c:v>48118</c:v>
                </c:pt>
                <c:pt idx="22">
                  <c:v>49101</c:v>
                </c:pt>
                <c:pt idx="23">
                  <c:v>43442</c:v>
                </c:pt>
                <c:pt idx="24">
                  <c:v>46201</c:v>
                </c:pt>
                <c:pt idx="25">
                  <c:v>53586</c:v>
                </c:pt>
                <c:pt idx="26">
                  <c:v>47765</c:v>
                </c:pt>
                <c:pt idx="27">
                  <c:v>61267</c:v>
                </c:pt>
                <c:pt idx="28">
                  <c:v>50345</c:v>
                </c:pt>
                <c:pt idx="29">
                  <c:v>60276</c:v>
                </c:pt>
                <c:pt idx="30">
                  <c:v>61465</c:v>
                </c:pt>
                <c:pt idx="31">
                  <c:v>75678</c:v>
                </c:pt>
                <c:pt idx="32">
                  <c:v>53539</c:v>
                </c:pt>
                <c:pt idx="33">
                  <c:v>49811</c:v>
                </c:pt>
                <c:pt idx="34">
                  <c:v>28886</c:v>
                </c:pt>
                <c:pt idx="35">
                  <c:v>29177</c:v>
                </c:pt>
                <c:pt idx="36">
                  <c:v>29665</c:v>
                </c:pt>
                <c:pt idx="37">
                  <c:v>24509</c:v>
                </c:pt>
                <c:pt idx="38">
                  <c:v>28768</c:v>
                </c:pt>
                <c:pt idx="39">
                  <c:v>37867</c:v>
                </c:pt>
                <c:pt idx="40">
                  <c:v>34449</c:v>
                </c:pt>
                <c:pt idx="41">
                  <c:v>38015</c:v>
                </c:pt>
                <c:pt idx="42">
                  <c:v>26166</c:v>
                </c:pt>
                <c:pt idx="43">
                  <c:v>64966</c:v>
                </c:pt>
                <c:pt idx="44">
                  <c:v>62461</c:v>
                </c:pt>
                <c:pt idx="45">
                  <c:v>49663</c:v>
                </c:pt>
                <c:pt idx="46">
                  <c:v>45887</c:v>
                </c:pt>
                <c:pt idx="47">
                  <c:v>50532</c:v>
                </c:pt>
                <c:pt idx="48">
                  <c:v>46853</c:v>
                </c:pt>
                <c:pt idx="49">
                  <c:v>47532</c:v>
                </c:pt>
                <c:pt idx="50">
                  <c:v>47656</c:v>
                </c:pt>
                <c:pt idx="51">
                  <c:v>49137</c:v>
                </c:pt>
                <c:pt idx="52">
                  <c:v>50925</c:v>
                </c:pt>
                <c:pt idx="53">
                  <c:v>71459</c:v>
                </c:pt>
                <c:pt idx="54">
                  <c:v>57145</c:v>
                </c:pt>
                <c:pt idx="55">
                  <c:v>62015</c:v>
                </c:pt>
                <c:pt idx="56">
                  <c:v>70161</c:v>
                </c:pt>
                <c:pt idx="57">
                  <c:v>57909</c:v>
                </c:pt>
                <c:pt idx="58">
                  <c:v>61154</c:v>
                </c:pt>
                <c:pt idx="59">
                  <c:v>53190</c:v>
                </c:pt>
                <c:pt idx="60">
                  <c:v>55377</c:v>
                </c:pt>
                <c:pt idx="61">
                  <c:v>55246</c:v>
                </c:pt>
                <c:pt idx="62">
                  <c:v>49243</c:v>
                </c:pt>
                <c:pt idx="63">
                  <c:v>52795</c:v>
                </c:pt>
                <c:pt idx="64">
                  <c:v>58066</c:v>
                </c:pt>
                <c:pt idx="65">
                  <c:v>48399</c:v>
                </c:pt>
                <c:pt idx="66">
                  <c:v>53059</c:v>
                </c:pt>
                <c:pt idx="67">
                  <c:v>60698</c:v>
                </c:pt>
                <c:pt idx="68">
                  <c:v>52268</c:v>
                </c:pt>
                <c:pt idx="69">
                  <c:v>71049</c:v>
                </c:pt>
                <c:pt idx="70">
                  <c:v>54693</c:v>
                </c:pt>
                <c:pt idx="71">
                  <c:v>60167</c:v>
                </c:pt>
                <c:pt idx="72">
                  <c:v>53772</c:v>
                </c:pt>
                <c:pt idx="73">
                  <c:v>50918</c:v>
                </c:pt>
                <c:pt idx="74">
                  <c:v>43842</c:v>
                </c:pt>
                <c:pt idx="75">
                  <c:v>61046</c:v>
                </c:pt>
                <c:pt idx="76">
                  <c:v>64746</c:v>
                </c:pt>
                <c:pt idx="77">
                  <c:v>57333</c:v>
                </c:pt>
                <c:pt idx="78">
                  <c:v>58612</c:v>
                </c:pt>
                <c:pt idx="79">
                  <c:v>60259</c:v>
                </c:pt>
                <c:pt idx="80">
                  <c:v>67911</c:v>
                </c:pt>
                <c:pt idx="81">
                  <c:v>65621</c:v>
                </c:pt>
                <c:pt idx="82">
                  <c:v>54601</c:v>
                </c:pt>
                <c:pt idx="83">
                  <c:v>65037</c:v>
                </c:pt>
                <c:pt idx="84">
                  <c:v>69956</c:v>
                </c:pt>
                <c:pt idx="85">
                  <c:v>51529</c:v>
                </c:pt>
                <c:pt idx="86">
                  <c:v>48952</c:v>
                </c:pt>
                <c:pt idx="87">
                  <c:v>56955</c:v>
                </c:pt>
                <c:pt idx="88">
                  <c:v>55247</c:v>
                </c:pt>
                <c:pt idx="89">
                  <c:v>51712</c:v>
                </c:pt>
                <c:pt idx="90">
                  <c:v>51013</c:v>
                </c:pt>
                <c:pt idx="91">
                  <c:v>54144</c:v>
                </c:pt>
                <c:pt idx="92">
                  <c:v>51528</c:v>
                </c:pt>
                <c:pt idx="93">
                  <c:v>63603</c:v>
                </c:pt>
                <c:pt idx="94">
                  <c:v>80283</c:v>
                </c:pt>
                <c:pt idx="95">
                  <c:v>79623</c:v>
                </c:pt>
                <c:pt idx="96">
                  <c:v>60470</c:v>
                </c:pt>
                <c:pt idx="97">
                  <c:v>55834</c:v>
                </c:pt>
                <c:pt idx="98">
                  <c:v>57609</c:v>
                </c:pt>
                <c:pt idx="99">
                  <c:v>60061</c:v>
                </c:pt>
                <c:pt idx="100">
                  <c:v>49070</c:v>
                </c:pt>
                <c:pt idx="101">
                  <c:v>65180</c:v>
                </c:pt>
                <c:pt idx="102">
                  <c:v>55046</c:v>
                </c:pt>
                <c:pt idx="103">
                  <c:v>64231</c:v>
                </c:pt>
                <c:pt idx="104">
                  <c:v>58525</c:v>
                </c:pt>
                <c:pt idx="105">
                  <c:v>66349</c:v>
                </c:pt>
                <c:pt idx="106">
                  <c:v>56296</c:v>
                </c:pt>
                <c:pt idx="107">
                  <c:v>62935</c:v>
                </c:pt>
                <c:pt idx="108">
                  <c:v>70755</c:v>
                </c:pt>
                <c:pt idx="109">
                  <c:v>77137</c:v>
                </c:pt>
                <c:pt idx="110">
                  <c:v>76535</c:v>
                </c:pt>
                <c:pt idx="111">
                  <c:v>75872</c:v>
                </c:pt>
                <c:pt idx="112">
                  <c:v>58339</c:v>
                </c:pt>
                <c:pt idx="113">
                  <c:v>48378</c:v>
                </c:pt>
                <c:pt idx="114">
                  <c:v>51330</c:v>
                </c:pt>
                <c:pt idx="115">
                  <c:v>53760</c:v>
                </c:pt>
                <c:pt idx="116">
                  <c:v>55431</c:v>
                </c:pt>
                <c:pt idx="117">
                  <c:v>69698</c:v>
                </c:pt>
                <c:pt idx="118">
                  <c:v>69628</c:v>
                </c:pt>
                <c:pt idx="119">
                  <c:v>70745</c:v>
                </c:pt>
                <c:pt idx="120">
                  <c:v>75932</c:v>
                </c:pt>
                <c:pt idx="121">
                  <c:v>61349</c:v>
                </c:pt>
                <c:pt idx="122">
                  <c:v>72796</c:v>
                </c:pt>
                <c:pt idx="123">
                  <c:v>66926</c:v>
                </c:pt>
                <c:pt idx="124">
                  <c:v>64501</c:v>
                </c:pt>
                <c:pt idx="125">
                  <c:v>55088</c:v>
                </c:pt>
                <c:pt idx="126">
                  <c:v>56444</c:v>
                </c:pt>
                <c:pt idx="127">
                  <c:v>57522</c:v>
                </c:pt>
                <c:pt idx="128">
                  <c:v>59283</c:v>
                </c:pt>
                <c:pt idx="129">
                  <c:v>56271</c:v>
                </c:pt>
                <c:pt idx="130">
                  <c:v>53125</c:v>
                </c:pt>
                <c:pt idx="131">
                  <c:v>74945</c:v>
                </c:pt>
                <c:pt idx="132">
                  <c:v>60832</c:v>
                </c:pt>
                <c:pt idx="133">
                  <c:v>68384</c:v>
                </c:pt>
                <c:pt idx="134">
                  <c:v>80685</c:v>
                </c:pt>
                <c:pt idx="135">
                  <c:v>68780</c:v>
                </c:pt>
                <c:pt idx="136">
                  <c:v>63650</c:v>
                </c:pt>
                <c:pt idx="137">
                  <c:v>64165</c:v>
                </c:pt>
                <c:pt idx="138">
                  <c:v>68129</c:v>
                </c:pt>
                <c:pt idx="139">
                  <c:v>66966</c:v>
                </c:pt>
                <c:pt idx="140">
                  <c:v>56249</c:v>
                </c:pt>
                <c:pt idx="141">
                  <c:v>77079</c:v>
                </c:pt>
                <c:pt idx="142">
                  <c:v>78886</c:v>
                </c:pt>
                <c:pt idx="143">
                  <c:v>82294</c:v>
                </c:pt>
                <c:pt idx="144">
                  <c:v>68804</c:v>
                </c:pt>
                <c:pt idx="145">
                  <c:v>82396</c:v>
                </c:pt>
                <c:pt idx="146">
                  <c:v>87031</c:v>
                </c:pt>
                <c:pt idx="147">
                  <c:v>77275</c:v>
                </c:pt>
                <c:pt idx="148">
                  <c:v>64246</c:v>
                </c:pt>
                <c:pt idx="149">
                  <c:v>76281</c:v>
                </c:pt>
                <c:pt idx="150">
                  <c:v>63557</c:v>
                </c:pt>
                <c:pt idx="151">
                  <c:v>58316</c:v>
                </c:pt>
                <c:pt idx="152">
                  <c:v>70907</c:v>
                </c:pt>
                <c:pt idx="153">
                  <c:v>54461</c:v>
                </c:pt>
                <c:pt idx="154">
                  <c:v>57275</c:v>
                </c:pt>
                <c:pt idx="155">
                  <c:v>55539</c:v>
                </c:pt>
                <c:pt idx="156">
                  <c:v>67797</c:v>
                </c:pt>
                <c:pt idx="157">
                  <c:v>77857</c:v>
                </c:pt>
                <c:pt idx="158">
                  <c:v>95036</c:v>
                </c:pt>
                <c:pt idx="159">
                  <c:v>70502</c:v>
                </c:pt>
                <c:pt idx="160">
                  <c:v>64094</c:v>
                </c:pt>
                <c:pt idx="161">
                  <c:v>67990</c:v>
                </c:pt>
                <c:pt idx="162">
                  <c:v>66360</c:v>
                </c:pt>
                <c:pt idx="163">
                  <c:v>75166</c:v>
                </c:pt>
                <c:pt idx="164">
                  <c:v>64700</c:v>
                </c:pt>
                <c:pt idx="165">
                  <c:v>72206</c:v>
                </c:pt>
                <c:pt idx="166">
                  <c:v>61303</c:v>
                </c:pt>
                <c:pt idx="167">
                  <c:v>74364</c:v>
                </c:pt>
                <c:pt idx="168">
                  <c:v>71659</c:v>
                </c:pt>
                <c:pt idx="169">
                  <c:v>85230</c:v>
                </c:pt>
                <c:pt idx="170">
                  <c:v>73600</c:v>
                </c:pt>
                <c:pt idx="171">
                  <c:v>81423</c:v>
                </c:pt>
                <c:pt idx="172">
                  <c:v>94682</c:v>
                </c:pt>
                <c:pt idx="173">
                  <c:v>81149</c:v>
                </c:pt>
                <c:pt idx="174">
                  <c:v>79958</c:v>
                </c:pt>
                <c:pt idx="175">
                  <c:v>88408</c:v>
                </c:pt>
                <c:pt idx="176">
                  <c:v>73075</c:v>
                </c:pt>
                <c:pt idx="177">
                  <c:v>70357</c:v>
                </c:pt>
                <c:pt idx="178">
                  <c:v>60962</c:v>
                </c:pt>
                <c:pt idx="179">
                  <c:v>78490</c:v>
                </c:pt>
                <c:pt idx="180">
                  <c:v>78781</c:v>
                </c:pt>
                <c:pt idx="181">
                  <c:v>65079</c:v>
                </c:pt>
                <c:pt idx="182">
                  <c:v>98120</c:v>
                </c:pt>
                <c:pt idx="183">
                  <c:v>66172</c:v>
                </c:pt>
                <c:pt idx="184">
                  <c:v>69665</c:v>
                </c:pt>
                <c:pt idx="185">
                  <c:v>86422</c:v>
                </c:pt>
                <c:pt idx="186">
                  <c:v>80134</c:v>
                </c:pt>
                <c:pt idx="187">
                  <c:v>96394</c:v>
                </c:pt>
                <c:pt idx="188">
                  <c:v>87045</c:v>
                </c:pt>
                <c:pt idx="189">
                  <c:v>69678</c:v>
                </c:pt>
                <c:pt idx="190">
                  <c:v>57880</c:v>
                </c:pt>
                <c:pt idx="191">
                  <c:v>68524</c:v>
                </c:pt>
                <c:pt idx="192">
                  <c:v>68570</c:v>
                </c:pt>
                <c:pt idx="193">
                  <c:v>65825</c:v>
                </c:pt>
                <c:pt idx="194">
                  <c:v>83318</c:v>
                </c:pt>
                <c:pt idx="195">
                  <c:v>82481</c:v>
                </c:pt>
                <c:pt idx="196">
                  <c:v>76603</c:v>
                </c:pt>
                <c:pt idx="197">
                  <c:v>86594</c:v>
                </c:pt>
                <c:pt idx="198">
                  <c:v>92833</c:v>
                </c:pt>
                <c:pt idx="199">
                  <c:v>72054</c:v>
                </c:pt>
                <c:pt idx="200">
                  <c:v>78900</c:v>
                </c:pt>
                <c:pt idx="201">
                  <c:v>83311</c:v>
                </c:pt>
                <c:pt idx="202">
                  <c:v>56697</c:v>
                </c:pt>
                <c:pt idx="203">
                  <c:v>57893</c:v>
                </c:pt>
                <c:pt idx="204">
                  <c:v>48713</c:v>
                </c:pt>
                <c:pt idx="205">
                  <c:v>57862</c:v>
                </c:pt>
                <c:pt idx="206">
                  <c:v>52756</c:v>
                </c:pt>
                <c:pt idx="207">
                  <c:v>40043</c:v>
                </c:pt>
                <c:pt idx="208">
                  <c:v>89390</c:v>
                </c:pt>
                <c:pt idx="209">
                  <c:v>105029</c:v>
                </c:pt>
                <c:pt idx="210">
                  <c:v>83735</c:v>
                </c:pt>
                <c:pt idx="211">
                  <c:v>82794</c:v>
                </c:pt>
                <c:pt idx="212">
                  <c:v>65509</c:v>
                </c:pt>
                <c:pt idx="213">
                  <c:v>80357</c:v>
                </c:pt>
                <c:pt idx="214">
                  <c:v>77829</c:v>
                </c:pt>
                <c:pt idx="215">
                  <c:v>87937</c:v>
                </c:pt>
                <c:pt idx="216">
                  <c:v>63833</c:v>
                </c:pt>
                <c:pt idx="217">
                  <c:v>72302</c:v>
                </c:pt>
                <c:pt idx="218">
                  <c:v>72889</c:v>
                </c:pt>
                <c:pt idx="219">
                  <c:v>78310</c:v>
                </c:pt>
                <c:pt idx="220">
                  <c:v>83010</c:v>
                </c:pt>
                <c:pt idx="221">
                  <c:v>65033</c:v>
                </c:pt>
                <c:pt idx="222">
                  <c:v>83504</c:v>
                </c:pt>
                <c:pt idx="223">
                  <c:v>91732</c:v>
                </c:pt>
                <c:pt idx="224">
                  <c:v>83286</c:v>
                </c:pt>
                <c:pt idx="225">
                  <c:v>114037</c:v>
                </c:pt>
                <c:pt idx="226">
                  <c:v>80411</c:v>
                </c:pt>
                <c:pt idx="227">
                  <c:v>81387</c:v>
                </c:pt>
                <c:pt idx="228">
                  <c:v>67504</c:v>
                </c:pt>
                <c:pt idx="229">
                  <c:v>96098</c:v>
                </c:pt>
                <c:pt idx="230">
                  <c:v>78929</c:v>
                </c:pt>
                <c:pt idx="231">
                  <c:v>78610</c:v>
                </c:pt>
                <c:pt idx="232">
                  <c:v>84219</c:v>
                </c:pt>
                <c:pt idx="233">
                  <c:v>76190</c:v>
                </c:pt>
                <c:pt idx="234">
                  <c:v>79668</c:v>
                </c:pt>
                <c:pt idx="235">
                  <c:v>106758</c:v>
                </c:pt>
                <c:pt idx="236">
                  <c:v>95441</c:v>
                </c:pt>
                <c:pt idx="237">
                  <c:v>89141</c:v>
                </c:pt>
                <c:pt idx="238">
                  <c:v>85455</c:v>
                </c:pt>
                <c:pt idx="239">
                  <c:v>91512</c:v>
                </c:pt>
                <c:pt idx="240">
                  <c:v>83586</c:v>
                </c:pt>
                <c:pt idx="241">
                  <c:v>81905</c:v>
                </c:pt>
                <c:pt idx="242">
                  <c:v>74764</c:v>
                </c:pt>
                <c:pt idx="243">
                  <c:v>64640</c:v>
                </c:pt>
                <c:pt idx="244">
                  <c:v>71777</c:v>
                </c:pt>
                <c:pt idx="245">
                  <c:v>68987</c:v>
                </c:pt>
                <c:pt idx="246">
                  <c:v>90051</c:v>
                </c:pt>
                <c:pt idx="247">
                  <c:v>94167</c:v>
                </c:pt>
                <c:pt idx="248">
                  <c:v>109233</c:v>
                </c:pt>
                <c:pt idx="249">
                  <c:v>98320</c:v>
                </c:pt>
                <c:pt idx="250">
                  <c:v>84911</c:v>
                </c:pt>
                <c:pt idx="251">
                  <c:v>87342</c:v>
                </c:pt>
                <c:pt idx="252">
                  <c:v>85162</c:v>
                </c:pt>
                <c:pt idx="253">
                  <c:v>86015</c:v>
                </c:pt>
                <c:pt idx="254">
                  <c:v>90225</c:v>
                </c:pt>
                <c:pt idx="255">
                  <c:v>70849</c:v>
                </c:pt>
                <c:pt idx="256">
                  <c:v>72916</c:v>
                </c:pt>
                <c:pt idx="257">
                  <c:v>69025</c:v>
                </c:pt>
                <c:pt idx="258">
                  <c:v>118342</c:v>
                </c:pt>
                <c:pt idx="259">
                  <c:v>99176</c:v>
                </c:pt>
                <c:pt idx="260">
                  <c:v>111409</c:v>
                </c:pt>
                <c:pt idx="261">
                  <c:v>87814</c:v>
                </c:pt>
                <c:pt idx="262">
                  <c:v>117285</c:v>
                </c:pt>
                <c:pt idx="263">
                  <c:v>108873</c:v>
                </c:pt>
                <c:pt idx="264">
                  <c:v>107123</c:v>
                </c:pt>
                <c:pt idx="265">
                  <c:v>102355</c:v>
                </c:pt>
                <c:pt idx="266">
                  <c:v>127119</c:v>
                </c:pt>
                <c:pt idx="267">
                  <c:v>84604</c:v>
                </c:pt>
                <c:pt idx="268">
                  <c:v>83627</c:v>
                </c:pt>
                <c:pt idx="269">
                  <c:v>80173</c:v>
                </c:pt>
                <c:pt idx="270">
                  <c:v>74137</c:v>
                </c:pt>
                <c:pt idx="271">
                  <c:v>74472</c:v>
                </c:pt>
                <c:pt idx="272">
                  <c:v>85214</c:v>
                </c:pt>
                <c:pt idx="273">
                  <c:v>87068</c:v>
                </c:pt>
                <c:pt idx="274">
                  <c:v>81858</c:v>
                </c:pt>
                <c:pt idx="275">
                  <c:v>83012</c:v>
                </c:pt>
                <c:pt idx="276">
                  <c:v>98342</c:v>
                </c:pt>
                <c:pt idx="277">
                  <c:v>82076</c:v>
                </c:pt>
                <c:pt idx="278">
                  <c:v>93847</c:v>
                </c:pt>
                <c:pt idx="279">
                  <c:v>98725</c:v>
                </c:pt>
                <c:pt idx="280">
                  <c:v>75938</c:v>
                </c:pt>
                <c:pt idx="281">
                  <c:v>68158</c:v>
                </c:pt>
                <c:pt idx="282">
                  <c:v>57272</c:v>
                </c:pt>
                <c:pt idx="283">
                  <c:v>76676</c:v>
                </c:pt>
                <c:pt idx="284">
                  <c:v>77973</c:v>
                </c:pt>
                <c:pt idx="285">
                  <c:v>74593</c:v>
                </c:pt>
                <c:pt idx="286">
                  <c:v>74923</c:v>
                </c:pt>
                <c:pt idx="287">
                  <c:v>75566</c:v>
                </c:pt>
                <c:pt idx="288">
                  <c:v>99239</c:v>
                </c:pt>
                <c:pt idx="289">
                  <c:v>83965</c:v>
                </c:pt>
                <c:pt idx="290">
                  <c:v>97732</c:v>
                </c:pt>
                <c:pt idx="291">
                  <c:v>77014</c:v>
                </c:pt>
                <c:pt idx="292">
                  <c:v>84757</c:v>
                </c:pt>
                <c:pt idx="293">
                  <c:v>75804</c:v>
                </c:pt>
                <c:pt idx="294">
                  <c:v>68247</c:v>
                </c:pt>
                <c:pt idx="295">
                  <c:v>51050</c:v>
                </c:pt>
                <c:pt idx="296">
                  <c:v>73494</c:v>
                </c:pt>
                <c:pt idx="297">
                  <c:v>69988</c:v>
                </c:pt>
                <c:pt idx="298">
                  <c:v>73170</c:v>
                </c:pt>
                <c:pt idx="299">
                  <c:v>71928</c:v>
                </c:pt>
                <c:pt idx="300">
                  <c:v>75120</c:v>
                </c:pt>
                <c:pt idx="301">
                  <c:v>77852</c:v>
                </c:pt>
                <c:pt idx="302">
                  <c:v>76513</c:v>
                </c:pt>
                <c:pt idx="303">
                  <c:v>86308</c:v>
                </c:pt>
                <c:pt idx="304">
                  <c:v>70440</c:v>
                </c:pt>
                <c:pt idx="305">
                  <c:v>60915</c:v>
                </c:pt>
                <c:pt idx="306">
                  <c:v>62694</c:v>
                </c:pt>
                <c:pt idx="307">
                  <c:v>59521</c:v>
                </c:pt>
                <c:pt idx="308">
                  <c:v>79043</c:v>
                </c:pt>
                <c:pt idx="309">
                  <c:v>73822</c:v>
                </c:pt>
                <c:pt idx="310">
                  <c:v>73262</c:v>
                </c:pt>
                <c:pt idx="311">
                  <c:v>73362</c:v>
                </c:pt>
                <c:pt idx="312">
                  <c:v>77066</c:v>
                </c:pt>
                <c:pt idx="313">
                  <c:v>80729</c:v>
                </c:pt>
                <c:pt idx="314">
                  <c:v>90417</c:v>
                </c:pt>
                <c:pt idx="315">
                  <c:v>88971</c:v>
                </c:pt>
                <c:pt idx="316">
                  <c:v>81224</c:v>
                </c:pt>
                <c:pt idx="317">
                  <c:v>68206</c:v>
                </c:pt>
                <c:pt idx="318">
                  <c:v>66085</c:v>
                </c:pt>
                <c:pt idx="319">
                  <c:v>77631</c:v>
                </c:pt>
                <c:pt idx="320">
                  <c:v>53770</c:v>
                </c:pt>
                <c:pt idx="321">
                  <c:v>56371</c:v>
                </c:pt>
                <c:pt idx="322">
                  <c:v>54029</c:v>
                </c:pt>
                <c:pt idx="323">
                  <c:v>65650</c:v>
                </c:pt>
                <c:pt idx="324">
                  <c:v>62757</c:v>
                </c:pt>
                <c:pt idx="325">
                  <c:v>68172</c:v>
                </c:pt>
                <c:pt idx="326">
                  <c:v>72145</c:v>
                </c:pt>
                <c:pt idx="327">
                  <c:v>81326</c:v>
                </c:pt>
                <c:pt idx="328">
                  <c:v>86199</c:v>
                </c:pt>
                <c:pt idx="329">
                  <c:v>67160</c:v>
                </c:pt>
                <c:pt idx="330">
                  <c:v>63089</c:v>
                </c:pt>
                <c:pt idx="331">
                  <c:v>73938</c:v>
                </c:pt>
                <c:pt idx="332">
                  <c:v>59731</c:v>
                </c:pt>
                <c:pt idx="333">
                  <c:v>59046</c:v>
                </c:pt>
                <c:pt idx="334">
                  <c:v>63184</c:v>
                </c:pt>
                <c:pt idx="335">
                  <c:v>61766</c:v>
                </c:pt>
                <c:pt idx="336">
                  <c:v>57429</c:v>
                </c:pt>
                <c:pt idx="337">
                  <c:v>56667</c:v>
                </c:pt>
                <c:pt idx="338">
                  <c:v>70582</c:v>
                </c:pt>
                <c:pt idx="339">
                  <c:v>66303</c:v>
                </c:pt>
                <c:pt idx="340">
                  <c:v>66165</c:v>
                </c:pt>
                <c:pt idx="341">
                  <c:v>69024</c:v>
                </c:pt>
                <c:pt idx="342">
                  <c:v>72490</c:v>
                </c:pt>
                <c:pt idx="343">
                  <c:v>77711</c:v>
                </c:pt>
                <c:pt idx="344">
                  <c:v>62000</c:v>
                </c:pt>
                <c:pt idx="345">
                  <c:v>66131</c:v>
                </c:pt>
                <c:pt idx="346">
                  <c:v>56701</c:v>
                </c:pt>
                <c:pt idx="347">
                  <c:v>68593</c:v>
                </c:pt>
                <c:pt idx="348">
                  <c:v>53802</c:v>
                </c:pt>
                <c:pt idx="349">
                  <c:v>54896</c:v>
                </c:pt>
                <c:pt idx="350">
                  <c:v>68704</c:v>
                </c:pt>
                <c:pt idx="351">
                  <c:v>57198</c:v>
                </c:pt>
                <c:pt idx="352">
                  <c:v>71924</c:v>
                </c:pt>
                <c:pt idx="353">
                  <c:v>65833</c:v>
                </c:pt>
                <c:pt idx="354">
                  <c:v>77069</c:v>
                </c:pt>
                <c:pt idx="355">
                  <c:v>68140</c:v>
                </c:pt>
                <c:pt idx="356">
                  <c:v>71952</c:v>
                </c:pt>
                <c:pt idx="357">
                  <c:v>68168</c:v>
                </c:pt>
                <c:pt idx="358">
                  <c:v>66552</c:v>
                </c:pt>
                <c:pt idx="359">
                  <c:v>64036</c:v>
                </c:pt>
                <c:pt idx="360">
                  <c:v>55692</c:v>
                </c:pt>
                <c:pt idx="361">
                  <c:v>52731</c:v>
                </c:pt>
                <c:pt idx="362">
                  <c:v>54447</c:v>
                </c:pt>
                <c:pt idx="363">
                  <c:v>66931</c:v>
                </c:pt>
                <c:pt idx="364">
                  <c:v>54422</c:v>
                </c:pt>
              </c:numCache>
            </numRef>
          </yVal>
        </ser>
        <axId val="10"/>
        <axId val="20"/>
      </scatterChart>
      <valAx>
        <axId val="10"/>
        <scaling>
          <orientation val="minMax"/>
          <max val="46022"/>
          <min val="45658"/>
        </scaling>
        <axPos val="l"/>
        <numFmt formatCode="m月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20"/>
        <majorUnit val="61"/>
      </valAx>
      <valAx>
        <axId val="20"/>
        <scaling>
          <orientation val="minMax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月度进出港 / 万吨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stacked"/>
        <ser>
          <idx val="0"/>
          <order val="0"/>
          <tx>
            <strRef>
              <f>'货类与航线'!B7</f>
              <c:strCache xmlns:c="http://schemas.openxmlformats.org/drawingml/2006/chart">
                <c:ptCount val="1"/>
                <c:pt idx="0">
                  <c:v>进港 / 万吨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'货类与航线'!$A$8:$A$19</f>
              <c:strCache xmlns:c="http://schemas.openxmlformats.org/drawingml/2006/chart"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strRef>
          </cat>
          <val>
            <numRef>
              <f>'货类与航线'!$B$8:$B$19</f>
              <c:numCache xmlns:c="http://schemas.openxmlformats.org/drawingml/2006/chart">
                <c:formatCode>0.0</c:formatCode>
                <c:ptCount val="12"/>
                <c:pt idx="0">
                  <c:v>111.7009</c:v>
                </c:pt>
                <c:pt idx="1">
                  <c:v>87.859</c:v>
                </c:pt>
                <c:pt idx="2">
                  <c:v>113.949</c:v>
                </c:pt>
                <c:pt idx="3">
                  <c:v>118.1471</c:v>
                </c:pt>
                <c:pt idx="4">
                  <c:v>138.0739</c:v>
                </c:pt>
                <c:pt idx="5">
                  <c:v>136.0203</c:v>
                </c:pt>
                <c:pt idx="6">
                  <c:v>153.0387</c:v>
                </c:pt>
                <c:pt idx="7">
                  <c:v>138.5614</c:v>
                </c:pt>
                <c:pt idx="8">
                  <c:v>189.846</c:v>
                </c:pt>
                <c:pt idx="9">
                  <c:v>169.9826</c:v>
                </c:pt>
                <c:pt idx="10">
                  <c:v>146.7216</c:v>
                </c:pt>
                <c:pt idx="11">
                  <c:v>133.2772</c:v>
                </c:pt>
              </c:numCache>
            </numRef>
          </val>
        </ser>
        <ser>
          <idx val="1"/>
          <order val="1"/>
          <tx>
            <strRef>
              <f>'货类与航线'!C7</f>
              <c:strCache xmlns:c="http://schemas.openxmlformats.org/drawingml/2006/chart">
                <c:ptCount val="1"/>
                <c:pt idx="0">
                  <c:v>出港 / 万吨</c:v>
                </c:pt>
              </c:strCache>
            </strRef>
          </tx>
          <spPr>
            <a:solidFill>
              <a:srgbClr val="D99145"/>
            </a:solidFill>
            <a:ln w="22000">
              <a:solidFill>
                <a:srgbClr val="D99145"/>
              </a:solidFill>
              <a:prstDash val="solid"/>
            </a:ln>
          </spPr>
          <cat>
            <strRef>
              <f>'货类与航线'!$A$8:$A$19</f>
              <c:strCache xmlns:c="http://schemas.openxmlformats.org/drawingml/2006/chart"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strRef>
          </cat>
          <val>
            <numRef>
              <f>'货类与航线'!$C$8:$C$19</f>
              <c:numCache xmlns:c="http://schemas.openxmlformats.org/drawingml/2006/chart">
                <c:formatCode>0.0</c:formatCode>
                <c:ptCount val="12"/>
                <c:pt idx="0">
                  <c:v>67.7088</c:v>
                </c:pt>
                <c:pt idx="1">
                  <c:v>47.3395</c:v>
                </c:pt>
                <c:pt idx="2">
                  <c:v>62.2809</c:v>
                </c:pt>
                <c:pt idx="3">
                  <c:v>68.7937</c:v>
                </c:pt>
                <c:pt idx="4">
                  <c:v>72.9132</c:v>
                </c:pt>
                <c:pt idx="5">
                  <c:v>81.1444</c:v>
                </c:pt>
                <c:pt idx="6">
                  <c:v>78.0127</c:v>
                </c:pt>
                <c:pt idx="7">
                  <c:v>116.5532</c:v>
                </c:pt>
                <c:pt idx="8">
                  <c:v>80.6883</c:v>
                </c:pt>
                <c:pt idx="9">
                  <c:v>74.8382</c:v>
                </c:pt>
                <c:pt idx="10">
                  <c:v>63.9555</c:v>
                </c:pt>
                <c:pt idx="11">
                  <c:v>65.4471</c:v>
                </c:pt>
              </c:numCache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legend>
      <legendPos val="b"/>
      <txPr>
        <a:bodyPr/>
        <a:p>
          <a:pPr>
            <a:defRPr sz="85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货类吞吐 / 万吨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'货类与航线'!K7</f>
              <c:strCache xmlns:c="http://schemas.openxmlformats.org/drawingml/2006/chart">
                <c:ptCount val="1"/>
                <c:pt idx="0">
                  <c:v>吞吐 / 万吨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'货类与航线'!$J$8:$J$13</f>
              <c:strCache xmlns:c="http://schemas.openxmlformats.org/drawingml/2006/chart">
                <c:ptCount val="6"/>
                <c:pt idx="0">
                  <c:v>集装箱货物</c:v>
                </c:pt>
                <c:pt idx="1">
                  <c:v>金属矿石</c:v>
                </c:pt>
                <c:pt idx="2">
                  <c:v>煤炭</c:v>
                </c:pt>
                <c:pt idx="3">
                  <c:v>粮食</c:v>
                </c:pt>
                <c:pt idx="4">
                  <c:v>液体散货</c:v>
                </c:pt>
                <c:pt idx="5">
                  <c:v>件杂货</c:v>
                </c:pt>
              </c:strCache>
            </strRef>
          </cat>
          <val>
            <numRef>
              <f>'货类与航线'!$K$8:$K$13</f>
              <c:numCache xmlns:c="http://schemas.openxmlformats.org/drawingml/2006/chart">
                <c:formatCode>0.0</c:formatCode>
                <c:ptCount val="6"/>
                <c:pt idx="0">
                  <c:v>337.5125</c:v>
                </c:pt>
                <c:pt idx="1">
                  <c:v>720.5549</c:v>
                </c:pt>
                <c:pt idx="2">
                  <c:v>509.4744</c:v>
                </c:pt>
                <c:pt idx="3">
                  <c:v>317.0849</c:v>
                </c:pt>
                <c:pt idx="4">
                  <c:v>445.4068</c:v>
                </c:pt>
                <c:pt idx="5">
                  <c:v>186.8197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航线吞吐量 / 万吨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'货类与航线'!K16</f>
              <c:strCache xmlns:c="http://schemas.openxmlformats.org/drawingml/2006/chart">
                <c:ptCount val="1"/>
                <c:pt idx="0">
                  <c:v>吞吐 / 万吨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'货类与航线'!$J$17:$J$21</f>
              <c:strCache xmlns:c="http://schemas.openxmlformats.org/drawingml/2006/chart">
                <c:ptCount val="5"/>
                <c:pt idx="0">
                  <c:v>东亚</c:v>
                </c:pt>
                <c:pt idx="1">
                  <c:v>东南亚</c:v>
                </c:pt>
                <c:pt idx="2">
                  <c:v>欧洲</c:v>
                </c:pt>
                <c:pt idx="3">
                  <c:v>北美</c:v>
                </c:pt>
                <c:pt idx="4">
                  <c:v>国内沿海</c:v>
                </c:pt>
              </c:strCache>
            </strRef>
          </cat>
          <val>
            <numRef>
              <f>'货类与航线'!$K$17:$K$21</f>
              <c:numCache xmlns:c="http://schemas.openxmlformats.org/drawingml/2006/chart">
                <c:formatCode>0.0</c:formatCode>
                <c:ptCount val="5"/>
                <c:pt idx="0">
                  <c:v>609.8561</c:v>
                </c:pt>
                <c:pt idx="1">
                  <c:v>644.4308</c:v>
                </c:pt>
                <c:pt idx="2">
                  <c:v>363.53</c:v>
                </c:pt>
                <c:pt idx="3">
                  <c:v>310.9356</c:v>
                </c:pt>
                <c:pt idx="4">
                  <c:v>588.1007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进出港货量的月度变化 / 万吨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'货类与航线'!B7</f>
              <c:strCache xmlns:c="http://schemas.openxmlformats.org/drawingml/2006/chart">
                <c:ptCount val="1"/>
                <c:pt idx="0">
                  <c:v>进港 / 万吨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'货类与航线'!$A$8:$A$19</f>
              <c:strCache xmlns:c="http://schemas.openxmlformats.org/drawingml/2006/chart"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strRef>
          </cat>
          <val>
            <numRef>
              <f>'货类与航线'!$B$8:$B$19</f>
              <c:numCache xmlns:c="http://schemas.openxmlformats.org/drawingml/2006/chart">
                <c:formatCode>0.0</c:formatCode>
                <c:ptCount val="12"/>
                <c:pt idx="0">
                  <c:v>111.7009</c:v>
                </c:pt>
                <c:pt idx="1">
                  <c:v>87.859</c:v>
                </c:pt>
                <c:pt idx="2">
                  <c:v>113.949</c:v>
                </c:pt>
                <c:pt idx="3">
                  <c:v>118.1471</c:v>
                </c:pt>
                <c:pt idx="4">
                  <c:v>138.0739</c:v>
                </c:pt>
                <c:pt idx="5">
                  <c:v>136.0203</c:v>
                </c:pt>
                <c:pt idx="6">
                  <c:v>153.0387</c:v>
                </c:pt>
                <c:pt idx="7">
                  <c:v>138.5614</c:v>
                </c:pt>
                <c:pt idx="8">
                  <c:v>189.846</c:v>
                </c:pt>
                <c:pt idx="9">
                  <c:v>169.9826</c:v>
                </c:pt>
                <c:pt idx="10">
                  <c:v>146.7216</c:v>
                </c:pt>
                <c:pt idx="11">
                  <c:v>133.2772</c:v>
                </c:pt>
              </c:numCache>
            </numRef>
          </val>
        </ser>
        <ser>
          <idx val="1"/>
          <order val="1"/>
          <tx>
            <strRef>
              <f>'货类与航线'!C7</f>
              <c:strCache xmlns:c="http://schemas.openxmlformats.org/drawingml/2006/chart">
                <c:ptCount val="1"/>
                <c:pt idx="0">
                  <c:v>出港 / 万吨</c:v>
                </c:pt>
              </c:strCache>
            </strRef>
          </tx>
          <spPr>
            <a:solidFill>
              <a:srgbClr val="D99145"/>
            </a:solidFill>
            <a:ln w="22000">
              <a:solidFill>
                <a:srgbClr val="D99145"/>
              </a:solidFill>
              <a:prstDash val="solid"/>
            </a:ln>
          </spPr>
          <cat>
            <strRef>
              <f>'货类与航线'!$A$8:$A$19</f>
              <c:strCache xmlns:c="http://schemas.openxmlformats.org/drawingml/2006/chart"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strRef>
          </cat>
          <val>
            <numRef>
              <f>'货类与航线'!$C$8:$C$19</f>
              <c:numCache xmlns:c="http://schemas.openxmlformats.org/drawingml/2006/chart">
                <c:formatCode>0.0</c:formatCode>
                <c:ptCount val="12"/>
                <c:pt idx="0">
                  <c:v>67.7088</c:v>
                </c:pt>
                <c:pt idx="1">
                  <c:v>47.3395</c:v>
                </c:pt>
                <c:pt idx="2">
                  <c:v>62.2809</c:v>
                </c:pt>
                <c:pt idx="3">
                  <c:v>68.7937</c:v>
                </c:pt>
                <c:pt idx="4">
                  <c:v>72.9132</c:v>
                </c:pt>
                <c:pt idx="5">
                  <c:v>81.1444</c:v>
                </c:pt>
                <c:pt idx="6">
                  <c:v>78.0127</c:v>
                </c:pt>
                <c:pt idx="7">
                  <c:v>116.5532</c:v>
                </c:pt>
                <c:pt idx="8">
                  <c:v>80.6883</c:v>
                </c:pt>
                <c:pt idx="9">
                  <c:v>74.8382</c:v>
                </c:pt>
                <c:pt idx="10">
                  <c:v>63.9555</c:v>
                </c:pt>
                <c:pt idx="11">
                  <c:v>65.4471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legend>
      <legendPos val="b"/>
      <txPr>
        <a:bodyPr/>
        <a:p>
          <a:pPr>
            <a:defRPr sz="85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货类作业效率 / 吨每小时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'作业效率'!D7</f>
              <c:strCache xmlns:c="http://schemas.openxmlformats.org/drawingml/2006/chart">
                <c:ptCount val="1"/>
                <c:pt idx="0">
                  <c:v>吨 / 小时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'作业效率'!$A$8:$A$13</f>
              <c:strCache xmlns:c="http://schemas.openxmlformats.org/drawingml/2006/chart">
                <c:ptCount val="6"/>
                <c:pt idx="0">
                  <c:v>集装箱货物</c:v>
                </c:pt>
                <c:pt idx="1">
                  <c:v>金属矿石</c:v>
                </c:pt>
                <c:pt idx="2">
                  <c:v>煤炭</c:v>
                </c:pt>
                <c:pt idx="3">
                  <c:v>粮食</c:v>
                </c:pt>
                <c:pt idx="4">
                  <c:v>液体散货</c:v>
                </c:pt>
                <c:pt idx="5">
                  <c:v>件杂货</c:v>
                </c:pt>
              </c:strCache>
            </strRef>
          </cat>
          <val>
            <numRef>
              <f>'作业效率'!$D$8:$D$13</f>
              <c:numCache xmlns:c="http://schemas.openxmlformats.org/drawingml/2006/chart">
                <c:formatCode>#,##0</c:formatCode>
                <c:ptCount val="6"/>
                <c:pt idx="0">
                  <c:v>860.191554378659</c:v>
                </c:pt>
                <c:pt idx="1">
                  <c:v>1563.75511355621</c:v>
                </c:pt>
                <c:pt idx="2">
                  <c:v>1339.07997035215</c:v>
                </c:pt>
                <c:pt idx="3">
                  <c:v>1031.95905814199</c:v>
                </c:pt>
                <c:pt idx="4">
                  <c:v>1475.58008560487</c:v>
                </c:pt>
                <c:pt idx="5">
                  <c:v>588.15471749198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平均等泊时间 / 小时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barChart>
        <barDir val="col"/>
        <grouping val="clustered"/>
        <ser>
          <idx val="0"/>
          <order val="0"/>
          <tx>
            <strRef>
              <f>'作业效率'!E7</f>
              <c:strCache xmlns:c="http://schemas.openxmlformats.org/drawingml/2006/chart">
                <c:ptCount val="1"/>
                <c:pt idx="0">
                  <c:v>等泊 / h</c:v>
                </c:pt>
              </c:strCache>
            </strRef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cat>
            <strRef>
              <f>'作业效率'!$A$8:$A$13</f>
              <c:strCache xmlns:c="http://schemas.openxmlformats.org/drawingml/2006/chart">
                <c:ptCount val="6"/>
                <c:pt idx="0">
                  <c:v>集装箱货物</c:v>
                </c:pt>
                <c:pt idx="1">
                  <c:v>金属矿石</c:v>
                </c:pt>
                <c:pt idx="2">
                  <c:v>煤炭</c:v>
                </c:pt>
                <c:pt idx="3">
                  <c:v>粮食</c:v>
                </c:pt>
                <c:pt idx="4">
                  <c:v>液体散货</c:v>
                </c:pt>
                <c:pt idx="5">
                  <c:v>件杂货</c:v>
                </c:pt>
              </c:strCache>
            </strRef>
          </cat>
          <val>
            <numRef>
              <f>'作业效率'!$E$8:$E$13</f>
              <c:numCache xmlns:c="http://schemas.openxmlformats.org/drawingml/2006/chart">
                <c:formatCode>0.0</c:formatCode>
                <c:ptCount val="6"/>
                <c:pt idx="0">
                  <c:v>2.82476712328767</c:v>
                </c:pt>
                <c:pt idx="1">
                  <c:v>2.73904109589041</c:v>
                </c:pt>
                <c:pt idx="2">
                  <c:v>2.61284931506849</c:v>
                </c:pt>
                <c:pt idx="3">
                  <c:v>2.77224657534247</c:v>
                </c:pt>
                <c:pt idx="4">
                  <c:v>2.63602739726027</c:v>
                </c:pt>
                <c:pt idx="5">
                  <c:v>2.60975342465753</c:v>
                </c:pt>
              </c:numCache>
            </numRef>
          </val>
        </ser>
        <gapWidth val="7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0"/>
        <lblOffset val="100"/>
      </catAx>
      <valAx>
        <axId val="100"/>
        <scaling>
          <orientation val="minMax"/>
          <min val="0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日度平均等泊时间 / 小时</a:t>
            </a:r>
          </a:p>
        </rich>
      </tx>
      <txPr>
        <a:bodyPr/>
        <a:p>
          <a:pPr>
            <a:defRPr sz="1100">
              <a:solidFill>
                <a:srgbClr val="687A8D"/>
              </a:solidFill>
              <a:latin typeface="Noto Sans CJK SC"/>
              <a:ea typeface="Noto Sans CJK SC"/>
            </a:defRPr>
          </a:pPr>
          <a:r>
            <a:t/>
          </a:r>
          <a:endParaRPr lang="zh-CN"/>
        </a:p>
      </txPr>
    </title>
    <plotArea>
      <scatterChart>
        <scatterStyle val="lineMarker"/>
        <ser>
          <idx val="0"/>
          <order val="0"/>
          <tx>
            <v>平均等泊 / h</v>
          </tx>
          <spPr>
            <a:solidFill>
              <a:srgbClr val="286DAC"/>
            </a:solidFill>
            <a:ln w="22000">
              <a:solidFill>
                <a:srgbClr val="286DAC"/>
              </a:solidFill>
              <a:prstDash val="solid"/>
            </a:ln>
          </spPr>
          <marker>
            <symbol val="none"/>
            <size val="4"/>
            <spPr>
              <a:ln>
                <a:prstDash val="solid"/>
              </a:ln>
            </spPr>
          </marker>
          <xVal>
            <numRef>
              <f>'日度汇总'!$A$8:$A$372</f>
              <c:numCache xmlns:c="http://schemas.openxmlformats.org/drawingml/2006/chart">
                <c:formatCode>mm\-dd</c:formatCode>
                <c:ptCount val="365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</c:numCache>
            </numRef>
          </xVal>
          <yVal>
            <numRef>
              <f>'日度汇总'!$F$8:$F$372</f>
              <c:numCache xmlns:c="http://schemas.openxmlformats.org/drawingml/2006/chart">
                <c:formatCode>0.0</c:formatCode>
                <c:ptCount val="365"/>
                <c:pt idx="0">
                  <c:v>2.56833333333333</c:v>
                </c:pt>
                <c:pt idx="1">
                  <c:v>3.01</c:v>
                </c:pt>
                <c:pt idx="2">
                  <c:v>1.43333333333333</c:v>
                </c:pt>
                <c:pt idx="3">
                  <c:v>2.75166666666667</c:v>
                </c:pt>
                <c:pt idx="4">
                  <c:v>1.69833333333333</c:v>
                </c:pt>
                <c:pt idx="5">
                  <c:v>3.31666666666667</c:v>
                </c:pt>
                <c:pt idx="6">
                  <c:v>2.15666666666667</c:v>
                </c:pt>
                <c:pt idx="7">
                  <c:v>1.77833333333333</c:v>
                </c:pt>
                <c:pt idx="8">
                  <c:v>1.71</c:v>
                </c:pt>
                <c:pt idx="9">
                  <c:v>2.58666666666667</c:v>
                </c:pt>
                <c:pt idx="10">
                  <c:v>1.89</c:v>
                </c:pt>
                <c:pt idx="11">
                  <c:v>4.38166666666667</c:v>
                </c:pt>
                <c:pt idx="12">
                  <c:v>2.20666666666667</c:v>
                </c:pt>
                <c:pt idx="13">
                  <c:v>1.24333333333333</c:v>
                </c:pt>
                <c:pt idx="14">
                  <c:v>2.26166666666667</c:v>
                </c:pt>
                <c:pt idx="15">
                  <c:v>2.45666666666667</c:v>
                </c:pt>
                <c:pt idx="16">
                  <c:v>2.115</c:v>
                </c:pt>
                <c:pt idx="17">
                  <c:v>3.08666666666667</c:v>
                </c:pt>
                <c:pt idx="18">
                  <c:v>3.90666666666667</c:v>
                </c:pt>
                <c:pt idx="19">
                  <c:v>2.645</c:v>
                </c:pt>
                <c:pt idx="20">
                  <c:v>2.05666666666667</c:v>
                </c:pt>
                <c:pt idx="21">
                  <c:v>0.82</c:v>
                </c:pt>
                <c:pt idx="22">
                  <c:v>2.06833333333333</c:v>
                </c:pt>
                <c:pt idx="23">
                  <c:v>1.03</c:v>
                </c:pt>
                <c:pt idx="24">
                  <c:v>1.66833333333333</c:v>
                </c:pt>
                <c:pt idx="25">
                  <c:v>3.28333333333333</c:v>
                </c:pt>
                <c:pt idx="26">
                  <c:v>1.61</c:v>
                </c:pt>
                <c:pt idx="27">
                  <c:v>1.445</c:v>
                </c:pt>
                <c:pt idx="28">
                  <c:v>2.00166666666667</c:v>
                </c:pt>
                <c:pt idx="29">
                  <c:v>2.75666666666667</c:v>
                </c:pt>
                <c:pt idx="30">
                  <c:v>3.765</c:v>
                </c:pt>
                <c:pt idx="31">
                  <c:v>2.21333333333333</c:v>
                </c:pt>
                <c:pt idx="32">
                  <c:v>1.71</c:v>
                </c:pt>
                <c:pt idx="33">
                  <c:v>1.175</c:v>
                </c:pt>
                <c:pt idx="34">
                  <c:v>2.43666666666667</c:v>
                </c:pt>
                <c:pt idx="35">
                  <c:v>2.80833333333333</c:v>
                </c:pt>
                <c:pt idx="36">
                  <c:v>2.58833333333333</c:v>
                </c:pt>
                <c:pt idx="37">
                  <c:v>1.74833333333333</c:v>
                </c:pt>
                <c:pt idx="38">
                  <c:v>2.69333333333333</c:v>
                </c:pt>
                <c:pt idx="39">
                  <c:v>2.89666666666667</c:v>
                </c:pt>
                <c:pt idx="40">
                  <c:v>2.67333333333333</c:v>
                </c:pt>
                <c:pt idx="41">
                  <c:v>4.36</c:v>
                </c:pt>
                <c:pt idx="42">
                  <c:v>2.705</c:v>
                </c:pt>
                <c:pt idx="43">
                  <c:v>2.78833333333333</c:v>
                </c:pt>
                <c:pt idx="44">
                  <c:v>1.86</c:v>
                </c:pt>
                <c:pt idx="45">
                  <c:v>2.68666666666667</c:v>
                </c:pt>
                <c:pt idx="46">
                  <c:v>1.83333333333333</c:v>
                </c:pt>
                <c:pt idx="47">
                  <c:v>1.695</c:v>
                </c:pt>
                <c:pt idx="48">
                  <c:v>1.40833333333333</c:v>
                </c:pt>
                <c:pt idx="49">
                  <c:v>2.00333333333333</c:v>
                </c:pt>
                <c:pt idx="50">
                  <c:v>1.88166666666667</c:v>
                </c:pt>
                <c:pt idx="51">
                  <c:v>2.71166666666667</c:v>
                </c:pt>
                <c:pt idx="52">
                  <c:v>2.14166666666667</c:v>
                </c:pt>
                <c:pt idx="53">
                  <c:v>1.97</c:v>
                </c:pt>
                <c:pt idx="54">
                  <c:v>2.63666666666667</c:v>
                </c:pt>
                <c:pt idx="55">
                  <c:v>2.26666666666667</c:v>
                </c:pt>
                <c:pt idx="56">
                  <c:v>1.61666666666667</c:v>
                </c:pt>
                <c:pt idx="57">
                  <c:v>2.38166666666667</c:v>
                </c:pt>
                <c:pt idx="58">
                  <c:v>2.35833333333333</c:v>
                </c:pt>
                <c:pt idx="59">
                  <c:v>2.83333333333333</c:v>
                </c:pt>
                <c:pt idx="60">
                  <c:v>1.98333333333333</c:v>
                </c:pt>
                <c:pt idx="61">
                  <c:v>2.26</c:v>
                </c:pt>
                <c:pt idx="62">
                  <c:v>2.98</c:v>
                </c:pt>
                <c:pt idx="63">
                  <c:v>2.965</c:v>
                </c:pt>
                <c:pt idx="64">
                  <c:v>3.90333333333333</c:v>
                </c:pt>
                <c:pt idx="65">
                  <c:v>2.655</c:v>
                </c:pt>
                <c:pt idx="66">
                  <c:v>3.03</c:v>
                </c:pt>
                <c:pt idx="67">
                  <c:v>2.26</c:v>
                </c:pt>
                <c:pt idx="68">
                  <c:v>1.91166666666667</c:v>
                </c:pt>
                <c:pt idx="69">
                  <c:v>1.915</c:v>
                </c:pt>
                <c:pt idx="70">
                  <c:v>2.46</c:v>
                </c:pt>
                <c:pt idx="71">
                  <c:v>2.65833333333333</c:v>
                </c:pt>
                <c:pt idx="72">
                  <c:v>2.27166666666667</c:v>
                </c:pt>
                <c:pt idx="73">
                  <c:v>2.605</c:v>
                </c:pt>
                <c:pt idx="74">
                  <c:v>1.57333333333333</c:v>
                </c:pt>
                <c:pt idx="75">
                  <c:v>2.55833333333333</c:v>
                </c:pt>
                <c:pt idx="76">
                  <c:v>2.01</c:v>
                </c:pt>
                <c:pt idx="77">
                  <c:v>1.84</c:v>
                </c:pt>
                <c:pt idx="78">
                  <c:v>2.78333333333333</c:v>
                </c:pt>
                <c:pt idx="79">
                  <c:v>2.29666666666667</c:v>
                </c:pt>
                <c:pt idx="80">
                  <c:v>3.03333333333333</c:v>
                </c:pt>
                <c:pt idx="81">
                  <c:v>2.785</c:v>
                </c:pt>
                <c:pt idx="82">
                  <c:v>1.84166666666667</c:v>
                </c:pt>
                <c:pt idx="83">
                  <c:v>1.83833333333333</c:v>
                </c:pt>
                <c:pt idx="84">
                  <c:v>2.32166666666667</c:v>
                </c:pt>
                <c:pt idx="85">
                  <c:v>1.05</c:v>
                </c:pt>
                <c:pt idx="86">
                  <c:v>2.91666666666667</c:v>
                </c:pt>
                <c:pt idx="87">
                  <c:v>2.99333333333333</c:v>
                </c:pt>
                <c:pt idx="88">
                  <c:v>3.08666666666667</c:v>
                </c:pt>
                <c:pt idx="89">
                  <c:v>1.94</c:v>
                </c:pt>
                <c:pt idx="90">
                  <c:v>2.67666666666667</c:v>
                </c:pt>
                <c:pt idx="91">
                  <c:v>3.43333333333333</c:v>
                </c:pt>
                <c:pt idx="92">
                  <c:v>3.18333333333333</c:v>
                </c:pt>
                <c:pt idx="93">
                  <c:v>2.32</c:v>
                </c:pt>
                <c:pt idx="94">
                  <c:v>2.695</c:v>
                </c:pt>
                <c:pt idx="95">
                  <c:v>2.00666666666667</c:v>
                </c:pt>
                <c:pt idx="96">
                  <c:v>1.71</c:v>
                </c:pt>
                <c:pt idx="97">
                  <c:v>1.74666666666667</c:v>
                </c:pt>
                <c:pt idx="98">
                  <c:v>2.645</c:v>
                </c:pt>
                <c:pt idx="99">
                  <c:v>4.83166666666667</c:v>
                </c:pt>
                <c:pt idx="100">
                  <c:v>3.45166666666667</c:v>
                </c:pt>
                <c:pt idx="101">
                  <c:v>3.75333333333333</c:v>
                </c:pt>
                <c:pt idx="102">
                  <c:v>2.07666666666667</c:v>
                </c:pt>
                <c:pt idx="103">
                  <c:v>2.93333333333333</c:v>
                </c:pt>
                <c:pt idx="104">
                  <c:v>2.295</c:v>
                </c:pt>
                <c:pt idx="105">
                  <c:v>2.67</c:v>
                </c:pt>
                <c:pt idx="106">
                  <c:v>3.835</c:v>
                </c:pt>
                <c:pt idx="107">
                  <c:v>2.33833333333333</c:v>
                </c:pt>
                <c:pt idx="108">
                  <c:v>2.645</c:v>
                </c:pt>
                <c:pt idx="109">
                  <c:v>3.095</c:v>
                </c:pt>
                <c:pt idx="110">
                  <c:v>2.975</c:v>
                </c:pt>
                <c:pt idx="111">
                  <c:v>2.14833333333333</c:v>
                </c:pt>
                <c:pt idx="112">
                  <c:v>2.54666666666667</c:v>
                </c:pt>
                <c:pt idx="113">
                  <c:v>2.84666666666667</c:v>
                </c:pt>
                <c:pt idx="114">
                  <c:v>2.55333333333333</c:v>
                </c:pt>
                <c:pt idx="115">
                  <c:v>2.33166666666667</c:v>
                </c:pt>
                <c:pt idx="116">
                  <c:v>2.89333333333333</c:v>
                </c:pt>
                <c:pt idx="117">
                  <c:v>3.035</c:v>
                </c:pt>
                <c:pt idx="118">
                  <c:v>2.44</c:v>
                </c:pt>
                <c:pt idx="119">
                  <c:v>2.76666666666667</c:v>
                </c:pt>
                <c:pt idx="120">
                  <c:v>2.27166666666667</c:v>
                </c:pt>
                <c:pt idx="121">
                  <c:v>2.86833333333333</c:v>
                </c:pt>
                <c:pt idx="122">
                  <c:v>4.00333333333333</c:v>
                </c:pt>
                <c:pt idx="123">
                  <c:v>1.945</c:v>
                </c:pt>
                <c:pt idx="124">
                  <c:v>2.13666666666667</c:v>
                </c:pt>
                <c:pt idx="125">
                  <c:v>1.59</c:v>
                </c:pt>
                <c:pt idx="126">
                  <c:v>2.24166666666667</c:v>
                </c:pt>
                <c:pt idx="127">
                  <c:v>2.90333333333333</c:v>
                </c:pt>
                <c:pt idx="128">
                  <c:v>2.75166666666667</c:v>
                </c:pt>
                <c:pt idx="129">
                  <c:v>2.29666666666667</c:v>
                </c:pt>
                <c:pt idx="130">
                  <c:v>2.28166666666667</c:v>
                </c:pt>
                <c:pt idx="131">
                  <c:v>2.025</c:v>
                </c:pt>
                <c:pt idx="132">
                  <c:v>3.14333333333333</c:v>
                </c:pt>
                <c:pt idx="133">
                  <c:v>3.36333333333333</c:v>
                </c:pt>
                <c:pt idx="134">
                  <c:v>2.79833333333333</c:v>
                </c:pt>
                <c:pt idx="135">
                  <c:v>2.46166666666667</c:v>
                </c:pt>
                <c:pt idx="136">
                  <c:v>2.875</c:v>
                </c:pt>
                <c:pt idx="137">
                  <c:v>4.76666666666667</c:v>
                </c:pt>
                <c:pt idx="138">
                  <c:v>2.025</c:v>
                </c:pt>
                <c:pt idx="139">
                  <c:v>3.65166666666667</c:v>
                </c:pt>
                <c:pt idx="140">
                  <c:v>3.69166666666667</c:v>
                </c:pt>
                <c:pt idx="141">
                  <c:v>3.005</c:v>
                </c:pt>
                <c:pt idx="142">
                  <c:v>2.92</c:v>
                </c:pt>
                <c:pt idx="143">
                  <c:v>3.30166666666667</c:v>
                </c:pt>
                <c:pt idx="144">
                  <c:v>3.15333333333333</c:v>
                </c:pt>
                <c:pt idx="145">
                  <c:v>2.26833333333333</c:v>
                </c:pt>
                <c:pt idx="146">
                  <c:v>2.09833333333333</c:v>
                </c:pt>
                <c:pt idx="147">
                  <c:v>1.89833333333333</c:v>
                </c:pt>
                <c:pt idx="148">
                  <c:v>2.935</c:v>
                </c:pt>
                <c:pt idx="149">
                  <c:v>4.58166666666667</c:v>
                </c:pt>
                <c:pt idx="150">
                  <c:v>1.43166666666667</c:v>
                </c:pt>
                <c:pt idx="151">
                  <c:v>2.62833333333333</c:v>
                </c:pt>
                <c:pt idx="152">
                  <c:v>2.74833333333333</c:v>
                </c:pt>
                <c:pt idx="153">
                  <c:v>2.76833333333333</c:v>
                </c:pt>
                <c:pt idx="154">
                  <c:v>2.56333333333333</c:v>
                </c:pt>
                <c:pt idx="155">
                  <c:v>1.70666666666667</c:v>
                </c:pt>
                <c:pt idx="156">
                  <c:v>2.38166666666667</c:v>
                </c:pt>
                <c:pt idx="157">
                  <c:v>3.625</c:v>
                </c:pt>
                <c:pt idx="158">
                  <c:v>1.36666666666667</c:v>
                </c:pt>
                <c:pt idx="159">
                  <c:v>3.27666666666667</c:v>
                </c:pt>
                <c:pt idx="160">
                  <c:v>2.30333333333333</c:v>
                </c:pt>
                <c:pt idx="161">
                  <c:v>4.30666666666667</c:v>
                </c:pt>
                <c:pt idx="162">
                  <c:v>2.005</c:v>
                </c:pt>
                <c:pt idx="163">
                  <c:v>2.345</c:v>
                </c:pt>
                <c:pt idx="164">
                  <c:v>2.98333333333333</c:v>
                </c:pt>
                <c:pt idx="165">
                  <c:v>3.67666666666667</c:v>
                </c:pt>
                <c:pt idx="166">
                  <c:v>3.63333333333333</c:v>
                </c:pt>
                <c:pt idx="167">
                  <c:v>1.56</c:v>
                </c:pt>
                <c:pt idx="168">
                  <c:v>3.10166666666667</c:v>
                </c:pt>
                <c:pt idx="169">
                  <c:v>2.405</c:v>
                </c:pt>
                <c:pt idx="170">
                  <c:v>2.24333333333333</c:v>
                </c:pt>
                <c:pt idx="171">
                  <c:v>2.68833333333333</c:v>
                </c:pt>
                <c:pt idx="172">
                  <c:v>2.19333333333333</c:v>
                </c:pt>
                <c:pt idx="173">
                  <c:v>3.35333333333333</c:v>
                </c:pt>
                <c:pt idx="174">
                  <c:v>2.44166666666667</c:v>
                </c:pt>
                <c:pt idx="175">
                  <c:v>1.16833333333333</c:v>
                </c:pt>
                <c:pt idx="176">
                  <c:v>2.71</c:v>
                </c:pt>
                <c:pt idx="177">
                  <c:v>3.49666666666667</c:v>
                </c:pt>
                <c:pt idx="178">
                  <c:v>2.57833333333333</c:v>
                </c:pt>
                <c:pt idx="179">
                  <c:v>1.94333333333333</c:v>
                </c:pt>
                <c:pt idx="180">
                  <c:v>3.19</c:v>
                </c:pt>
                <c:pt idx="181">
                  <c:v>1.66</c:v>
                </c:pt>
                <c:pt idx="182">
                  <c:v>1.26</c:v>
                </c:pt>
                <c:pt idx="183">
                  <c:v>4.225</c:v>
                </c:pt>
                <c:pt idx="184">
                  <c:v>2.77333333333333</c:v>
                </c:pt>
                <c:pt idx="185">
                  <c:v>1.62333333333333</c:v>
                </c:pt>
                <c:pt idx="186">
                  <c:v>2.41</c:v>
                </c:pt>
                <c:pt idx="187">
                  <c:v>2.585</c:v>
                </c:pt>
                <c:pt idx="188">
                  <c:v>3.45</c:v>
                </c:pt>
                <c:pt idx="189">
                  <c:v>3.00166666666667</c:v>
                </c:pt>
                <c:pt idx="190">
                  <c:v>2.63333333333333</c:v>
                </c:pt>
                <c:pt idx="191">
                  <c:v>2.82</c:v>
                </c:pt>
                <c:pt idx="192">
                  <c:v>2.71333333333333</c:v>
                </c:pt>
                <c:pt idx="193">
                  <c:v>3.835</c:v>
                </c:pt>
                <c:pt idx="194">
                  <c:v>1.63</c:v>
                </c:pt>
                <c:pt idx="195">
                  <c:v>1.41</c:v>
                </c:pt>
                <c:pt idx="196">
                  <c:v>3.625</c:v>
                </c:pt>
                <c:pt idx="197">
                  <c:v>2.915</c:v>
                </c:pt>
                <c:pt idx="198">
                  <c:v>2.335</c:v>
                </c:pt>
                <c:pt idx="199">
                  <c:v>1.38166666666667</c:v>
                </c:pt>
                <c:pt idx="200">
                  <c:v>1.78833333333333</c:v>
                </c:pt>
                <c:pt idx="201">
                  <c:v>2.77833333333333</c:v>
                </c:pt>
                <c:pt idx="202">
                  <c:v>9.16</c:v>
                </c:pt>
                <c:pt idx="203">
                  <c:v>9.65166666666667</c:v>
                </c:pt>
                <c:pt idx="204">
                  <c:v>9.11833333333333</c:v>
                </c:pt>
                <c:pt idx="205">
                  <c:v>10.205</c:v>
                </c:pt>
                <c:pt idx="206">
                  <c:v>11.2433333333333</c:v>
                </c:pt>
                <c:pt idx="207">
                  <c:v>11.4333333333333</c:v>
                </c:pt>
                <c:pt idx="208">
                  <c:v>1.59833333333333</c:v>
                </c:pt>
                <c:pt idx="209">
                  <c:v>3.07</c:v>
                </c:pt>
                <c:pt idx="210">
                  <c:v>2.72666666666667</c:v>
                </c:pt>
                <c:pt idx="211">
                  <c:v>1.25833333333333</c:v>
                </c:pt>
                <c:pt idx="212">
                  <c:v>2.76833333333333</c:v>
                </c:pt>
                <c:pt idx="213">
                  <c:v>1.81333333333333</c:v>
                </c:pt>
                <c:pt idx="214">
                  <c:v>2.50666666666667</c:v>
                </c:pt>
                <c:pt idx="215">
                  <c:v>2.615</c:v>
                </c:pt>
                <c:pt idx="216">
                  <c:v>3.07333333333333</c:v>
                </c:pt>
                <c:pt idx="217">
                  <c:v>2.855</c:v>
                </c:pt>
                <c:pt idx="218">
                  <c:v>2.975</c:v>
                </c:pt>
                <c:pt idx="219">
                  <c:v>2.6</c:v>
                </c:pt>
                <c:pt idx="220">
                  <c:v>2.98333333333333</c:v>
                </c:pt>
                <c:pt idx="221">
                  <c:v>2.66666666666667</c:v>
                </c:pt>
                <c:pt idx="222">
                  <c:v>1.29666666666667</c:v>
                </c:pt>
                <c:pt idx="223">
                  <c:v>1.53833333333333</c:v>
                </c:pt>
                <c:pt idx="224">
                  <c:v>3.06333333333333</c:v>
                </c:pt>
                <c:pt idx="225">
                  <c:v>2.39333333333333</c:v>
                </c:pt>
                <c:pt idx="226">
                  <c:v>2.21166666666667</c:v>
                </c:pt>
                <c:pt idx="227">
                  <c:v>2.97333333333333</c:v>
                </c:pt>
                <c:pt idx="228">
                  <c:v>2.56666666666667</c:v>
                </c:pt>
                <c:pt idx="229">
                  <c:v>1.295</c:v>
                </c:pt>
                <c:pt idx="230">
                  <c:v>2.585</c:v>
                </c:pt>
                <c:pt idx="231">
                  <c:v>1.545</c:v>
                </c:pt>
                <c:pt idx="232">
                  <c:v>2.38333333333333</c:v>
                </c:pt>
                <c:pt idx="233">
                  <c:v>1.335</c:v>
                </c:pt>
                <c:pt idx="234">
                  <c:v>2.54</c:v>
                </c:pt>
                <c:pt idx="235">
                  <c:v>2.42166666666667</c:v>
                </c:pt>
                <c:pt idx="236">
                  <c:v>2.67833333333333</c:v>
                </c:pt>
                <c:pt idx="237">
                  <c:v>1.57166666666667</c:v>
                </c:pt>
                <c:pt idx="238">
                  <c:v>2.36833333333333</c:v>
                </c:pt>
                <c:pt idx="239">
                  <c:v>3.28833333333333</c:v>
                </c:pt>
                <c:pt idx="240">
                  <c:v>1.345</c:v>
                </c:pt>
                <c:pt idx="241">
                  <c:v>2.26833333333333</c:v>
                </c:pt>
                <c:pt idx="242">
                  <c:v>2.55666666666667</c:v>
                </c:pt>
                <c:pt idx="243">
                  <c:v>2.49166666666667</c:v>
                </c:pt>
                <c:pt idx="244">
                  <c:v>1.80666666666667</c:v>
                </c:pt>
                <c:pt idx="245">
                  <c:v>3.235</c:v>
                </c:pt>
                <c:pt idx="246">
                  <c:v>4.03833333333333</c:v>
                </c:pt>
                <c:pt idx="247">
                  <c:v>1.39833333333333</c:v>
                </c:pt>
                <c:pt idx="248">
                  <c:v>3.03666666666667</c:v>
                </c:pt>
                <c:pt idx="249">
                  <c:v>2.425</c:v>
                </c:pt>
                <c:pt idx="250">
                  <c:v>2.225</c:v>
                </c:pt>
                <c:pt idx="251">
                  <c:v>1.51333333333333</c:v>
                </c:pt>
                <c:pt idx="252">
                  <c:v>3.36666666666667</c:v>
                </c:pt>
                <c:pt idx="253">
                  <c:v>2.12333333333333</c:v>
                </c:pt>
                <c:pt idx="254">
                  <c:v>1.68</c:v>
                </c:pt>
                <c:pt idx="255">
                  <c:v>2.945</c:v>
                </c:pt>
                <c:pt idx="256">
                  <c:v>2.06333333333333</c:v>
                </c:pt>
                <c:pt idx="257">
                  <c:v>2.91166666666667</c:v>
                </c:pt>
                <c:pt idx="258">
                  <c:v>4.88666666666667</c:v>
                </c:pt>
                <c:pt idx="259">
                  <c:v>3.97333333333333</c:v>
                </c:pt>
                <c:pt idx="260">
                  <c:v>4.77833333333333</c:v>
                </c:pt>
                <c:pt idx="261">
                  <c:v>4.97</c:v>
                </c:pt>
                <c:pt idx="262">
                  <c:v>4.48</c:v>
                </c:pt>
                <c:pt idx="263">
                  <c:v>3.895</c:v>
                </c:pt>
                <c:pt idx="264">
                  <c:v>4.19</c:v>
                </c:pt>
                <c:pt idx="265">
                  <c:v>4.96833333333333</c:v>
                </c:pt>
                <c:pt idx="266">
                  <c:v>4.01666666666667</c:v>
                </c:pt>
                <c:pt idx="267">
                  <c:v>2.65166666666667</c:v>
                </c:pt>
                <c:pt idx="268">
                  <c:v>2.98333333333333</c:v>
                </c:pt>
                <c:pt idx="269">
                  <c:v>2.695</c:v>
                </c:pt>
                <c:pt idx="270">
                  <c:v>2.83833333333333</c:v>
                </c:pt>
                <c:pt idx="271">
                  <c:v>2.36166666666667</c:v>
                </c:pt>
                <c:pt idx="272">
                  <c:v>2.95166666666667</c:v>
                </c:pt>
                <c:pt idx="273">
                  <c:v>2.27666666666667</c:v>
                </c:pt>
                <c:pt idx="274">
                  <c:v>3.27833333333333</c:v>
                </c:pt>
                <c:pt idx="275">
                  <c:v>2.31333333333333</c:v>
                </c:pt>
                <c:pt idx="276">
                  <c:v>3.95666666666667</c:v>
                </c:pt>
                <c:pt idx="277">
                  <c:v>2.60166666666667</c:v>
                </c:pt>
                <c:pt idx="278">
                  <c:v>2.85166666666667</c:v>
                </c:pt>
                <c:pt idx="279">
                  <c:v>2.005</c:v>
                </c:pt>
                <c:pt idx="280">
                  <c:v>3.34</c:v>
                </c:pt>
                <c:pt idx="281">
                  <c:v>2.26166666666667</c:v>
                </c:pt>
                <c:pt idx="282">
                  <c:v>2.97833333333333</c:v>
                </c:pt>
                <c:pt idx="283">
                  <c:v>2.635</c:v>
                </c:pt>
                <c:pt idx="284">
                  <c:v>4.865</c:v>
                </c:pt>
                <c:pt idx="285">
                  <c:v>2.56</c:v>
                </c:pt>
                <c:pt idx="286">
                  <c:v>1.515</c:v>
                </c:pt>
                <c:pt idx="287">
                  <c:v>2.53333333333333</c:v>
                </c:pt>
                <c:pt idx="288">
                  <c:v>3.06</c:v>
                </c:pt>
                <c:pt idx="289">
                  <c:v>2.995</c:v>
                </c:pt>
                <c:pt idx="290">
                  <c:v>3.54166666666667</c:v>
                </c:pt>
                <c:pt idx="291">
                  <c:v>3.24833333333333</c:v>
                </c:pt>
                <c:pt idx="292">
                  <c:v>3.05</c:v>
                </c:pt>
                <c:pt idx="293">
                  <c:v>2.315</c:v>
                </c:pt>
                <c:pt idx="294">
                  <c:v>3.12666666666667</c:v>
                </c:pt>
                <c:pt idx="295">
                  <c:v>2.62833333333333</c:v>
                </c:pt>
                <c:pt idx="296">
                  <c:v>2.08666666666667</c:v>
                </c:pt>
                <c:pt idx="297">
                  <c:v>2.11</c:v>
                </c:pt>
                <c:pt idx="298">
                  <c:v>2.18333333333333</c:v>
                </c:pt>
                <c:pt idx="299">
                  <c:v>3.64</c:v>
                </c:pt>
                <c:pt idx="300">
                  <c:v>2.85666666666667</c:v>
                </c:pt>
                <c:pt idx="301">
                  <c:v>3.015</c:v>
                </c:pt>
                <c:pt idx="302">
                  <c:v>1.25833333333333</c:v>
                </c:pt>
                <c:pt idx="303">
                  <c:v>1.205</c:v>
                </c:pt>
                <c:pt idx="304">
                  <c:v>2.66166666666667</c:v>
                </c:pt>
                <c:pt idx="305">
                  <c:v>2.68</c:v>
                </c:pt>
                <c:pt idx="306">
                  <c:v>1.14333333333333</c:v>
                </c:pt>
                <c:pt idx="307">
                  <c:v>2.24833333333333</c:v>
                </c:pt>
                <c:pt idx="308">
                  <c:v>2.65</c:v>
                </c:pt>
                <c:pt idx="309">
                  <c:v>1.985</c:v>
                </c:pt>
                <c:pt idx="310">
                  <c:v>2.26333333333333</c:v>
                </c:pt>
                <c:pt idx="311">
                  <c:v>3.195</c:v>
                </c:pt>
                <c:pt idx="312">
                  <c:v>2.81</c:v>
                </c:pt>
                <c:pt idx="313">
                  <c:v>2.925</c:v>
                </c:pt>
                <c:pt idx="314">
                  <c:v>2.13166666666667</c:v>
                </c:pt>
                <c:pt idx="315">
                  <c:v>1.94833333333333</c:v>
                </c:pt>
                <c:pt idx="316">
                  <c:v>2.86833333333333</c:v>
                </c:pt>
                <c:pt idx="317">
                  <c:v>1.58833333333333</c:v>
                </c:pt>
                <c:pt idx="318">
                  <c:v>1.295</c:v>
                </c:pt>
                <c:pt idx="319">
                  <c:v>1.45833333333333</c:v>
                </c:pt>
                <c:pt idx="320">
                  <c:v>1.38833333333333</c:v>
                </c:pt>
                <c:pt idx="321">
                  <c:v>1.28666666666667</c:v>
                </c:pt>
                <c:pt idx="322">
                  <c:v>2.015</c:v>
                </c:pt>
                <c:pt idx="323">
                  <c:v>3.35333333333333</c:v>
                </c:pt>
                <c:pt idx="324">
                  <c:v>2.97166666666667</c:v>
                </c:pt>
                <c:pt idx="325">
                  <c:v>1.98833333333333</c:v>
                </c:pt>
                <c:pt idx="326">
                  <c:v>1.15666666666667</c:v>
                </c:pt>
                <c:pt idx="327">
                  <c:v>4.35666666666667</c:v>
                </c:pt>
                <c:pt idx="328">
                  <c:v>2.23</c:v>
                </c:pt>
                <c:pt idx="329">
                  <c:v>3.13</c:v>
                </c:pt>
                <c:pt idx="330">
                  <c:v>1.75666666666667</c:v>
                </c:pt>
                <c:pt idx="331">
                  <c:v>4.59166666666667</c:v>
                </c:pt>
                <c:pt idx="332">
                  <c:v>2.03166666666667</c:v>
                </c:pt>
                <c:pt idx="333">
                  <c:v>2.31166666666667</c:v>
                </c:pt>
                <c:pt idx="334">
                  <c:v>2.56166666666667</c:v>
                </c:pt>
                <c:pt idx="335">
                  <c:v>2.61</c:v>
                </c:pt>
                <c:pt idx="336">
                  <c:v>2.65166666666667</c:v>
                </c:pt>
                <c:pt idx="337">
                  <c:v>2.33</c:v>
                </c:pt>
                <c:pt idx="338">
                  <c:v>2.295</c:v>
                </c:pt>
                <c:pt idx="339">
                  <c:v>2.60333333333333</c:v>
                </c:pt>
                <c:pt idx="340">
                  <c:v>1.985</c:v>
                </c:pt>
                <c:pt idx="341">
                  <c:v>2.915</c:v>
                </c:pt>
                <c:pt idx="342">
                  <c:v>1.74333333333333</c:v>
                </c:pt>
                <c:pt idx="343">
                  <c:v>3.62666666666667</c:v>
                </c:pt>
                <c:pt idx="344">
                  <c:v>2.61666666666667</c:v>
                </c:pt>
                <c:pt idx="345">
                  <c:v>1.305</c:v>
                </c:pt>
                <c:pt idx="346">
                  <c:v>2.87833333333333</c:v>
                </c:pt>
                <c:pt idx="347">
                  <c:v>3.02333333333333</c:v>
                </c:pt>
                <c:pt idx="348">
                  <c:v>2.195</c:v>
                </c:pt>
                <c:pt idx="349">
                  <c:v>2.02333333333333</c:v>
                </c:pt>
                <c:pt idx="350">
                  <c:v>3.48166666666667</c:v>
                </c:pt>
                <c:pt idx="351">
                  <c:v>3.66</c:v>
                </c:pt>
                <c:pt idx="352">
                  <c:v>1.88166666666667</c:v>
                </c:pt>
                <c:pt idx="353">
                  <c:v>2.30666666666667</c:v>
                </c:pt>
                <c:pt idx="354">
                  <c:v>1.78666666666667</c:v>
                </c:pt>
                <c:pt idx="355">
                  <c:v>2.90166666666667</c:v>
                </c:pt>
                <c:pt idx="356">
                  <c:v>2.96</c:v>
                </c:pt>
                <c:pt idx="357">
                  <c:v>1.95333333333333</c:v>
                </c:pt>
                <c:pt idx="358">
                  <c:v>3.21833333333333</c:v>
                </c:pt>
                <c:pt idx="359">
                  <c:v>1.44166666666667</c:v>
                </c:pt>
                <c:pt idx="360">
                  <c:v>3.84833333333333</c:v>
                </c:pt>
                <c:pt idx="361">
                  <c:v>2.77666666666667</c:v>
                </c:pt>
                <c:pt idx="362">
                  <c:v>3.55666666666667</c:v>
                </c:pt>
                <c:pt idx="363">
                  <c:v>3.48</c:v>
                </c:pt>
                <c:pt idx="364">
                  <c:v>3.07666666666667</c:v>
                </c:pt>
              </c:numCache>
            </numRef>
          </yVal>
        </ser>
        <axId val="10"/>
        <axId val="20"/>
      </scatterChart>
      <valAx>
        <axId val="10"/>
        <scaling>
          <orientation val="minMax"/>
          <max val="46022"/>
          <min val="45658"/>
        </scaling>
        <axPos val="l"/>
        <numFmt formatCode="m月" sourceLinked="0"/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20"/>
        <majorUnit val="61"/>
      </valAx>
      <valAx>
        <axId val="20"/>
        <scaling>
          <orientation val="minMax"/>
        </scaling>
        <axPos val="l"/>
        <majorGridlines>
          <spPr>
            <a:ln w="6000">
              <a:solidFill>
                <a:srgbClr val="E3EAF0"/>
              </a:solidFill>
              <a:prstDash val="solid"/>
            </a:ln>
          </spPr>
        </majorGridlines>
        <majorTickMark val="none"/>
        <minorTickMark val="none"/>
        <txPr>
          <a:bodyPr/>
          <a:p>
            <a:pPr>
              <a:defRPr sz="900">
                <a:solidFill>
                  <a:srgbClr val="687A8D"/>
                </a:solidFill>
                <a:latin typeface="Noto Sans CJK SC"/>
                <a:ea typeface="Noto Sans CJK SC"/>
              </a:defRPr>
            </a:pPr>
            <a:r>
              <a:t/>
            </a:r>
            <a:endParaRPr lang="zh-CN"/>
          </a:p>
        </txPr>
        <crossAx val="10"/>
      </valAx>
    </plotArea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8784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27</row>
      <rowOff>0</rowOff>
    </from>
    <ext cx="4320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27</row>
      <rowOff>0</rowOff>
    </from>
    <ext cx="4320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16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35</row>
      <rowOff>0</rowOff>
    </from>
    <ext cx="115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74661"/>
    <outlinePr summaryBelow="1" summaryRight="1"/>
    <pageSetUpPr fitToPage="1"/>
  </sheetPr>
  <dimension ref="B2:P53"/>
  <sheetViews>
    <sheetView showGridLines="0" zoomScale="85" workbookViewId="0">
      <selection activeCell="A1" sqref="A1"/>
    </sheetView>
  </sheetViews>
  <sheetFormatPr baseColWidth="8" defaultRowHeight="15"/>
  <cols>
    <col width="2.5" customWidth="1" min="1" max="1"/>
    <col width="8.4" customWidth="1" min="2" max="2"/>
    <col width="8.4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  <col width="8.4" customWidth="1" min="18" max="18"/>
  </cols>
  <sheetData>
    <row r="1" ht="19" customHeight="1"/>
    <row r="2" ht="37" customHeight="1">
      <c r="B2" s="1" t="inlineStr">
        <is>
          <t>青岚港货物流向与作业效率</t>
        </is>
      </c>
    </row>
    <row r="3" ht="25" customHeight="1">
      <c r="B3" s="2" t="inlineStr">
        <is>
          <t>2025 年度    吞吐趋势 · 进出港结构 · 等泊与作业效率    模拟数据</t>
        </is>
      </c>
    </row>
    <row r="4" ht="19" customHeight="1"/>
    <row r="5" ht="19" customHeight="1">
      <c r="B5" s="3" t="inlineStr">
        <is>
          <t>全年吞吐量 / 万吨</t>
        </is>
      </c>
      <c r="F5" s="3" t="inlineStr">
        <is>
          <t>进港货物占比</t>
        </is>
      </c>
      <c r="J5" s="3" t="inlineStr">
        <is>
          <t>平均等泊 / 小时</t>
        </is>
      </c>
      <c r="N5" s="3" t="inlineStr">
        <is>
          <t>装卸作业 / 笔</t>
        </is>
      </c>
    </row>
    <row r="6" ht="36" customHeight="1">
      <c r="B6" s="4">
        <f>SUM('日度汇总'!D8:D372)/10000</f>
        <v>2516.8532</v>
      </c>
      <c r="F6" s="5">
        <f>SUM('日度汇总'!B8:B372)/SUM('日度汇总'!D8:D372)</f>
        <v>0.650485971927167</v>
      </c>
      <c r="J6" s="6">
        <f>AVERAGE('作业明细'!I8:I2197)</f>
        <v>2.69911415525114</v>
      </c>
      <c r="N6" s="7">
        <f>SUM('日度汇总'!E8:E372)</f>
        <v>2190</v>
      </c>
    </row>
    <row r="7" ht="19" customHeight="1"/>
    <row r="8" ht="19" customHeight="1"/>
    <row r="9" ht="23" customHeight="1">
      <c r="B9" s="8" t="inlineStr">
        <is>
          <t>01  全年日度吞吐量与短期波动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9" customHeight="1"/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23" customHeight="1">
      <c r="B27" s="8" t="inlineStr">
        <is>
          <t>02  流向结构与主要货类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23" customHeight="1">
      <c r="B43" s="8" t="inlineStr">
        <is>
          <t>季度吞吐与效率摘要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9" customHeight="1">
      <c r="B44" s="10" t="inlineStr">
        <is>
          <t>季度</t>
        </is>
      </c>
      <c r="C44" s="11" t="n"/>
      <c r="D44" s="11" t="n"/>
      <c r="E44" s="10" t="inlineStr">
        <is>
          <t>进港 / 万吨</t>
        </is>
      </c>
      <c r="F44" s="11" t="n"/>
      <c r="G44" s="11" t="n"/>
      <c r="H44" s="10" t="inlineStr">
        <is>
          <t>出港 / 万吨</t>
        </is>
      </c>
      <c r="I44" s="11" t="n"/>
      <c r="J44" s="11" t="n"/>
      <c r="K44" s="10" t="inlineStr">
        <is>
          <t>总量 / 万吨</t>
        </is>
      </c>
      <c r="L44" s="11" t="n"/>
      <c r="M44" s="11" t="n"/>
      <c r="N44" s="10" t="inlineStr">
        <is>
          <t>等泊 / 小时</t>
        </is>
      </c>
      <c r="O44" s="11" t="n"/>
      <c r="P44" s="11" t="n"/>
    </row>
    <row r="45" ht="19" customHeight="1">
      <c r="B45" s="12" t="inlineStr">
        <is>
          <t>1季度</t>
        </is>
      </c>
      <c r="C45" s="13" t="n"/>
      <c r="D45" s="13" t="n"/>
      <c r="E45" s="14">
        <f>SUM('货类与航线'!B8:B10)</f>
        <v>313.5089</v>
      </c>
      <c r="F45" s="13" t="n"/>
      <c r="G45" s="13" t="n"/>
      <c r="H45" s="14">
        <f>SUM('货类与航线'!C8:C10)</f>
        <v>177.3292</v>
      </c>
      <c r="I45" s="13" t="n"/>
      <c r="J45" s="13" t="n"/>
      <c r="K45" s="14">
        <f>SUM(E45,H45)</f>
        <v>490.8381</v>
      </c>
      <c r="L45" s="13" t="n"/>
      <c r="M45" s="13" t="n"/>
      <c r="N45" s="14">
        <f>AVERAGEIFS('作业明细'!$I$8:$I$2197,'作业明细'!$B$8:$B$2197,"&gt;="&amp;DATE(2025,1,1),'作业明细'!$B$8:$B$2197,"&lt;"&amp;DATE(2025,4,1))</f>
        <v>2.35018518518519</v>
      </c>
      <c r="O45" s="13" t="n"/>
      <c r="P45" s="13" t="n"/>
    </row>
    <row r="46" ht="19" customHeight="1">
      <c r="B46" s="15" t="inlineStr">
        <is>
          <t>2季度</t>
        </is>
      </c>
      <c r="C46" s="9" t="n"/>
      <c r="D46" s="9" t="n"/>
      <c r="E46" s="16">
        <f>SUM('货类与航线'!B11:B13)</f>
        <v>392.2413</v>
      </c>
      <c r="F46" s="9" t="n"/>
      <c r="G46" s="9" t="n"/>
      <c r="H46" s="16">
        <f>SUM('货类与航线'!C11:C13)</f>
        <v>222.8513</v>
      </c>
      <c r="I46" s="9" t="n"/>
      <c r="J46" s="9" t="n"/>
      <c r="K46" s="16">
        <f>SUM(E46,H46)</f>
        <v>615.0926</v>
      </c>
      <c r="L46" s="9" t="n"/>
      <c r="M46" s="9" t="n"/>
      <c r="N46" s="16">
        <f>AVERAGEIFS('作业明细'!$I$8:$I$2197,'作业明细'!$B$8:$B$2197,"&gt;="&amp;DATE(2025,4,1),'作业明细'!$B$8:$B$2197,"&lt;"&amp;DATE(2025,7,1))</f>
        <v>2.72478021978022</v>
      </c>
      <c r="O46" s="9" t="n"/>
      <c r="P46" s="9" t="n"/>
    </row>
    <row r="47" ht="19" customHeight="1">
      <c r="B47" s="12" t="inlineStr">
        <is>
          <t>3季度</t>
        </is>
      </c>
      <c r="C47" s="13" t="n"/>
      <c r="D47" s="13" t="n"/>
      <c r="E47" s="14">
        <f>SUM('货类与航线'!B14:B16)</f>
        <v>481.4461</v>
      </c>
      <c r="F47" s="13" t="n"/>
      <c r="G47" s="13" t="n"/>
      <c r="H47" s="14">
        <f>SUM('货类与航线'!C14:C16)</f>
        <v>275.2542</v>
      </c>
      <c r="I47" s="13" t="n"/>
      <c r="J47" s="13" t="n"/>
      <c r="K47" s="14">
        <f>SUM(E47,H47)</f>
        <v>756.7003</v>
      </c>
      <c r="L47" s="13" t="n"/>
      <c r="M47" s="13" t="n"/>
      <c r="N47" s="14">
        <f>AVERAGEIFS('作业明细'!$I$8:$I$2197,'作业明细'!$B$8:$B$2197,"&gt;="&amp;DATE(2025,7,1),'作业明细'!$B$8:$B$2197,"&lt;"&amp;DATE(2025,10,1))</f>
        <v>3.1445652173913</v>
      </c>
      <c r="O47" s="13" t="n"/>
      <c r="P47" s="13" t="n"/>
    </row>
    <row r="48" ht="19" customHeight="1">
      <c r="B48" s="15" t="inlineStr">
        <is>
          <t>4季度</t>
        </is>
      </c>
      <c r="C48" s="9" t="n"/>
      <c r="D48" s="9" t="n"/>
      <c r="E48" s="16">
        <f>SUM('货类与航线'!B17:B19)</f>
        <v>449.9814</v>
      </c>
      <c r="F48" s="9" t="n"/>
      <c r="G48" s="9" t="n"/>
      <c r="H48" s="16">
        <f>SUM('货类与航线'!C17:C19)</f>
        <v>204.2408</v>
      </c>
      <c r="I48" s="9" t="n"/>
      <c r="J48" s="9" t="n"/>
      <c r="K48" s="16">
        <f>SUM(E48,H48)</f>
        <v>654.2222</v>
      </c>
      <c r="L48" s="9" t="n"/>
      <c r="M48" s="9" t="n"/>
      <c r="N48" s="16">
        <f>AVERAGEIFS('作业明细'!$I$8:$I$2197,'作业明细'!$B$8:$B$2197,"&gt;="&amp;DATE(2025,10,1),'作业明细'!$B$8:$B$2197,"&lt;"&amp;DATE(2026,1,1))</f>
        <v>2.56961956521739</v>
      </c>
      <c r="O48" s="9" t="n"/>
      <c r="P48" s="9" t="n"/>
    </row>
    <row r="49" ht="19" customHeight="1"/>
    <row r="50" ht="19" customHeight="1"/>
    <row r="51" ht="19" customHeight="1">
      <c r="B51" s="3" t="inlineStr">
        <is>
          <t>口径：进港为卸货，出港为装船；装卸总量按作业计量，转运货物可能重复计入。</t>
        </is>
      </c>
    </row>
    <row r="52" ht="19" customHeight="1"/>
    <row r="53" ht="19" customHeight="1">
      <c r="B53" s="3" t="inlineStr">
        <is>
          <t>情景：2 月短暂回落、7 月天气延误、9 月集中到港。完整明细可筛选、修改与重算。</t>
        </is>
      </c>
    </row>
    <row r="54" ht="19" customHeight="1"/>
  </sheetData>
  <mergeCells count="40">
    <mergeCell ref="B43:P43"/>
    <mergeCell ref="J6:L6"/>
    <mergeCell ref="H46:J46"/>
    <mergeCell ref="N46:P46"/>
    <mergeCell ref="K47:M47"/>
    <mergeCell ref="B2:P2"/>
    <mergeCell ref="F5:H5"/>
    <mergeCell ref="K44:M44"/>
    <mergeCell ref="K46:M46"/>
    <mergeCell ref="N5:P5"/>
    <mergeCell ref="B44:D44"/>
    <mergeCell ref="N48:P48"/>
    <mergeCell ref="H45:J45"/>
    <mergeCell ref="N44:P44"/>
    <mergeCell ref="B53:P53"/>
    <mergeCell ref="E46:G46"/>
    <mergeCell ref="E45:G45"/>
    <mergeCell ref="H47:J47"/>
    <mergeCell ref="K48:M48"/>
    <mergeCell ref="B9:P9"/>
    <mergeCell ref="H48:J48"/>
    <mergeCell ref="B6:D6"/>
    <mergeCell ref="N6:P6"/>
    <mergeCell ref="B5:D5"/>
    <mergeCell ref="B51:P51"/>
    <mergeCell ref="B45:D45"/>
    <mergeCell ref="E47:G47"/>
    <mergeCell ref="N45:P45"/>
    <mergeCell ref="B47:D47"/>
    <mergeCell ref="J5:L5"/>
    <mergeCell ref="N47:P47"/>
    <mergeCell ref="F6:H6"/>
    <mergeCell ref="B46:D46"/>
    <mergeCell ref="H44:J44"/>
    <mergeCell ref="B3:P3"/>
    <mergeCell ref="K45:M45"/>
    <mergeCell ref="E48:G48"/>
    <mergeCell ref="B27:P27"/>
    <mergeCell ref="E44:G44"/>
    <mergeCell ref="B48:D48"/>
  </mergeCells>
  <printOptions horizontalCentered="1"/>
  <pageMargins left="0.28" right="0.28" top="0.25" bottom="0.25" header="0" footer="0.1"/>
  <pageSetup orientation="portrait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74661"/>
    <outlinePr summaryBelow="1" summaryRight="1"/>
    <pageSetUpPr fitToPage="1"/>
  </sheetPr>
  <dimension ref="A2:P21"/>
  <sheetViews>
    <sheetView showGridLines="0" zoomScale="85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  <col width="8.4" customWidth="1" min="18" max="18"/>
  </cols>
  <sheetData>
    <row r="1" ht="19" customHeight="1"/>
    <row r="2" ht="37" customHeight="1">
      <c r="B2" s="1" t="inlineStr">
        <is>
          <t>货类与航线结构</t>
        </is>
      </c>
    </row>
    <row r="3" ht="25" customHeight="1">
      <c r="B3" s="2" t="inlineStr">
        <is>
          <t>2025 年度    货物吨数按装卸作业统计；箱量单独使用 TEU</t>
        </is>
      </c>
    </row>
    <row r="4" ht="19" customHeight="1"/>
    <row r="5" ht="19" customHeight="1"/>
    <row r="6" ht="19" customHeight="1"/>
    <row r="7" ht="32" customHeight="1">
      <c r="A7" s="17" t="inlineStr">
        <is>
          <t>月份</t>
        </is>
      </c>
      <c r="B7" s="17" t="inlineStr">
        <is>
          <t>进港 / 万吨</t>
        </is>
      </c>
      <c r="C7" s="17" t="inlineStr">
        <is>
          <t>出港 / 万吨</t>
        </is>
      </c>
      <c r="D7" s="17" t="inlineStr">
        <is>
          <t>总量 / 万吨</t>
        </is>
      </c>
      <c r="E7" s="17" t="inlineStr">
        <is>
          <t>等泊 / 小时</t>
        </is>
      </c>
      <c r="F7" s="17" t="inlineStr">
        <is>
          <t>效率 / 吨每小时</t>
        </is>
      </c>
      <c r="J7" s="18" t="inlineStr">
        <is>
          <t>货类</t>
        </is>
      </c>
      <c r="K7" s="18" t="inlineStr">
        <is>
          <t>吞吐 / 万吨</t>
        </is>
      </c>
      <c r="L7" s="18" t="inlineStr">
        <is>
          <t>占比</t>
        </is>
      </c>
    </row>
    <row r="8" ht="19" customHeight="1">
      <c r="A8" s="19" t="inlineStr">
        <is>
          <t>1月</t>
        </is>
      </c>
      <c r="B8" s="14">
        <f>SUMIFS('作业明细'!$G$8:$G$2197,'作业明细'!$B$8:$B$2197,"&gt;="&amp;DATE(2025,1,1),'作业明细'!$B$8:$B$2197,"&lt;"&amp;DATE(2025,2,1),'作业明细'!$C$8:$C$2197,"进港")/10000</f>
        <v>111.7009</v>
      </c>
      <c r="C8" s="14">
        <f>SUMIFS('作业明细'!$G$8:$G$2197,'作业明细'!$B$8:$B$2197,"&gt;="&amp;DATE(2025,1,1),'作业明细'!$B$8:$B$2197,"&lt;"&amp;DATE(2025,2,1),'作业明细'!$C$8:$C$2197,"出港")/10000</f>
        <v>67.7088</v>
      </c>
      <c r="D8" s="14">
        <f>SUM(B8:C8)</f>
        <v>179.4097</v>
      </c>
      <c r="E8" s="14">
        <f>AVERAGEIFS('作业明细'!$I$8:$I$2197,'作业明细'!$B$8:$B$2197,"&gt;="&amp;DATE(2025,1,1),'作业明细'!$B$8:$B$2197,"&lt;"&amp;DATE(2025,2,1))</f>
        <v>2.31317204301075</v>
      </c>
      <c r="F8" s="20">
        <f>D8*10000/SUMIFS('作业明细'!$H$8:$H$2197,'作业明细'!$B$8:$B$2197,"&gt;="&amp;DATE(2025,1,1),'作业明细'!$B$8:$B$2197,"&lt;"&amp;DATE(2025,2,1))</f>
        <v>1158.70792322199</v>
      </c>
      <c r="J8" s="21" t="inlineStr">
        <is>
          <t>集装箱货物</t>
        </is>
      </c>
      <c r="K8" s="22">
        <f>SUMIFS('作业明细'!$G$8:$G$2197,'作业明细'!$D$8:$D$2197,J8)/10000</f>
        <v>337.5125</v>
      </c>
      <c r="L8" s="23">
        <f>K8/SUM($K$8:$K$13)</f>
        <v>0.13410098769368</v>
      </c>
    </row>
    <row r="9" ht="19" customHeight="1">
      <c r="A9" s="24" t="inlineStr">
        <is>
          <t>2月</t>
        </is>
      </c>
      <c r="B9" s="16">
        <f>SUMIFS('作业明细'!$G$8:$G$2197,'作业明细'!$B$8:$B$2197,"&gt;="&amp;DATE(2025,2,1),'作业明细'!$B$8:$B$2197,"&lt;"&amp;DATE(2025,3,1),'作业明细'!$C$8:$C$2197,"进港")/10000</f>
        <v>87.859</v>
      </c>
      <c r="C9" s="16">
        <f>SUMIFS('作业明细'!$G$8:$G$2197,'作业明细'!$B$8:$B$2197,"&gt;="&amp;DATE(2025,2,1),'作业明细'!$B$8:$B$2197,"&lt;"&amp;DATE(2025,3,1),'作业明细'!$C$8:$C$2197,"出港")/10000</f>
        <v>47.3395</v>
      </c>
      <c r="D9" s="16">
        <f>SUM(B9:C9)</f>
        <v>135.1985</v>
      </c>
      <c r="E9" s="16">
        <f>AVERAGEIFS('作业明细'!$I$8:$I$2197,'作业明细'!$B$8:$B$2197,"&gt;="&amp;DATE(2025,2,1),'作业明细'!$B$8:$B$2197,"&lt;"&amp;DATE(2025,3,1))</f>
        <v>2.29458333333333</v>
      </c>
      <c r="F9" s="25">
        <f>D9*10000/SUMIFS('作业明细'!$H$8:$H$2197,'作业明细'!$B$8:$B$2197,"&gt;="&amp;DATE(2025,2,1),'作业明细'!$B$8:$B$2197,"&lt;"&amp;DATE(2025,3,1))</f>
        <v>1157.57095766086</v>
      </c>
      <c r="J9" s="21" t="inlineStr">
        <is>
          <t>金属矿石</t>
        </is>
      </c>
      <c r="K9" s="22">
        <f>SUMIFS('作业明细'!$G$8:$G$2197,'作业明细'!$D$8:$D$2197,J9)/10000</f>
        <v>720.5549</v>
      </c>
      <c r="L9" s="23">
        <f>K9/SUM($K$8:$K$13)</f>
        <v>0.28629198556356</v>
      </c>
    </row>
    <row r="10" ht="19" customHeight="1">
      <c r="A10" s="19" t="inlineStr">
        <is>
          <t>3月</t>
        </is>
      </c>
      <c r="B10" s="14">
        <f>SUMIFS('作业明细'!$G$8:$G$2197,'作业明细'!$B$8:$B$2197,"&gt;="&amp;DATE(2025,3,1),'作业明细'!$B$8:$B$2197,"&lt;"&amp;DATE(2025,4,1),'作业明细'!$C$8:$C$2197,"进港")/10000</f>
        <v>113.949</v>
      </c>
      <c r="C10" s="14">
        <f>SUMIFS('作业明细'!$G$8:$G$2197,'作业明细'!$B$8:$B$2197,"&gt;="&amp;DATE(2025,3,1),'作业明细'!$B$8:$B$2197,"&lt;"&amp;DATE(2025,4,1),'作业明细'!$C$8:$C$2197,"出港")/10000</f>
        <v>62.2809</v>
      </c>
      <c r="D10" s="14">
        <f>SUM(B10:C10)</f>
        <v>176.2299</v>
      </c>
      <c r="E10" s="14">
        <f>AVERAGEIFS('作业明细'!$I$8:$I$2197,'作业明细'!$B$8:$B$2197,"&gt;="&amp;DATE(2025,3,1),'作业明细'!$B$8:$B$2197,"&lt;"&amp;DATE(2025,4,1))</f>
        <v>2.43741935483871</v>
      </c>
      <c r="F10" s="20">
        <f>D10*10000/SUMIFS('作业明细'!$H$8:$H$2197,'作业明细'!$B$8:$B$2197,"&gt;="&amp;DATE(2025,3,1),'作业明细'!$B$8:$B$2197,"&lt;"&amp;DATE(2025,4,1))</f>
        <v>1168.33888012305</v>
      </c>
      <c r="J10" s="21" t="inlineStr">
        <is>
          <t>煤炭</t>
        </is>
      </c>
      <c r="K10" s="22">
        <f>SUMIFS('作业明细'!$G$8:$G$2197,'作业明细'!$D$8:$D$2197,J10)/10000</f>
        <v>509.4744</v>
      </c>
      <c r="L10" s="23">
        <f>K10/SUM($K$8:$K$13)</f>
        <v>0.202425155348751</v>
      </c>
    </row>
    <row r="11" ht="19" customHeight="1">
      <c r="A11" s="24" t="inlineStr">
        <is>
          <t>4月</t>
        </is>
      </c>
      <c r="B11" s="16">
        <f>SUMIFS('作业明细'!$G$8:$G$2197,'作业明细'!$B$8:$B$2197,"&gt;="&amp;DATE(2025,4,1),'作业明细'!$B$8:$B$2197,"&lt;"&amp;DATE(2025,5,1),'作业明细'!$C$8:$C$2197,"进港")/10000</f>
        <v>118.1471</v>
      </c>
      <c r="C11" s="16">
        <f>SUMIFS('作业明细'!$G$8:$G$2197,'作业明细'!$B$8:$B$2197,"&gt;="&amp;DATE(2025,4,1),'作业明细'!$B$8:$B$2197,"&lt;"&amp;DATE(2025,5,1),'作业明细'!$C$8:$C$2197,"出港")/10000</f>
        <v>68.7937</v>
      </c>
      <c r="D11" s="16">
        <f>SUM(B11:C11)</f>
        <v>186.9408</v>
      </c>
      <c r="E11" s="16">
        <f>AVERAGEIFS('作业明细'!$I$8:$I$2197,'作业明细'!$B$8:$B$2197,"&gt;="&amp;DATE(2025,4,1),'作业明细'!$B$8:$B$2197,"&lt;"&amp;DATE(2025,5,1))</f>
        <v>2.76261111111111</v>
      </c>
      <c r="F11" s="25">
        <f>D11*10000/SUMIFS('作业明细'!$H$8:$H$2197,'作业明细'!$B$8:$B$2197,"&gt;="&amp;DATE(2025,4,1),'作业明细'!$B$8:$B$2197,"&lt;"&amp;DATE(2025,5,1))</f>
        <v>1171.92507334687</v>
      </c>
      <c r="J11" s="21" t="inlineStr">
        <is>
          <t>粮食</t>
        </is>
      </c>
      <c r="K11" s="22">
        <f>SUMIFS('作业明细'!$G$8:$G$2197,'作业明细'!$D$8:$D$2197,J11)/10000</f>
        <v>317.0849</v>
      </c>
      <c r="L11" s="23">
        <f>K11/SUM($K$8:$K$13)</f>
        <v>0.125984662116964</v>
      </c>
    </row>
    <row r="12" ht="19" customHeight="1">
      <c r="A12" s="19" t="inlineStr">
        <is>
          <t>5月</t>
        </is>
      </c>
      <c r="B12" s="14">
        <f>SUMIFS('作业明细'!$G$8:$G$2197,'作业明细'!$B$8:$B$2197,"&gt;="&amp;DATE(2025,5,1),'作业明细'!$B$8:$B$2197,"&lt;"&amp;DATE(2025,6,1),'作业明细'!$C$8:$C$2197,"进港")/10000</f>
        <v>138.0739</v>
      </c>
      <c r="C12" s="14">
        <f>SUMIFS('作业明细'!$G$8:$G$2197,'作业明细'!$B$8:$B$2197,"&gt;="&amp;DATE(2025,5,1),'作业明细'!$B$8:$B$2197,"&lt;"&amp;DATE(2025,6,1),'作业明细'!$C$8:$C$2197,"出港")/10000</f>
        <v>72.9132</v>
      </c>
      <c r="D12" s="14">
        <f>SUM(B12:C12)</f>
        <v>210.9871</v>
      </c>
      <c r="E12" s="14">
        <f>AVERAGEIFS('作业明细'!$I$8:$I$2197,'作业明细'!$B$8:$B$2197,"&gt;="&amp;DATE(2025,5,1),'作业明细'!$B$8:$B$2197,"&lt;"&amp;DATE(2025,6,1))</f>
        <v>2.76403225806452</v>
      </c>
      <c r="F12" s="20">
        <f>D12*10000/SUMIFS('作业明细'!$H$8:$H$2197,'作业明细'!$B$8:$B$2197,"&gt;="&amp;DATE(2025,5,1),'作业明细'!$B$8:$B$2197,"&lt;"&amp;DATE(2025,6,1))</f>
        <v>1165.11455819578</v>
      </c>
      <c r="J12" s="21" t="inlineStr">
        <is>
          <t>液体散货</t>
        </is>
      </c>
      <c r="K12" s="22">
        <f>SUMIFS('作业明细'!$G$8:$G$2197,'作业明细'!$D$8:$D$2197,J12)/10000</f>
        <v>445.4068</v>
      </c>
      <c r="L12" s="23">
        <f>K12/SUM($K$8:$K$13)</f>
        <v>0.176969717582257</v>
      </c>
    </row>
    <row r="13" ht="19" customHeight="1">
      <c r="A13" s="24" t="inlineStr">
        <is>
          <t>6月</t>
        </is>
      </c>
      <c r="B13" s="16">
        <f>SUMIFS('作业明细'!$G$8:$G$2197,'作业明细'!$B$8:$B$2197,"&gt;="&amp;DATE(2025,6,1),'作业明细'!$B$8:$B$2197,"&lt;"&amp;DATE(2025,7,1),'作业明细'!$C$8:$C$2197,"进港")/10000</f>
        <v>136.0203</v>
      </c>
      <c r="C13" s="16">
        <f>SUMIFS('作业明细'!$G$8:$G$2197,'作业明细'!$B$8:$B$2197,"&gt;="&amp;DATE(2025,6,1),'作业明细'!$B$8:$B$2197,"&lt;"&amp;DATE(2025,7,1),'作业明细'!$C$8:$C$2197,"出港")/10000</f>
        <v>81.1444</v>
      </c>
      <c r="D13" s="16">
        <f>SUM(B13:C13)</f>
        <v>217.1647</v>
      </c>
      <c r="E13" s="16">
        <f>AVERAGEIFS('作业明细'!$I$8:$I$2197,'作业明细'!$B$8:$B$2197,"&gt;="&amp;DATE(2025,6,1),'作业明细'!$B$8:$B$2197,"&lt;"&amp;DATE(2025,7,1))</f>
        <v>2.64638888888889</v>
      </c>
      <c r="F13" s="25">
        <f>D13*10000/SUMIFS('作业明细'!$H$8:$H$2197,'作业明细'!$B$8:$B$2197,"&gt;="&amp;DATE(2025,6,1),'作业明细'!$B$8:$B$2197,"&lt;"&amp;DATE(2025,7,1))</f>
        <v>1149.84089164218</v>
      </c>
      <c r="J13" s="21" t="inlineStr">
        <is>
          <t>件杂货</t>
        </is>
      </c>
      <c r="K13" s="22">
        <f>SUMIFS('作业明细'!$G$8:$G$2197,'作业明细'!$D$8:$D$2197,J13)/10000</f>
        <v>186.8197</v>
      </c>
      <c r="L13" s="23">
        <f>K13/SUM($K$8:$K$13)</f>
        <v>0.0742274916947878</v>
      </c>
    </row>
    <row r="14" ht="19" customHeight="1">
      <c r="A14" s="19" t="inlineStr">
        <is>
          <t>7月</t>
        </is>
      </c>
      <c r="B14" s="14">
        <f>SUMIFS('作业明细'!$G$8:$G$2197,'作业明细'!$B$8:$B$2197,"&gt;="&amp;DATE(2025,7,1),'作业明细'!$B$8:$B$2197,"&lt;"&amp;DATE(2025,8,1),'作业明细'!$C$8:$C$2197,"进港")/10000</f>
        <v>153.0387</v>
      </c>
      <c r="C14" s="14">
        <f>SUMIFS('作业明细'!$G$8:$G$2197,'作业明细'!$B$8:$B$2197,"&gt;="&amp;DATE(2025,7,1),'作业明细'!$B$8:$B$2197,"&lt;"&amp;DATE(2025,8,1),'作业明细'!$C$8:$C$2197,"出港")/10000</f>
        <v>78.0127</v>
      </c>
      <c r="D14" s="14">
        <f>SUM(B14:C14)</f>
        <v>231.0514</v>
      </c>
      <c r="E14" s="14">
        <f>AVERAGEIFS('作业明细'!$I$8:$I$2197,'作业明细'!$B$8:$B$2197,"&gt;="&amp;DATE(2025,7,1),'作业明细'!$B$8:$B$2197,"&lt;"&amp;DATE(2025,8,1))</f>
        <v>3.94575268817204</v>
      </c>
      <c r="F14" s="20">
        <f>D14*10000/SUMIFS('作业明细'!$H$8:$H$2197,'作业明细'!$B$8:$B$2197,"&gt;="&amp;DATE(2025,7,1),'作业明细'!$B$8:$B$2197,"&lt;"&amp;DATE(2025,8,1))</f>
        <v>1169.01632211125</v>
      </c>
    </row>
    <row r="15" ht="19" customHeight="1">
      <c r="A15" s="24" t="inlineStr">
        <is>
          <t>8月</t>
        </is>
      </c>
      <c r="B15" s="16">
        <f>SUMIFS('作业明细'!$G$8:$G$2197,'作业明细'!$B$8:$B$2197,"&gt;="&amp;DATE(2025,8,1),'作业明细'!$B$8:$B$2197,"&lt;"&amp;DATE(2025,9,1),'作业明细'!$C$8:$C$2197,"进港")/10000</f>
        <v>138.5614</v>
      </c>
      <c r="C15" s="16">
        <f>SUMIFS('作业明细'!$G$8:$G$2197,'作业明细'!$B$8:$B$2197,"&gt;="&amp;DATE(2025,8,1),'作业明细'!$B$8:$B$2197,"&lt;"&amp;DATE(2025,9,1),'作业明细'!$C$8:$C$2197,"出港")/10000</f>
        <v>116.5532</v>
      </c>
      <c r="D15" s="16">
        <f>SUM(B15:C15)</f>
        <v>255.1146</v>
      </c>
      <c r="E15" s="16">
        <f>AVERAGEIFS('作业明细'!$I$8:$I$2197,'作业明细'!$B$8:$B$2197,"&gt;="&amp;DATE(2025,8,1),'作业明细'!$B$8:$B$2197,"&lt;"&amp;DATE(2025,9,1))</f>
        <v>2.35747311827957</v>
      </c>
      <c r="F15" s="25">
        <f>D15*10000/SUMIFS('作业明细'!$H$8:$H$2197,'作业明细'!$B$8:$B$2197,"&gt;="&amp;DATE(2025,8,1),'作业明细'!$B$8:$B$2197,"&lt;"&amp;DATE(2025,9,1))</f>
        <v>1170.85737102259</v>
      </c>
    </row>
    <row r="16" ht="19" customHeight="1">
      <c r="A16" s="19" t="inlineStr">
        <is>
          <t>9月</t>
        </is>
      </c>
      <c r="B16" s="14">
        <f>SUMIFS('作业明细'!$G$8:$G$2197,'作业明细'!$B$8:$B$2197,"&gt;="&amp;DATE(2025,9,1),'作业明细'!$B$8:$B$2197,"&lt;"&amp;DATE(2025,10,1),'作业明细'!$C$8:$C$2197,"进港")/10000</f>
        <v>189.846</v>
      </c>
      <c r="C16" s="14">
        <f>SUMIFS('作业明细'!$G$8:$G$2197,'作业明细'!$B$8:$B$2197,"&gt;="&amp;DATE(2025,9,1),'作业明细'!$B$8:$B$2197,"&lt;"&amp;DATE(2025,10,1),'作业明细'!$C$8:$C$2197,"出港")/10000</f>
        <v>80.6883</v>
      </c>
      <c r="D16" s="14">
        <f>SUM(B16:C16)</f>
        <v>270.5343</v>
      </c>
      <c r="E16" s="14">
        <f>AVERAGEIFS('作业明细'!$I$8:$I$2197,'作业明细'!$B$8:$B$2197,"&gt;="&amp;DATE(2025,9,1),'作业明细'!$B$8:$B$2197,"&lt;"&amp;DATE(2025,10,1))</f>
        <v>3.13</v>
      </c>
      <c r="F16" s="20">
        <f>D16*10000/SUMIFS('作业明细'!$H$8:$H$2197,'作业明细'!$B$8:$B$2197,"&gt;="&amp;DATE(2025,9,1),'作业明细'!$B$8:$B$2197,"&lt;"&amp;DATE(2025,10,1))</f>
        <v>1166.7750630755</v>
      </c>
      <c r="J16" s="18" t="inlineStr">
        <is>
          <t>航线</t>
        </is>
      </c>
      <c r="K16" s="18" t="inlineStr">
        <is>
          <t>吞吐 / 万吨</t>
        </is>
      </c>
      <c r="L16" s="18" t="inlineStr">
        <is>
          <t>作业数</t>
        </is>
      </c>
    </row>
    <row r="17" ht="19" customHeight="1">
      <c r="A17" s="24" t="inlineStr">
        <is>
          <t>10月</t>
        </is>
      </c>
      <c r="B17" s="16">
        <f>SUMIFS('作业明细'!$G$8:$G$2197,'作业明细'!$B$8:$B$2197,"&gt;="&amp;DATE(2025,10,1),'作业明细'!$B$8:$B$2197,"&lt;"&amp;DATE(2025,11,1),'作业明细'!$C$8:$C$2197,"进港")/10000</f>
        <v>169.9826</v>
      </c>
      <c r="C17" s="16">
        <f>SUMIFS('作业明细'!$G$8:$G$2197,'作业明细'!$B$8:$B$2197,"&gt;="&amp;DATE(2025,10,1),'作业明细'!$B$8:$B$2197,"&lt;"&amp;DATE(2025,11,1),'作业明细'!$C$8:$C$2197,"出港")/10000</f>
        <v>74.8382</v>
      </c>
      <c r="D17" s="16">
        <f>SUM(B17:C17)</f>
        <v>244.8208</v>
      </c>
      <c r="E17" s="16">
        <f>AVERAGEIFS('作业明细'!$I$8:$I$2197,'作业明细'!$B$8:$B$2197,"&gt;="&amp;DATE(2025,10,1),'作业明细'!$B$8:$B$2197,"&lt;"&amp;DATE(2025,11,1))</f>
        <v>2.71908602150538</v>
      </c>
      <c r="F17" s="25">
        <f>D17*10000/SUMIFS('作业明细'!$H$8:$H$2197,'作业明细'!$B$8:$B$2197,"&gt;="&amp;DATE(2025,10,1),'作业明细'!$B$8:$B$2197,"&lt;"&amp;DATE(2025,11,1))</f>
        <v>1158.94794645055</v>
      </c>
      <c r="J17" s="21" t="inlineStr">
        <is>
          <t>东亚</t>
        </is>
      </c>
      <c r="K17" s="22">
        <f>SUMIFS('作业明细'!$G$8:$G$2197,'作业明细'!$E$8:$E$2197,J17)/10000</f>
        <v>609.8561</v>
      </c>
      <c r="L17" s="26">
        <f>COUNTIFS('作业明细'!$E$8:$E$2197,J17)</f>
        <v>550</v>
      </c>
    </row>
    <row r="18" ht="19" customHeight="1">
      <c r="A18" s="19" t="inlineStr">
        <is>
          <t>11月</t>
        </is>
      </c>
      <c r="B18" s="14">
        <f>SUMIFS('作业明细'!$G$8:$G$2197,'作业明细'!$B$8:$B$2197,"&gt;="&amp;DATE(2025,11,1),'作业明细'!$B$8:$B$2197,"&lt;"&amp;DATE(2025,12,1),'作业明细'!$C$8:$C$2197,"进港")/10000</f>
        <v>146.7216</v>
      </c>
      <c r="C18" s="14">
        <f>SUMIFS('作业明细'!$G$8:$G$2197,'作业明细'!$B$8:$B$2197,"&gt;="&amp;DATE(2025,11,1),'作业明细'!$B$8:$B$2197,"&lt;"&amp;DATE(2025,12,1),'作业明细'!$C$8:$C$2197,"出港")/10000</f>
        <v>63.9555</v>
      </c>
      <c r="D18" s="14">
        <f>SUM(B18:C18)</f>
        <v>210.6771</v>
      </c>
      <c r="E18" s="14">
        <f>AVERAGEIFS('作业明细'!$I$8:$I$2197,'作业明细'!$B$8:$B$2197,"&gt;="&amp;DATE(2025,11,1),'作业明细'!$B$8:$B$2197,"&lt;"&amp;DATE(2025,12,1))</f>
        <v>2.34733333333333</v>
      </c>
      <c r="F18" s="20">
        <f>D18*10000/SUMIFS('作业明细'!$H$8:$H$2197,'作业明细'!$B$8:$B$2197,"&gt;="&amp;DATE(2025,11,1),'作业明细'!$B$8:$B$2197,"&lt;"&amp;DATE(2025,12,1))</f>
        <v>1181.95900002244</v>
      </c>
      <c r="J18" s="21" t="inlineStr">
        <is>
          <t>东南亚</t>
        </is>
      </c>
      <c r="K18" s="22">
        <f>SUMIFS('作业明细'!$G$8:$G$2197,'作业明细'!$E$8:$E$2197,J18)/10000</f>
        <v>644.4308</v>
      </c>
      <c r="L18" s="26">
        <f>COUNTIFS('作业明细'!$E$8:$E$2197,J18)</f>
        <v>532</v>
      </c>
    </row>
    <row r="19" ht="19" customHeight="1">
      <c r="A19" s="24" t="inlineStr">
        <is>
          <t>12月</t>
        </is>
      </c>
      <c r="B19" s="16">
        <f>SUMIFS('作业明细'!$G$8:$G$2197,'作业明细'!$B$8:$B$2197,"&gt;="&amp;DATE(2025,12,1),'作业明细'!$B$8:$B$2197,"&lt;"&amp;DATE(2025,13,1),'作业明细'!$C$8:$C$2197,"进港")/10000</f>
        <v>133.2772</v>
      </c>
      <c r="C19" s="16">
        <f>SUMIFS('作业明细'!$G$8:$G$2197,'作业明细'!$B$8:$B$2197,"&gt;="&amp;DATE(2025,12,1),'作业明细'!$B$8:$B$2197,"&lt;"&amp;DATE(2025,13,1),'作业明细'!$C$8:$C$2197,"出港")/10000</f>
        <v>65.4471</v>
      </c>
      <c r="D19" s="16">
        <f>SUM(B19:C19)</f>
        <v>198.7243</v>
      </c>
      <c r="E19" s="16">
        <f>AVERAGEIFS('作业明细'!$I$8:$I$2197,'作业明细'!$B$8:$B$2197,"&gt;="&amp;DATE(2025,12,1),'作业明细'!$B$8:$B$2197,"&lt;"&amp;DATE(2025,13,1))</f>
        <v>2.6352688172043</v>
      </c>
      <c r="F19" s="25">
        <f>D19*10000/SUMIFS('作业明细'!$H$8:$H$2197,'作业明细'!$B$8:$B$2197,"&gt;="&amp;DATE(2025,12,1),'作业明细'!$B$8:$B$2197,"&lt;"&amp;DATE(2025,13,1))</f>
        <v>1158.39779424195</v>
      </c>
      <c r="J19" s="21" t="inlineStr">
        <is>
          <t>欧洲</t>
        </is>
      </c>
      <c r="K19" s="22">
        <f>SUMIFS('作业明细'!$G$8:$G$2197,'作业明细'!$E$8:$E$2197,J19)/10000</f>
        <v>363.53</v>
      </c>
      <c r="L19" s="26">
        <f>COUNTIFS('作业明细'!$E$8:$E$2197,J19)</f>
        <v>328</v>
      </c>
    </row>
    <row r="20" ht="19" customHeight="1">
      <c r="J20" s="21" t="inlineStr">
        <is>
          <t>北美</t>
        </is>
      </c>
      <c r="K20" s="22">
        <f>SUMIFS('作业明细'!$G$8:$G$2197,'作业明细'!$E$8:$E$2197,J20)/10000</f>
        <v>310.9356</v>
      </c>
      <c r="L20" s="26">
        <f>COUNTIFS('作业明细'!$E$8:$E$2197,J20)</f>
        <v>265</v>
      </c>
    </row>
    <row r="21" ht="19" customHeight="1">
      <c r="J21" s="21" t="inlineStr">
        <is>
          <t>国内沿海</t>
        </is>
      </c>
      <c r="K21" s="22">
        <f>SUMIFS('作业明细'!$G$8:$G$2197,'作业明细'!$E$8:$E$2197,J21)/10000</f>
        <v>588.1007</v>
      </c>
      <c r="L21" s="26">
        <f>COUNTIFS('作业明细'!$E$8:$E$2197,J21)</f>
        <v>515</v>
      </c>
    </row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</sheetData>
  <mergeCells count="2">
    <mergeCell ref="B3:P3"/>
    <mergeCell ref="B2:P2"/>
  </mergeCells>
  <printOptions horizontalCentered="1"/>
  <pageMargins left="0.28" right="0.28" top="0.25" bottom="0.25" header="0" footer="0.1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74661"/>
    <outlinePr summaryBelow="1" summaryRight="1"/>
    <pageSetUpPr fitToPage="1"/>
  </sheetPr>
  <dimension ref="A2:P13"/>
  <sheetViews>
    <sheetView showGridLines="0" zoomScale="85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  <col width="8.4" customWidth="1" min="18" max="18"/>
  </cols>
  <sheetData>
    <row r="1" ht="19" customHeight="1"/>
    <row r="2" ht="37" customHeight="1">
      <c r="B2" s="1" t="inlineStr">
        <is>
          <t>作业效率与等待时间</t>
        </is>
      </c>
    </row>
    <row r="3" ht="25" customHeight="1">
      <c r="B3" s="2" t="inlineStr">
        <is>
          <t>2025 年度    按货类和航线比较；变化反映模拟业务情景</t>
        </is>
      </c>
    </row>
    <row r="4" ht="19" customHeight="1"/>
    <row r="5" ht="19" customHeight="1"/>
    <row r="6" ht="19" customHeight="1"/>
    <row r="7" ht="32" customHeight="1">
      <c r="A7" s="17" t="inlineStr">
        <is>
          <t>货类</t>
        </is>
      </c>
      <c r="B7" s="17" t="inlineStr">
        <is>
          <t>货量 / 吨</t>
        </is>
      </c>
      <c r="C7" s="17" t="inlineStr">
        <is>
          <t>作业时 / h</t>
        </is>
      </c>
      <c r="D7" s="17" t="inlineStr">
        <is>
          <t>吨 / 小时</t>
        </is>
      </c>
      <c r="E7" s="17" t="inlineStr">
        <is>
          <t>等泊 / h</t>
        </is>
      </c>
      <c r="F7" s="17" t="inlineStr">
        <is>
          <t>按计划完成率</t>
        </is>
      </c>
    </row>
    <row r="8" ht="19" customHeight="1">
      <c r="A8" s="19" t="inlineStr">
        <is>
          <t>集装箱货物</t>
        </is>
      </c>
      <c r="B8" s="20">
        <f>SUMIFS('作业明细'!$G$8:$G$2197,'作业明细'!$D$8:$D$2197,A8)</f>
        <v>3375125</v>
      </c>
      <c r="C8" s="27">
        <f>SUMIFS('作业明细'!$H$8:$H$2197,'作业明细'!$D$8:$D$2197,A8)</f>
        <v>3923.69</v>
      </c>
      <c r="D8" s="20">
        <f>B8/C8</f>
        <v>860.191554378659</v>
      </c>
      <c r="E8" s="14">
        <f>AVERAGEIFS('作业明细'!$I$8:$I$2197,'作业明细'!$D$8:$D$2197,A8)</f>
        <v>2.82476712328767</v>
      </c>
      <c r="F8" s="28">
        <f>AVERAGEIFS('作业明细'!$L$8:$L$2197,'作业明细'!$D$8:$D$2197,A8)</f>
        <v>0.380821917808219</v>
      </c>
    </row>
    <row r="9" ht="19" customHeight="1">
      <c r="A9" s="24" t="inlineStr">
        <is>
          <t>金属矿石</t>
        </is>
      </c>
      <c r="B9" s="25">
        <f>SUMIFS('作业明细'!$G$8:$G$2197,'作业明细'!$D$8:$D$2197,A9)</f>
        <v>7205549</v>
      </c>
      <c r="C9" s="29">
        <f>SUMIFS('作业明细'!$H$8:$H$2197,'作业明细'!$D$8:$D$2197,A9)</f>
        <v>4607.85</v>
      </c>
      <c r="D9" s="25">
        <f>B9/C9</f>
        <v>1563.75511355621</v>
      </c>
      <c r="E9" s="16">
        <f>AVERAGEIFS('作业明细'!$I$8:$I$2197,'作业明细'!$D$8:$D$2197,A9)</f>
        <v>2.73904109589041</v>
      </c>
      <c r="F9" s="30">
        <f>AVERAGEIFS('作业明细'!$L$8:$L$2197,'作业明细'!$D$8:$D$2197,A9)</f>
        <v>0.520547945205479</v>
      </c>
    </row>
    <row r="10" ht="19" customHeight="1">
      <c r="A10" s="19" t="inlineStr">
        <is>
          <t>煤炭</t>
        </is>
      </c>
      <c r="B10" s="20">
        <f>SUMIFS('作业明细'!$G$8:$G$2197,'作业明细'!$D$8:$D$2197,A10)</f>
        <v>5094744</v>
      </c>
      <c r="C10" s="27">
        <f>SUMIFS('作业明细'!$H$8:$H$2197,'作业明细'!$D$8:$D$2197,A10)</f>
        <v>3804.66</v>
      </c>
      <c r="D10" s="20">
        <f>B10/C10</f>
        <v>1339.07997035215</v>
      </c>
      <c r="E10" s="14">
        <f>AVERAGEIFS('作业明细'!$I$8:$I$2197,'作业明细'!$D$8:$D$2197,A10)</f>
        <v>2.61284931506849</v>
      </c>
      <c r="F10" s="28">
        <f>AVERAGEIFS('作业明细'!$L$8:$L$2197,'作业明细'!$D$8:$D$2197,A10)</f>
        <v>0.526027397260274</v>
      </c>
    </row>
    <row r="11" ht="19" customHeight="1">
      <c r="A11" s="24" t="inlineStr">
        <is>
          <t>粮食</t>
        </is>
      </c>
      <c r="B11" s="25">
        <f>SUMIFS('作业明细'!$G$8:$G$2197,'作业明细'!$D$8:$D$2197,A11)</f>
        <v>3170849</v>
      </c>
      <c r="C11" s="29">
        <f>SUMIFS('作业明细'!$H$8:$H$2197,'作业明细'!$D$8:$D$2197,A11)</f>
        <v>3072.65</v>
      </c>
      <c r="D11" s="25">
        <f>B11/C11</f>
        <v>1031.95905814199</v>
      </c>
      <c r="E11" s="16">
        <f>AVERAGEIFS('作业明细'!$I$8:$I$2197,'作业明细'!$D$8:$D$2197,A11)</f>
        <v>2.77224657534247</v>
      </c>
      <c r="F11" s="30">
        <f>AVERAGEIFS('作业明细'!$L$8:$L$2197,'作业明细'!$D$8:$D$2197,A11)</f>
        <v>0.504109589041096</v>
      </c>
    </row>
    <row r="12" ht="19" customHeight="1">
      <c r="A12" s="19" t="inlineStr">
        <is>
          <t>液体散货</t>
        </is>
      </c>
      <c r="B12" s="20">
        <f>SUMIFS('作业明细'!$G$8:$G$2197,'作业明细'!$D$8:$D$2197,A12)</f>
        <v>4454068</v>
      </c>
      <c r="C12" s="27">
        <f>SUMIFS('作业明细'!$H$8:$H$2197,'作业明细'!$D$8:$D$2197,A12)</f>
        <v>3018.52</v>
      </c>
      <c r="D12" s="20">
        <f>B12/C12</f>
        <v>1475.58008560487</v>
      </c>
      <c r="E12" s="14">
        <f>AVERAGEIFS('作业明细'!$I$8:$I$2197,'作业明细'!$D$8:$D$2197,A12)</f>
        <v>2.63602739726027</v>
      </c>
      <c r="F12" s="28">
        <f>AVERAGEIFS('作业明细'!$L$8:$L$2197,'作业明细'!$D$8:$D$2197,A12)</f>
        <v>0.589041095890411</v>
      </c>
    </row>
    <row r="13" ht="19" customHeight="1">
      <c r="A13" s="24" t="inlineStr">
        <is>
          <t>件杂货</t>
        </is>
      </c>
      <c r="B13" s="25">
        <f>SUMIFS('作业明细'!$G$8:$G$2197,'作业明细'!$D$8:$D$2197,A13)</f>
        <v>1868197</v>
      </c>
      <c r="C13" s="29">
        <f>SUMIFS('作业明细'!$H$8:$H$2197,'作业明细'!$D$8:$D$2197,A13)</f>
        <v>3176.37</v>
      </c>
      <c r="D13" s="25">
        <f>B13/C13</f>
        <v>588.15471749198</v>
      </c>
      <c r="E13" s="16">
        <f>AVERAGEIFS('作业明细'!$I$8:$I$2197,'作业明细'!$D$8:$D$2197,A13)</f>
        <v>2.60975342465753</v>
      </c>
      <c r="F13" s="30">
        <f>AVERAGEIFS('作业明细'!$L$8:$L$2197,'作业明细'!$D$8:$D$2197,A13)</f>
        <v>0.380821917808219</v>
      </c>
    </row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  <row r="29" ht="19" customHeight="1"/>
    <row r="30" ht="19" customHeight="1"/>
    <row r="31" ht="19" customHeight="1"/>
    <row r="32" ht="19" customHeight="1"/>
    <row r="33" ht="19" customHeight="1"/>
    <row r="34" ht="19" customHeight="1"/>
    <row r="35" ht="19" customHeight="1"/>
    <row r="36" ht="19" customHeight="1"/>
    <row r="37" ht="19" customHeight="1"/>
    <row r="38" ht="19" customHeight="1"/>
    <row r="39" ht="19" customHeight="1"/>
    <row r="40" ht="19" customHeight="1"/>
    <row r="41" ht="19" customHeight="1"/>
    <row r="42" ht="19" customHeight="1"/>
    <row r="43" ht="19" customHeight="1"/>
    <row r="44" ht="19" customHeight="1"/>
    <row r="45" ht="19" customHeight="1"/>
    <row r="46" ht="19" customHeight="1"/>
    <row r="47" ht="19" customHeight="1"/>
    <row r="48" ht="19" customHeight="1"/>
    <row r="49" ht="19" customHeight="1"/>
    <row r="50" ht="19" customHeight="1"/>
    <row r="51" ht="19" customHeight="1"/>
    <row r="52" ht="19" customHeight="1"/>
    <row r="53" ht="19" customHeight="1"/>
    <row r="54" ht="19" customHeight="1"/>
  </sheetData>
  <mergeCells count="2">
    <mergeCell ref="B3:P3"/>
    <mergeCell ref="B2:P2"/>
  </mergeCells>
  <conditionalFormatting sqref="E8:E13">
    <cfRule type="colorScale" priority="1">
      <colorScale>
        <cfvo type="min"/>
        <cfvo type="max"/>
        <color rgb="00EEF4F8"/>
        <color rgb="00DE9C56"/>
      </colorScale>
    </cfRule>
  </conditionalFormatting>
  <printOptions horizontalCentered="1"/>
  <pageMargins left="0.28" right="0.28" top="0.25" bottom="0.25" header="0" footer="0.1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H372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19" customHeight="1"/>
    <row r="2" ht="34" customHeight="1">
      <c r="A2" s="31" t="inlineStr">
        <is>
          <t>日度汇总与计算</t>
        </is>
      </c>
    </row>
    <row r="3" ht="30" customHeight="1">
      <c r="A3" s="2" t="inlineStr">
        <is>
          <t>365 天完整公式；预览前 39 天；吞吐量为进港卸货与出港装货合计</t>
        </is>
      </c>
    </row>
    <row r="4" ht="19" customHeight="1"/>
    <row r="5" ht="19" customHeight="1"/>
    <row r="6" ht="19" customHeight="1"/>
    <row r="7" ht="32" customHeight="1">
      <c r="A7" s="17" t="inlineStr">
        <is>
          <t>日期</t>
        </is>
      </c>
      <c r="B7" s="17" t="inlineStr">
        <is>
          <t>进港 / 吨</t>
        </is>
      </c>
      <c r="C7" s="17" t="inlineStr">
        <is>
          <t>出港 / 吨</t>
        </is>
      </c>
      <c r="D7" s="17" t="inlineStr">
        <is>
          <t>合计 / 吨</t>
        </is>
      </c>
      <c r="E7" s="17" t="inlineStr">
        <is>
          <t>作业数</t>
        </is>
      </c>
      <c r="F7" s="17" t="inlineStr">
        <is>
          <t>平均等泊 / h</t>
        </is>
      </c>
      <c r="G7" s="17" t="inlineStr">
        <is>
          <t>作业总时 / h</t>
        </is>
      </c>
      <c r="H7" s="17" t="inlineStr">
        <is>
          <t>吨 / 作业小时</t>
        </is>
      </c>
    </row>
    <row r="8" ht="19" customHeight="1">
      <c r="A8" s="32" t="n">
        <v>45658</v>
      </c>
      <c r="B8" s="20">
        <f>SUMIFS('作业明细'!$G$8:$G$2197,'作业明细'!$B$8:$B$2197,A8,'作业明细'!$C$8:$C$2197,"进港")</f>
        <v>34707</v>
      </c>
      <c r="C8" s="20">
        <f>SUMIFS('作业明细'!$G$8:$G$2197,'作业明细'!$B$8:$B$2197,A8,'作业明细'!$C$8:$C$2197,"出港")</f>
        <v>24977</v>
      </c>
      <c r="D8" s="20">
        <f>SUM(B8:C8)</f>
        <v>59684</v>
      </c>
      <c r="E8" s="33">
        <f>COUNTIFS('作业明细'!$B$8:$B$2197,A8)</f>
        <v>6</v>
      </c>
      <c r="F8" s="14">
        <f>AVERAGEIFS('作业明细'!$I$8:$I$2197,'作业明细'!$B$8:$B$2197,A8)</f>
        <v>2.56833333333333</v>
      </c>
      <c r="G8" s="14">
        <f>SUMIFS('作业明细'!$H$8:$H$2197,'作业明细'!$B$8:$B$2197,A8)</f>
        <v>51.3</v>
      </c>
      <c r="H8" s="20">
        <f>D8/G8</f>
        <v>1163.43079922027</v>
      </c>
    </row>
    <row r="9" ht="19" customHeight="1">
      <c r="A9" s="34" t="n">
        <v>45659</v>
      </c>
      <c r="B9" s="25">
        <f>SUMIFS('作业明细'!$G$8:$G$2197,'作业明细'!$B$8:$B$2197,A9,'作业明细'!$C$8:$C$2197,"进港")</f>
        <v>35048</v>
      </c>
      <c r="C9" s="25">
        <f>SUMIFS('作业明细'!$G$8:$G$2197,'作业明细'!$B$8:$B$2197,A9,'作业明细'!$C$8:$C$2197,"出港")</f>
        <v>19141</v>
      </c>
      <c r="D9" s="25">
        <f>SUM(B9:C9)</f>
        <v>54189</v>
      </c>
      <c r="E9" s="35">
        <f>COUNTIFS('作业明细'!$B$8:$B$2197,A9)</f>
        <v>6</v>
      </c>
      <c r="F9" s="16">
        <f>AVERAGEIFS('作业明细'!$I$8:$I$2197,'作业明细'!$B$8:$B$2197,A9)</f>
        <v>3.01</v>
      </c>
      <c r="G9" s="16">
        <f>SUMIFS('作业明细'!$H$8:$H$2197,'作业明细'!$B$8:$B$2197,A9)</f>
        <v>48.15</v>
      </c>
      <c r="H9" s="25">
        <f>D9/G9</f>
        <v>1125.42056074766</v>
      </c>
    </row>
    <row r="10" ht="19" customHeight="1">
      <c r="A10" s="32" t="n">
        <v>45660</v>
      </c>
      <c r="B10" s="20">
        <f>SUMIFS('作业明细'!$G$8:$G$2197,'作业明细'!$B$8:$B$2197,A10,'作业明细'!$C$8:$C$2197,"进港")</f>
        <v>39073</v>
      </c>
      <c r="C10" s="20">
        <f>SUMIFS('作业明细'!$G$8:$G$2197,'作业明细'!$B$8:$B$2197,A10,'作业明细'!$C$8:$C$2197,"出港")</f>
        <v>32488</v>
      </c>
      <c r="D10" s="20">
        <f>SUM(B10:C10)</f>
        <v>71561</v>
      </c>
      <c r="E10" s="33">
        <f>COUNTIFS('作业明细'!$B$8:$B$2197,A10)</f>
        <v>6</v>
      </c>
      <c r="F10" s="14">
        <f>AVERAGEIFS('作业明细'!$I$8:$I$2197,'作业明细'!$B$8:$B$2197,A10)</f>
        <v>1.43333333333333</v>
      </c>
      <c r="G10" s="14">
        <f>SUMIFS('作业明细'!$H$8:$H$2197,'作业明细'!$B$8:$B$2197,A10)</f>
        <v>59.44</v>
      </c>
      <c r="H10" s="20">
        <f>D10/G10</f>
        <v>1203.9199192463</v>
      </c>
    </row>
    <row r="11" ht="19" customHeight="1">
      <c r="A11" s="34" t="n">
        <v>45661</v>
      </c>
      <c r="B11" s="25">
        <f>SUMIFS('作业明细'!$G$8:$G$2197,'作业明细'!$B$8:$B$2197,A11,'作业明细'!$C$8:$C$2197,"进港")</f>
        <v>46441</v>
      </c>
      <c r="C11" s="25">
        <f>SUMIFS('作业明细'!$G$8:$G$2197,'作业明细'!$B$8:$B$2197,A11,'作业明细'!$C$8:$C$2197,"出港")</f>
        <v>26624</v>
      </c>
      <c r="D11" s="25">
        <f>SUM(B11:C11)</f>
        <v>73065</v>
      </c>
      <c r="E11" s="35">
        <f>COUNTIFS('作业明细'!$B$8:$B$2197,A11)</f>
        <v>6</v>
      </c>
      <c r="F11" s="16">
        <f>AVERAGEIFS('作业明细'!$I$8:$I$2197,'作业明细'!$B$8:$B$2197,A11)</f>
        <v>2.75166666666667</v>
      </c>
      <c r="G11" s="16">
        <f>SUMIFS('作业明细'!$H$8:$H$2197,'作业明细'!$B$8:$B$2197,A11)</f>
        <v>64.95</v>
      </c>
      <c r="H11" s="25">
        <f>D11/G11</f>
        <v>1124.94226327945</v>
      </c>
    </row>
    <row r="12" ht="19" customHeight="1">
      <c r="A12" s="32" t="n">
        <v>45662</v>
      </c>
      <c r="B12" s="20">
        <f>SUMIFS('作业明细'!$G$8:$G$2197,'作业明细'!$B$8:$B$2197,A12,'作业明细'!$C$8:$C$2197,"进港")</f>
        <v>40697</v>
      </c>
      <c r="C12" s="20">
        <f>SUMIFS('作业明细'!$G$8:$G$2197,'作业明细'!$B$8:$B$2197,A12,'作业明细'!$C$8:$C$2197,"出港")</f>
        <v>25630</v>
      </c>
      <c r="D12" s="20">
        <f>SUM(B12:C12)</f>
        <v>66327</v>
      </c>
      <c r="E12" s="33">
        <f>COUNTIFS('作业明细'!$B$8:$B$2197,A12)</f>
        <v>6</v>
      </c>
      <c r="F12" s="14">
        <f>AVERAGEIFS('作业明细'!$I$8:$I$2197,'作业明细'!$B$8:$B$2197,A12)</f>
        <v>1.69833333333333</v>
      </c>
      <c r="G12" s="14">
        <f>SUMIFS('作业明细'!$H$8:$H$2197,'作业明细'!$B$8:$B$2197,A12)</f>
        <v>55.88</v>
      </c>
      <c r="H12" s="20">
        <f>D12/G12</f>
        <v>1186.95418754474</v>
      </c>
    </row>
    <row r="13" ht="19" customHeight="1">
      <c r="A13" s="34" t="n">
        <v>45663</v>
      </c>
      <c r="B13" s="25">
        <f>SUMIFS('作业明细'!$G$8:$G$2197,'作业明细'!$B$8:$B$2197,A13,'作业明细'!$C$8:$C$2197,"进港")</f>
        <v>21735</v>
      </c>
      <c r="C13" s="25">
        <f>SUMIFS('作业明细'!$G$8:$G$2197,'作业明细'!$B$8:$B$2197,A13,'作业明细'!$C$8:$C$2197,"出港")</f>
        <v>48180</v>
      </c>
      <c r="D13" s="25">
        <f>SUM(B13:C13)</f>
        <v>69915</v>
      </c>
      <c r="E13" s="35">
        <f>COUNTIFS('作业明细'!$B$8:$B$2197,A13)</f>
        <v>6</v>
      </c>
      <c r="F13" s="16">
        <f>AVERAGEIFS('作业明细'!$I$8:$I$2197,'作业明细'!$B$8:$B$2197,A13)</f>
        <v>3.31666666666667</v>
      </c>
      <c r="G13" s="16">
        <f>SUMIFS('作业明细'!$H$8:$H$2197,'作业明细'!$B$8:$B$2197,A13)</f>
        <v>57.4</v>
      </c>
      <c r="H13" s="25">
        <f>D13/G13</f>
        <v>1218.03135888502</v>
      </c>
    </row>
    <row r="14" ht="19" customHeight="1">
      <c r="A14" s="32" t="n">
        <v>45664</v>
      </c>
      <c r="B14" s="20">
        <f>SUMIFS('作业明细'!$G$8:$G$2197,'作业明细'!$B$8:$B$2197,A14,'作业明细'!$C$8:$C$2197,"进港")</f>
        <v>43815</v>
      </c>
      <c r="C14" s="20">
        <f>SUMIFS('作业明细'!$G$8:$G$2197,'作业明细'!$B$8:$B$2197,A14,'作业明细'!$C$8:$C$2197,"出港")</f>
        <v>11493</v>
      </c>
      <c r="D14" s="20">
        <f>SUM(B14:C14)</f>
        <v>55308</v>
      </c>
      <c r="E14" s="33">
        <f>COUNTIFS('作业明细'!$B$8:$B$2197,A14)</f>
        <v>6</v>
      </c>
      <c r="F14" s="14">
        <f>AVERAGEIFS('作业明细'!$I$8:$I$2197,'作业明细'!$B$8:$B$2197,A14)</f>
        <v>2.15666666666667</v>
      </c>
      <c r="G14" s="14">
        <f>SUMIFS('作业明细'!$H$8:$H$2197,'作业明细'!$B$8:$B$2197,A14)</f>
        <v>47.52</v>
      </c>
      <c r="H14" s="20">
        <f>D14/G14</f>
        <v>1163.88888888889</v>
      </c>
    </row>
    <row r="15" ht="19" customHeight="1">
      <c r="A15" s="34" t="n">
        <v>45665</v>
      </c>
      <c r="B15" s="25">
        <f>SUMIFS('作业明细'!$G$8:$G$2197,'作业明细'!$B$8:$B$2197,A15,'作业明细'!$C$8:$C$2197,"进港")</f>
        <v>46734</v>
      </c>
      <c r="C15" s="25">
        <f>SUMIFS('作业明细'!$G$8:$G$2197,'作业明细'!$B$8:$B$2197,A15,'作业明细'!$C$8:$C$2197,"出港")</f>
        <v>4428</v>
      </c>
      <c r="D15" s="25">
        <f>SUM(B15:C15)</f>
        <v>51162</v>
      </c>
      <c r="E15" s="35">
        <f>COUNTIFS('作业明细'!$B$8:$B$2197,A15)</f>
        <v>6</v>
      </c>
      <c r="F15" s="16">
        <f>AVERAGEIFS('作业明细'!$I$8:$I$2197,'作业明细'!$B$8:$B$2197,A15)</f>
        <v>1.77833333333333</v>
      </c>
      <c r="G15" s="16">
        <f>SUMIFS('作业明细'!$H$8:$H$2197,'作业明细'!$B$8:$B$2197,A15)</f>
        <v>42.53</v>
      </c>
      <c r="H15" s="25">
        <f>D15/G15</f>
        <v>1202.96261462497</v>
      </c>
    </row>
    <row r="16" ht="19" customHeight="1">
      <c r="A16" s="32" t="n">
        <v>45666</v>
      </c>
      <c r="B16" s="20">
        <f>SUMIFS('作业明细'!$G$8:$G$2197,'作业明细'!$B$8:$B$2197,A16,'作业明细'!$C$8:$C$2197,"进港")</f>
        <v>31843</v>
      </c>
      <c r="C16" s="20">
        <f>SUMIFS('作业明细'!$G$8:$G$2197,'作业明细'!$B$8:$B$2197,A16,'作业明细'!$C$8:$C$2197,"出港")</f>
        <v>27839</v>
      </c>
      <c r="D16" s="20">
        <f>SUM(B16:C16)</f>
        <v>59682</v>
      </c>
      <c r="E16" s="33">
        <f>COUNTIFS('作业明细'!$B$8:$B$2197,A16)</f>
        <v>6</v>
      </c>
      <c r="F16" s="14">
        <f>AVERAGEIFS('作业明细'!$I$8:$I$2197,'作业明细'!$B$8:$B$2197,A16)</f>
        <v>1.71</v>
      </c>
      <c r="G16" s="14">
        <f>SUMIFS('作业明细'!$H$8:$H$2197,'作业明细'!$B$8:$B$2197,A16)</f>
        <v>48.74</v>
      </c>
      <c r="H16" s="20">
        <f>D16/G16</f>
        <v>1224.49733278621</v>
      </c>
    </row>
    <row r="17" ht="19" customHeight="1">
      <c r="A17" s="34" t="n">
        <v>45667</v>
      </c>
      <c r="B17" s="25">
        <f>SUMIFS('作业明细'!$G$8:$G$2197,'作业明细'!$B$8:$B$2197,A17,'作业明细'!$C$8:$C$2197,"进港")</f>
        <v>22191</v>
      </c>
      <c r="C17" s="25">
        <f>SUMIFS('作业明细'!$G$8:$G$2197,'作业明细'!$B$8:$B$2197,A17,'作业明细'!$C$8:$C$2197,"出港")</f>
        <v>29423</v>
      </c>
      <c r="D17" s="25">
        <f>SUM(B17:C17)</f>
        <v>51614</v>
      </c>
      <c r="E17" s="35">
        <f>COUNTIFS('作业明细'!$B$8:$B$2197,A17)</f>
        <v>6</v>
      </c>
      <c r="F17" s="16">
        <f>AVERAGEIFS('作业明细'!$I$8:$I$2197,'作业明细'!$B$8:$B$2197,A17)</f>
        <v>2.58666666666667</v>
      </c>
      <c r="G17" s="16">
        <f>SUMIFS('作业明细'!$H$8:$H$2197,'作业明细'!$B$8:$B$2197,A17)</f>
        <v>42.59</v>
      </c>
      <c r="H17" s="25">
        <f>D17/G17</f>
        <v>1211.88072317445</v>
      </c>
    </row>
    <row r="18" ht="19" customHeight="1">
      <c r="A18" s="32" t="n">
        <v>45668</v>
      </c>
      <c r="B18" s="20">
        <f>SUMIFS('作业明细'!$G$8:$G$2197,'作业明细'!$B$8:$B$2197,A18,'作业明细'!$C$8:$C$2197,"进港")</f>
        <v>28718</v>
      </c>
      <c r="C18" s="20">
        <f>SUMIFS('作业明细'!$G$8:$G$2197,'作业明细'!$B$8:$B$2197,A18,'作业明细'!$C$8:$C$2197,"出港")</f>
        <v>33569</v>
      </c>
      <c r="D18" s="20">
        <f>SUM(B18:C18)</f>
        <v>62287</v>
      </c>
      <c r="E18" s="33">
        <f>COUNTIFS('作业明细'!$B$8:$B$2197,A18)</f>
        <v>6</v>
      </c>
      <c r="F18" s="14">
        <f>AVERAGEIFS('作业明细'!$I$8:$I$2197,'作业明细'!$B$8:$B$2197,A18)</f>
        <v>1.89</v>
      </c>
      <c r="G18" s="14">
        <f>SUMIFS('作业明细'!$H$8:$H$2197,'作业明细'!$B$8:$B$2197,A18)</f>
        <v>54.43</v>
      </c>
      <c r="H18" s="20">
        <f>D18/G18</f>
        <v>1144.35054198053</v>
      </c>
    </row>
    <row r="19" ht="19" customHeight="1">
      <c r="A19" s="34" t="n">
        <v>45669</v>
      </c>
      <c r="B19" s="25">
        <f>SUMIFS('作业明细'!$G$8:$G$2197,'作业明细'!$B$8:$B$2197,A19,'作业明细'!$C$8:$C$2197,"进港")</f>
        <v>26291</v>
      </c>
      <c r="C19" s="25">
        <f>SUMIFS('作业明细'!$G$8:$G$2197,'作业明细'!$B$8:$B$2197,A19,'作业明细'!$C$8:$C$2197,"出港")</f>
        <v>29132</v>
      </c>
      <c r="D19" s="25">
        <f>SUM(B19:C19)</f>
        <v>55423</v>
      </c>
      <c r="E19" s="35">
        <f>COUNTIFS('作业明细'!$B$8:$B$2197,A19)</f>
        <v>6</v>
      </c>
      <c r="F19" s="16">
        <f>AVERAGEIFS('作业明细'!$I$8:$I$2197,'作业明细'!$B$8:$B$2197,A19)</f>
        <v>4.38166666666667</v>
      </c>
      <c r="G19" s="16">
        <f>SUMIFS('作业明细'!$H$8:$H$2197,'作业明细'!$B$8:$B$2197,A19)</f>
        <v>49.27</v>
      </c>
      <c r="H19" s="25">
        <f>D19/G19</f>
        <v>1124.8832961234</v>
      </c>
    </row>
    <row r="20" ht="19" customHeight="1">
      <c r="A20" s="32" t="n">
        <v>45670</v>
      </c>
      <c r="B20" s="20">
        <f>SUMIFS('作业明细'!$G$8:$G$2197,'作业明细'!$B$8:$B$2197,A20,'作业明细'!$C$8:$C$2197,"进港")</f>
        <v>32986</v>
      </c>
      <c r="C20" s="20">
        <f>SUMIFS('作业明细'!$G$8:$G$2197,'作业明细'!$B$8:$B$2197,A20,'作业明细'!$C$8:$C$2197,"出港")</f>
        <v>21880</v>
      </c>
      <c r="D20" s="20">
        <f>SUM(B20:C20)</f>
        <v>54866</v>
      </c>
      <c r="E20" s="33">
        <f>COUNTIFS('作业明细'!$B$8:$B$2197,A20)</f>
        <v>6</v>
      </c>
      <c r="F20" s="14">
        <f>AVERAGEIFS('作业明细'!$I$8:$I$2197,'作业明细'!$B$8:$B$2197,A20)</f>
        <v>2.20666666666667</v>
      </c>
      <c r="G20" s="14">
        <f>SUMIFS('作业明细'!$H$8:$H$2197,'作业明细'!$B$8:$B$2197,A20)</f>
        <v>46.79</v>
      </c>
      <c r="H20" s="20">
        <f>D20/G20</f>
        <v>1172.60098311605</v>
      </c>
    </row>
    <row r="21" ht="19" customHeight="1">
      <c r="A21" s="34" t="n">
        <v>45671</v>
      </c>
      <c r="B21" s="25">
        <f>SUMIFS('作业明细'!$G$8:$G$2197,'作业明细'!$B$8:$B$2197,A21,'作业明细'!$C$8:$C$2197,"进港")</f>
        <v>24995</v>
      </c>
      <c r="C21" s="25">
        <f>SUMIFS('作业明细'!$G$8:$G$2197,'作业明细'!$B$8:$B$2197,A21,'作业明细'!$C$8:$C$2197,"出港")</f>
        <v>30194</v>
      </c>
      <c r="D21" s="25">
        <f>SUM(B21:C21)</f>
        <v>55189</v>
      </c>
      <c r="E21" s="35">
        <f>COUNTIFS('作业明细'!$B$8:$B$2197,A21)</f>
        <v>6</v>
      </c>
      <c r="F21" s="16">
        <f>AVERAGEIFS('作业明细'!$I$8:$I$2197,'作业明细'!$B$8:$B$2197,A21)</f>
        <v>1.24333333333333</v>
      </c>
      <c r="G21" s="16">
        <f>SUMIFS('作业明细'!$H$8:$H$2197,'作业明细'!$B$8:$B$2197,A21)</f>
        <v>46.04</v>
      </c>
      <c r="H21" s="25">
        <f>D21/G21</f>
        <v>1198.71850564726</v>
      </c>
    </row>
    <row r="22" ht="19" customHeight="1">
      <c r="A22" s="32" t="n">
        <v>45672</v>
      </c>
      <c r="B22" s="20">
        <f>SUMIFS('作业明细'!$G$8:$G$2197,'作业明细'!$B$8:$B$2197,A22,'作业明细'!$C$8:$C$2197,"进港")</f>
        <v>45662</v>
      </c>
      <c r="C22" s="20">
        <f>SUMIFS('作业明细'!$G$8:$G$2197,'作业明细'!$B$8:$B$2197,A22,'作业明细'!$C$8:$C$2197,"出港")</f>
        <v>14700</v>
      </c>
      <c r="D22" s="20">
        <f>SUM(B22:C22)</f>
        <v>60362</v>
      </c>
      <c r="E22" s="33">
        <f>COUNTIFS('作业明细'!$B$8:$B$2197,A22)</f>
        <v>6</v>
      </c>
      <c r="F22" s="14">
        <f>AVERAGEIFS('作业明细'!$I$8:$I$2197,'作业明细'!$B$8:$B$2197,A22)</f>
        <v>2.26166666666667</v>
      </c>
      <c r="G22" s="14">
        <f>SUMIFS('作业明细'!$H$8:$H$2197,'作业明细'!$B$8:$B$2197,A22)</f>
        <v>51.67</v>
      </c>
      <c r="H22" s="20">
        <f>D22/G22</f>
        <v>1168.22140507064</v>
      </c>
    </row>
    <row r="23" ht="19" customHeight="1">
      <c r="A23" s="34" t="n">
        <v>45673</v>
      </c>
      <c r="B23" s="25">
        <f>SUMIFS('作业明细'!$G$8:$G$2197,'作业明细'!$B$8:$B$2197,A23,'作业明细'!$C$8:$C$2197,"进港")</f>
        <v>40806</v>
      </c>
      <c r="C23" s="25">
        <f>SUMIFS('作业明细'!$G$8:$G$2197,'作业明细'!$B$8:$B$2197,A23,'作业明细'!$C$8:$C$2197,"出港")</f>
        <v>29975</v>
      </c>
      <c r="D23" s="25">
        <f>SUM(B23:C23)</f>
        <v>70781</v>
      </c>
      <c r="E23" s="35">
        <f>COUNTIFS('作业明细'!$B$8:$B$2197,A23)</f>
        <v>6</v>
      </c>
      <c r="F23" s="16">
        <f>AVERAGEIFS('作业明细'!$I$8:$I$2197,'作业明细'!$B$8:$B$2197,A23)</f>
        <v>2.45666666666667</v>
      </c>
      <c r="G23" s="16">
        <f>SUMIFS('作业明细'!$H$8:$H$2197,'作业明细'!$B$8:$B$2197,A23)</f>
        <v>57.38</v>
      </c>
      <c r="H23" s="25">
        <f>D23/G23</f>
        <v>1233.54827466016</v>
      </c>
    </row>
    <row r="24" ht="19" customHeight="1">
      <c r="A24" s="32" t="n">
        <v>45674</v>
      </c>
      <c r="B24" s="20">
        <f>SUMIFS('作业明细'!$G$8:$G$2197,'作业明细'!$B$8:$B$2197,A24,'作业明细'!$C$8:$C$2197,"进港")</f>
        <v>33008</v>
      </c>
      <c r="C24" s="20">
        <f>SUMIFS('作业明细'!$G$8:$G$2197,'作业明细'!$B$8:$B$2197,A24,'作业明细'!$C$8:$C$2197,"出港")</f>
        <v>23740</v>
      </c>
      <c r="D24" s="20">
        <f>SUM(B24:C24)</f>
        <v>56748</v>
      </c>
      <c r="E24" s="33">
        <f>COUNTIFS('作业明细'!$B$8:$B$2197,A24)</f>
        <v>6</v>
      </c>
      <c r="F24" s="14">
        <f>AVERAGEIFS('作业明细'!$I$8:$I$2197,'作业明细'!$B$8:$B$2197,A24)</f>
        <v>2.115</v>
      </c>
      <c r="G24" s="14">
        <f>SUMIFS('作业明细'!$H$8:$H$2197,'作业明细'!$B$8:$B$2197,A24)</f>
        <v>48.35</v>
      </c>
      <c r="H24" s="20">
        <f>D24/G24</f>
        <v>1173.69183040331</v>
      </c>
    </row>
    <row r="25" ht="19" customHeight="1">
      <c r="A25" s="34" t="n">
        <v>45675</v>
      </c>
      <c r="B25" s="25">
        <f>SUMIFS('作业明细'!$G$8:$G$2197,'作业明细'!$B$8:$B$2197,A25,'作业明细'!$C$8:$C$2197,"进港")</f>
        <v>43341</v>
      </c>
      <c r="C25" s="25">
        <f>SUMIFS('作业明细'!$G$8:$G$2197,'作业明细'!$B$8:$B$2197,A25,'作业明细'!$C$8:$C$2197,"出港")</f>
        <v>14265</v>
      </c>
      <c r="D25" s="25">
        <f>SUM(B25:C25)</f>
        <v>57606</v>
      </c>
      <c r="E25" s="35">
        <f>COUNTIFS('作业明细'!$B$8:$B$2197,A25)</f>
        <v>6</v>
      </c>
      <c r="F25" s="16">
        <f>AVERAGEIFS('作业明细'!$I$8:$I$2197,'作业明细'!$B$8:$B$2197,A25)</f>
        <v>3.08666666666667</v>
      </c>
      <c r="G25" s="16">
        <f>SUMIFS('作业明细'!$H$8:$H$2197,'作业明细'!$B$8:$B$2197,A25)</f>
        <v>48.74</v>
      </c>
      <c r="H25" s="25">
        <f>D25/G25</f>
        <v>1181.90398030365</v>
      </c>
    </row>
    <row r="26" ht="19" customHeight="1">
      <c r="A26" s="32" t="n">
        <v>45676</v>
      </c>
      <c r="B26" s="20">
        <f>SUMIFS('作业明细'!$G$8:$G$2197,'作业明细'!$B$8:$B$2197,A26,'作业明细'!$C$8:$C$2197,"进港")</f>
        <v>34425</v>
      </c>
      <c r="C26" s="20">
        <f>SUMIFS('作业明细'!$G$8:$G$2197,'作业明细'!$B$8:$B$2197,A26,'作业明细'!$C$8:$C$2197,"出港")</f>
        <v>21046</v>
      </c>
      <c r="D26" s="20">
        <f>SUM(B26:C26)</f>
        <v>55471</v>
      </c>
      <c r="E26" s="33">
        <f>COUNTIFS('作业明细'!$B$8:$B$2197,A26)</f>
        <v>6</v>
      </c>
      <c r="F26" s="14">
        <f>AVERAGEIFS('作业明细'!$I$8:$I$2197,'作业明细'!$B$8:$B$2197,A26)</f>
        <v>3.90666666666667</v>
      </c>
      <c r="G26" s="14">
        <f>SUMIFS('作业明细'!$H$8:$H$2197,'作业明细'!$B$8:$B$2197,A26)</f>
        <v>45.97</v>
      </c>
      <c r="H26" s="20">
        <f>D26/G26</f>
        <v>1206.67826843594</v>
      </c>
    </row>
    <row r="27" ht="19" customHeight="1">
      <c r="A27" s="34" t="n">
        <v>45677</v>
      </c>
      <c r="B27" s="25">
        <f>SUMIFS('作业明细'!$G$8:$G$2197,'作业明细'!$B$8:$B$2197,A27,'作业明细'!$C$8:$C$2197,"进港")</f>
        <v>33003</v>
      </c>
      <c r="C27" s="25">
        <f>SUMIFS('作业明细'!$G$8:$G$2197,'作业明细'!$B$8:$B$2197,A27,'作业明细'!$C$8:$C$2197,"出港")</f>
        <v>38871</v>
      </c>
      <c r="D27" s="25">
        <f>SUM(B27:C27)</f>
        <v>71874</v>
      </c>
      <c r="E27" s="35">
        <f>COUNTIFS('作业明细'!$B$8:$B$2197,A27)</f>
        <v>6</v>
      </c>
      <c r="F27" s="16">
        <f>AVERAGEIFS('作业明细'!$I$8:$I$2197,'作业明细'!$B$8:$B$2197,A27)</f>
        <v>2.645</v>
      </c>
      <c r="G27" s="16">
        <f>SUMIFS('作业明细'!$H$8:$H$2197,'作业明细'!$B$8:$B$2197,A27)</f>
        <v>64.19</v>
      </c>
      <c r="H27" s="25">
        <f>D27/G27</f>
        <v>1119.70711948902</v>
      </c>
    </row>
    <row r="28" ht="19" customHeight="1">
      <c r="A28" s="32" t="n">
        <v>45678</v>
      </c>
      <c r="B28" s="20">
        <f>SUMIFS('作业明细'!$G$8:$G$2197,'作业明细'!$B$8:$B$2197,A28,'作业明细'!$C$8:$C$2197,"进港")</f>
        <v>49822</v>
      </c>
      <c r="C28" s="20">
        <f>SUMIFS('作业明细'!$G$8:$G$2197,'作业明细'!$B$8:$B$2197,A28,'作业明细'!$C$8:$C$2197,"出港")</f>
        <v>9595</v>
      </c>
      <c r="D28" s="20">
        <f>SUM(B28:C28)</f>
        <v>59417</v>
      </c>
      <c r="E28" s="33">
        <f>COUNTIFS('作业明细'!$B$8:$B$2197,A28)</f>
        <v>6</v>
      </c>
      <c r="F28" s="14">
        <f>AVERAGEIFS('作业明细'!$I$8:$I$2197,'作业明细'!$B$8:$B$2197,A28)</f>
        <v>2.05666666666667</v>
      </c>
      <c r="G28" s="14">
        <f>SUMIFS('作业明细'!$H$8:$H$2197,'作业明细'!$B$8:$B$2197,A28)</f>
        <v>48.15</v>
      </c>
      <c r="H28" s="20">
        <f>D28/G28</f>
        <v>1233.9979231568</v>
      </c>
    </row>
    <row r="29" ht="19" customHeight="1">
      <c r="A29" s="34" t="n">
        <v>45679</v>
      </c>
      <c r="B29" s="25">
        <f>SUMIFS('作业明细'!$G$8:$G$2197,'作业明细'!$B$8:$B$2197,A29,'作业明细'!$C$8:$C$2197,"进港")</f>
        <v>48118</v>
      </c>
      <c r="C29" s="25">
        <f>SUMIFS('作业明细'!$G$8:$G$2197,'作业明细'!$B$8:$B$2197,A29,'作业明细'!$C$8:$C$2197,"出港")</f>
        <v>0</v>
      </c>
      <c r="D29" s="25">
        <f>SUM(B29:C29)</f>
        <v>48118</v>
      </c>
      <c r="E29" s="35">
        <f>COUNTIFS('作业明细'!$B$8:$B$2197,A29)</f>
        <v>6</v>
      </c>
      <c r="F29" s="16">
        <f>AVERAGEIFS('作业明细'!$I$8:$I$2197,'作业明细'!$B$8:$B$2197,A29)</f>
        <v>0.82</v>
      </c>
      <c r="G29" s="16">
        <f>SUMIFS('作业明细'!$H$8:$H$2197,'作业明细'!$B$8:$B$2197,A29)</f>
        <v>43.58</v>
      </c>
      <c r="H29" s="25">
        <f>D29/G29</f>
        <v>1104.13033501606</v>
      </c>
    </row>
    <row r="30" ht="19" customHeight="1">
      <c r="A30" s="32" t="n">
        <v>45680</v>
      </c>
      <c r="B30" s="20">
        <f>SUMIFS('作业明细'!$G$8:$G$2197,'作业明细'!$B$8:$B$2197,A30,'作业明细'!$C$8:$C$2197,"进港")</f>
        <v>40429</v>
      </c>
      <c r="C30" s="20">
        <f>SUMIFS('作业明细'!$G$8:$G$2197,'作业明细'!$B$8:$B$2197,A30,'作业明细'!$C$8:$C$2197,"出港")</f>
        <v>8672</v>
      </c>
      <c r="D30" s="20">
        <f>SUM(B30:C30)</f>
        <v>49101</v>
      </c>
      <c r="E30" s="33">
        <f>COUNTIFS('作业明细'!$B$8:$B$2197,A30)</f>
        <v>6</v>
      </c>
      <c r="F30" s="14">
        <f>AVERAGEIFS('作业明细'!$I$8:$I$2197,'作业明细'!$B$8:$B$2197,A30)</f>
        <v>2.06833333333333</v>
      </c>
      <c r="G30" s="14">
        <f>SUMIFS('作业明细'!$H$8:$H$2197,'作业明细'!$B$8:$B$2197,A30)</f>
        <v>43.9</v>
      </c>
      <c r="H30" s="20">
        <f>D30/G30</f>
        <v>1118.47380410023</v>
      </c>
    </row>
    <row r="31" ht="19" customHeight="1">
      <c r="A31" s="34" t="n">
        <v>45681</v>
      </c>
      <c r="B31" s="25">
        <f>SUMIFS('作业明细'!$G$8:$G$2197,'作业明细'!$B$8:$B$2197,A31,'作业明细'!$C$8:$C$2197,"进港")</f>
        <v>33538</v>
      </c>
      <c r="C31" s="25">
        <f>SUMIFS('作业明细'!$G$8:$G$2197,'作业明细'!$B$8:$B$2197,A31,'作业明细'!$C$8:$C$2197,"出港")</f>
        <v>9904</v>
      </c>
      <c r="D31" s="25">
        <f>SUM(B31:C31)</f>
        <v>43442</v>
      </c>
      <c r="E31" s="35">
        <f>COUNTIFS('作业明细'!$B$8:$B$2197,A31)</f>
        <v>6</v>
      </c>
      <c r="F31" s="16">
        <f>AVERAGEIFS('作业明细'!$I$8:$I$2197,'作业明细'!$B$8:$B$2197,A31)</f>
        <v>1.03</v>
      </c>
      <c r="G31" s="16">
        <f>SUMIFS('作业明细'!$H$8:$H$2197,'作业明细'!$B$8:$B$2197,A31)</f>
        <v>42.04</v>
      </c>
      <c r="H31" s="25">
        <f>D31/G31</f>
        <v>1033.34919124643</v>
      </c>
    </row>
    <row r="32" ht="19" customHeight="1">
      <c r="A32" s="32" t="n">
        <v>45682</v>
      </c>
      <c r="B32" s="20">
        <f>SUMIFS('作业明细'!$G$8:$G$2197,'作业明细'!$B$8:$B$2197,A32,'作业明细'!$C$8:$C$2197,"进港")</f>
        <v>26873</v>
      </c>
      <c r="C32" s="20">
        <f>SUMIFS('作业明细'!$G$8:$G$2197,'作业明细'!$B$8:$B$2197,A32,'作业明细'!$C$8:$C$2197,"出港")</f>
        <v>19328</v>
      </c>
      <c r="D32" s="20">
        <f>SUM(B32:C32)</f>
        <v>46201</v>
      </c>
      <c r="E32" s="33">
        <f>COUNTIFS('作业明细'!$B$8:$B$2197,A32)</f>
        <v>6</v>
      </c>
      <c r="F32" s="14">
        <f>AVERAGEIFS('作业明细'!$I$8:$I$2197,'作业明细'!$B$8:$B$2197,A32)</f>
        <v>1.66833333333333</v>
      </c>
      <c r="G32" s="14">
        <f>SUMIFS('作业明细'!$H$8:$H$2197,'作业明细'!$B$8:$B$2197,A32)</f>
        <v>40.54</v>
      </c>
      <c r="H32" s="20">
        <f>D32/G32</f>
        <v>1139.63986186483</v>
      </c>
    </row>
    <row r="33" ht="19" customHeight="1">
      <c r="A33" s="34" t="n">
        <v>45683</v>
      </c>
      <c r="B33" s="25">
        <f>SUMIFS('作业明细'!$G$8:$G$2197,'作业明细'!$B$8:$B$2197,A33,'作业明细'!$C$8:$C$2197,"进港")</f>
        <v>42729</v>
      </c>
      <c r="C33" s="25">
        <f>SUMIFS('作业明细'!$G$8:$G$2197,'作业明细'!$B$8:$B$2197,A33,'作业明细'!$C$8:$C$2197,"出港")</f>
        <v>10857</v>
      </c>
      <c r="D33" s="25">
        <f>SUM(B33:C33)</f>
        <v>53586</v>
      </c>
      <c r="E33" s="35">
        <f>COUNTIFS('作业明细'!$B$8:$B$2197,A33)</f>
        <v>6</v>
      </c>
      <c r="F33" s="16">
        <f>AVERAGEIFS('作业明细'!$I$8:$I$2197,'作业明细'!$B$8:$B$2197,A33)</f>
        <v>3.28333333333333</v>
      </c>
      <c r="G33" s="16">
        <f>SUMIFS('作业明细'!$H$8:$H$2197,'作业明细'!$B$8:$B$2197,A33)</f>
        <v>42.47</v>
      </c>
      <c r="H33" s="25">
        <f>D33/G33</f>
        <v>1261.73769719802</v>
      </c>
    </row>
    <row r="34" ht="19" customHeight="1">
      <c r="A34" s="32" t="n">
        <v>45684</v>
      </c>
      <c r="B34" s="20">
        <f>SUMIFS('作业明细'!$G$8:$G$2197,'作业明细'!$B$8:$B$2197,A34,'作业明细'!$C$8:$C$2197,"进港")</f>
        <v>30761</v>
      </c>
      <c r="C34" s="20">
        <f>SUMIFS('作业明细'!$G$8:$G$2197,'作业明细'!$B$8:$B$2197,A34,'作业明细'!$C$8:$C$2197,"出港")</f>
        <v>17004</v>
      </c>
      <c r="D34" s="20">
        <f>SUM(B34:C34)</f>
        <v>47765</v>
      </c>
      <c r="E34" s="33">
        <f>COUNTIFS('作业明细'!$B$8:$B$2197,A34)</f>
        <v>6</v>
      </c>
      <c r="F34" s="14">
        <f>AVERAGEIFS('作业明细'!$I$8:$I$2197,'作业明细'!$B$8:$B$2197,A34)</f>
        <v>1.61</v>
      </c>
      <c r="G34" s="14">
        <f>SUMIFS('作业明细'!$H$8:$H$2197,'作业明细'!$B$8:$B$2197,A34)</f>
        <v>43.48</v>
      </c>
      <c r="H34" s="20">
        <f>D34/G34</f>
        <v>1098.55105795768</v>
      </c>
    </row>
    <row r="35" ht="19" customHeight="1">
      <c r="A35" s="34" t="n">
        <v>45685</v>
      </c>
      <c r="B35" s="25">
        <f>SUMIFS('作业明细'!$G$8:$G$2197,'作业明细'!$B$8:$B$2197,A35,'作业明细'!$C$8:$C$2197,"进港")</f>
        <v>40772</v>
      </c>
      <c r="C35" s="25">
        <f>SUMIFS('作业明细'!$G$8:$G$2197,'作业明细'!$B$8:$B$2197,A35,'作业明细'!$C$8:$C$2197,"出港")</f>
        <v>20495</v>
      </c>
      <c r="D35" s="25">
        <f>SUM(B35:C35)</f>
        <v>61267</v>
      </c>
      <c r="E35" s="35">
        <f>COUNTIFS('作业明细'!$B$8:$B$2197,A35)</f>
        <v>6</v>
      </c>
      <c r="F35" s="16">
        <f>AVERAGEIFS('作业明细'!$I$8:$I$2197,'作业明细'!$B$8:$B$2197,A35)</f>
        <v>1.445</v>
      </c>
      <c r="G35" s="16">
        <f>SUMIFS('作业明细'!$H$8:$H$2197,'作业明细'!$B$8:$B$2197,A35)</f>
        <v>53.21</v>
      </c>
      <c r="H35" s="25">
        <f>D35/G35</f>
        <v>1151.41890622064</v>
      </c>
    </row>
    <row r="36" ht="19" customHeight="1">
      <c r="A36" s="32" t="n">
        <v>45686</v>
      </c>
      <c r="B36" s="20">
        <f>SUMIFS('作业明细'!$G$8:$G$2197,'作业明细'!$B$8:$B$2197,A36,'作业明细'!$C$8:$C$2197,"进港")</f>
        <v>11459</v>
      </c>
      <c r="C36" s="20">
        <f>SUMIFS('作业明细'!$G$8:$G$2197,'作业明细'!$B$8:$B$2197,A36,'作业明细'!$C$8:$C$2197,"出港")</f>
        <v>38886</v>
      </c>
      <c r="D36" s="20">
        <f>SUM(B36:C36)</f>
        <v>50345</v>
      </c>
      <c r="E36" s="33">
        <f>COUNTIFS('作业明细'!$B$8:$B$2197,A36)</f>
        <v>6</v>
      </c>
      <c r="F36" s="14">
        <f>AVERAGEIFS('作业明细'!$I$8:$I$2197,'作业明细'!$B$8:$B$2197,A36)</f>
        <v>2.00166666666667</v>
      </c>
      <c r="G36" s="14">
        <f>SUMIFS('作业明细'!$H$8:$H$2197,'作业明细'!$B$8:$B$2197,A36)</f>
        <v>44.64</v>
      </c>
      <c r="H36" s="20">
        <f>D36/G36</f>
        <v>1127.80017921147</v>
      </c>
    </row>
    <row r="37" ht="19" customHeight="1">
      <c r="A37" s="34" t="n">
        <v>45687</v>
      </c>
      <c r="B37" s="25">
        <f>SUMIFS('作业明细'!$G$8:$G$2197,'作业明细'!$B$8:$B$2197,A37,'作业明细'!$C$8:$C$2197,"进港")</f>
        <v>47273</v>
      </c>
      <c r="C37" s="25">
        <f>SUMIFS('作业明细'!$G$8:$G$2197,'作业明细'!$B$8:$B$2197,A37,'作业明细'!$C$8:$C$2197,"出港")</f>
        <v>13003</v>
      </c>
      <c r="D37" s="25">
        <f>SUM(B37:C37)</f>
        <v>60276</v>
      </c>
      <c r="E37" s="35">
        <f>COUNTIFS('作业明细'!$B$8:$B$2197,A37)</f>
        <v>6</v>
      </c>
      <c r="F37" s="16">
        <f>AVERAGEIFS('作业明细'!$I$8:$I$2197,'作业明细'!$B$8:$B$2197,A37)</f>
        <v>2.75666666666667</v>
      </c>
      <c r="G37" s="16">
        <f>SUMIFS('作业明细'!$H$8:$H$2197,'作业明细'!$B$8:$B$2197,A37)</f>
        <v>56.62</v>
      </c>
      <c r="H37" s="25">
        <f>D37/G37</f>
        <v>1064.57082303073</v>
      </c>
    </row>
    <row r="38" ht="19" customHeight="1">
      <c r="A38" s="32" t="n">
        <v>45688</v>
      </c>
      <c r="B38" s="20">
        <f>SUMIFS('作业明细'!$G$8:$G$2197,'作业明细'!$B$8:$B$2197,A38,'作业明细'!$C$8:$C$2197,"进港")</f>
        <v>39716</v>
      </c>
      <c r="C38" s="20">
        <f>SUMIFS('作业明细'!$G$8:$G$2197,'作业明细'!$B$8:$B$2197,A38,'作业明细'!$C$8:$C$2197,"出港")</f>
        <v>21749</v>
      </c>
      <c r="D38" s="20">
        <f>SUM(B38:C38)</f>
        <v>61465</v>
      </c>
      <c r="E38" s="33">
        <f>COUNTIFS('作业明细'!$B$8:$B$2197,A38)</f>
        <v>6</v>
      </c>
      <c r="F38" s="14">
        <f>AVERAGEIFS('作业明细'!$I$8:$I$2197,'作业明细'!$B$8:$B$2197,A38)</f>
        <v>3.765</v>
      </c>
      <c r="G38" s="14">
        <f>SUMIFS('作业明细'!$H$8:$H$2197,'作业明细'!$B$8:$B$2197,A38)</f>
        <v>58.4</v>
      </c>
      <c r="H38" s="20">
        <f>D38/G38</f>
        <v>1052.48287671233</v>
      </c>
    </row>
    <row r="39" ht="19" customHeight="1">
      <c r="A39" s="34" t="n">
        <v>45689</v>
      </c>
      <c r="B39" s="25">
        <f>SUMIFS('作业明细'!$G$8:$G$2197,'作业明细'!$B$8:$B$2197,A39,'作业明细'!$C$8:$C$2197,"进港")</f>
        <v>44162</v>
      </c>
      <c r="C39" s="25">
        <f>SUMIFS('作业明细'!$G$8:$G$2197,'作业明细'!$B$8:$B$2197,A39,'作业明细'!$C$8:$C$2197,"出港")</f>
        <v>31516</v>
      </c>
      <c r="D39" s="25">
        <f>SUM(B39:C39)</f>
        <v>75678</v>
      </c>
      <c r="E39" s="35">
        <f>COUNTIFS('作业明细'!$B$8:$B$2197,A39)</f>
        <v>6</v>
      </c>
      <c r="F39" s="16">
        <f>AVERAGEIFS('作业明细'!$I$8:$I$2197,'作业明细'!$B$8:$B$2197,A39)</f>
        <v>2.21333333333333</v>
      </c>
      <c r="G39" s="16">
        <f>SUMIFS('作业明细'!$H$8:$H$2197,'作业明细'!$B$8:$B$2197,A39)</f>
        <v>56.63</v>
      </c>
      <c r="H39" s="25">
        <f>D39/G39</f>
        <v>1336.35882041321</v>
      </c>
    </row>
    <row r="40" ht="19" customHeight="1">
      <c r="A40" s="32" t="n">
        <v>45690</v>
      </c>
      <c r="B40" s="20">
        <f>SUMIFS('作业明细'!$G$8:$G$2197,'作业明细'!$B$8:$B$2197,A40,'作业明细'!$C$8:$C$2197,"进港")</f>
        <v>50197</v>
      </c>
      <c r="C40" s="20">
        <f>SUMIFS('作业明细'!$G$8:$G$2197,'作业明细'!$B$8:$B$2197,A40,'作业明细'!$C$8:$C$2197,"出港")</f>
        <v>3342</v>
      </c>
      <c r="D40" s="20">
        <f>SUM(B40:C40)</f>
        <v>53539</v>
      </c>
      <c r="E40" s="33">
        <f>COUNTIFS('作业明细'!$B$8:$B$2197,A40)</f>
        <v>6</v>
      </c>
      <c r="F40" s="14">
        <f>AVERAGEIFS('作业明细'!$I$8:$I$2197,'作业明细'!$B$8:$B$2197,A40)</f>
        <v>1.71</v>
      </c>
      <c r="G40" s="14">
        <f>SUMIFS('作业明细'!$H$8:$H$2197,'作业明细'!$B$8:$B$2197,A40)</f>
        <v>45.52</v>
      </c>
      <c r="H40" s="20">
        <f>D40/G40</f>
        <v>1176.16432337434</v>
      </c>
    </row>
    <row r="41" ht="19" customHeight="1">
      <c r="A41" s="34" t="n">
        <v>45691</v>
      </c>
      <c r="B41" s="25">
        <f>SUMIFS('作业明细'!$G$8:$G$2197,'作业明细'!$B$8:$B$2197,A41,'作业明细'!$C$8:$C$2197,"进港")</f>
        <v>23863</v>
      </c>
      <c r="C41" s="25">
        <f>SUMIFS('作业明细'!$G$8:$G$2197,'作业明细'!$B$8:$B$2197,A41,'作业明细'!$C$8:$C$2197,"出港")</f>
        <v>25948</v>
      </c>
      <c r="D41" s="25">
        <f>SUM(B41:C41)</f>
        <v>49811</v>
      </c>
      <c r="E41" s="35">
        <f>COUNTIFS('作业明细'!$B$8:$B$2197,A41)</f>
        <v>6</v>
      </c>
      <c r="F41" s="16">
        <f>AVERAGEIFS('作业明细'!$I$8:$I$2197,'作业明细'!$B$8:$B$2197,A41)</f>
        <v>1.175</v>
      </c>
      <c r="G41" s="16">
        <f>SUMIFS('作业明细'!$H$8:$H$2197,'作业明细'!$B$8:$B$2197,A41)</f>
        <v>44.63</v>
      </c>
      <c r="H41" s="25">
        <f>D41/G41</f>
        <v>1116.08783329599</v>
      </c>
    </row>
    <row r="42" ht="19" customHeight="1">
      <c r="A42" s="32" t="n">
        <v>45692</v>
      </c>
      <c r="B42" s="20">
        <f>SUMIFS('作业明细'!$G$8:$G$2197,'作业明细'!$B$8:$B$2197,A42,'作业明细'!$C$8:$C$2197,"进港")</f>
        <v>13876</v>
      </c>
      <c r="C42" s="20">
        <f>SUMIFS('作业明细'!$G$8:$G$2197,'作业明细'!$B$8:$B$2197,A42,'作业明细'!$C$8:$C$2197,"出港")</f>
        <v>15010</v>
      </c>
      <c r="D42" s="20">
        <f>SUM(B42:C42)</f>
        <v>28886</v>
      </c>
      <c r="E42" s="33">
        <f>COUNTIFS('作业明细'!$B$8:$B$2197,A42)</f>
        <v>6</v>
      </c>
      <c r="F42" s="14">
        <f>AVERAGEIFS('作业明细'!$I$8:$I$2197,'作业明细'!$B$8:$B$2197,A42)</f>
        <v>2.43666666666667</v>
      </c>
      <c r="G42" s="14">
        <f>SUMIFS('作业明细'!$H$8:$H$2197,'作业明细'!$B$8:$B$2197,A42)</f>
        <v>26.23</v>
      </c>
      <c r="H42" s="20">
        <f>D42/G42</f>
        <v>1101.2581014106</v>
      </c>
    </row>
    <row r="43" ht="19" customHeight="1">
      <c r="A43" s="34" t="n">
        <v>45693</v>
      </c>
      <c r="B43" s="25">
        <f>SUMIFS('作业明细'!$G$8:$G$2197,'作业明细'!$B$8:$B$2197,A43,'作业明细'!$C$8:$C$2197,"进港")</f>
        <v>19998</v>
      </c>
      <c r="C43" s="25">
        <f>SUMIFS('作业明细'!$G$8:$G$2197,'作业明细'!$B$8:$B$2197,A43,'作业明细'!$C$8:$C$2197,"出港")</f>
        <v>9179</v>
      </c>
      <c r="D43" s="25">
        <f>SUM(B43:C43)</f>
        <v>29177</v>
      </c>
      <c r="E43" s="35">
        <f>COUNTIFS('作业明细'!$B$8:$B$2197,A43)</f>
        <v>6</v>
      </c>
      <c r="F43" s="16">
        <f>AVERAGEIFS('作业明细'!$I$8:$I$2197,'作业明细'!$B$8:$B$2197,A43)</f>
        <v>2.80833333333333</v>
      </c>
      <c r="G43" s="16">
        <f>SUMIFS('作业明细'!$H$8:$H$2197,'作业明细'!$B$8:$B$2197,A43)</f>
        <v>26.88</v>
      </c>
      <c r="H43" s="25">
        <f>D43/G43</f>
        <v>1085.45386904762</v>
      </c>
    </row>
    <row r="44" ht="19" customHeight="1">
      <c r="A44" s="32" t="n">
        <v>45694</v>
      </c>
      <c r="B44" s="20">
        <f>SUMIFS('作业明细'!$G$8:$G$2197,'作业明细'!$B$8:$B$2197,A44,'作业明细'!$C$8:$C$2197,"进港")</f>
        <v>26510</v>
      </c>
      <c r="C44" s="20">
        <f>SUMIFS('作业明细'!$G$8:$G$2197,'作业明细'!$B$8:$B$2197,A44,'作业明细'!$C$8:$C$2197,"出港")</f>
        <v>3155</v>
      </c>
      <c r="D44" s="20">
        <f>SUM(B44:C44)</f>
        <v>29665</v>
      </c>
      <c r="E44" s="33">
        <f>COUNTIFS('作业明细'!$B$8:$B$2197,A44)</f>
        <v>6</v>
      </c>
      <c r="F44" s="14">
        <f>AVERAGEIFS('作业明细'!$I$8:$I$2197,'作业明细'!$B$8:$B$2197,A44)</f>
        <v>2.58833333333333</v>
      </c>
      <c r="G44" s="14">
        <f>SUMIFS('作业明细'!$H$8:$H$2197,'作业明细'!$B$8:$B$2197,A44)</f>
        <v>26.46</v>
      </c>
      <c r="H44" s="20">
        <f>D44/G44</f>
        <v>1121.12622826909</v>
      </c>
    </row>
    <row r="45" ht="19" customHeight="1">
      <c r="A45" s="34" t="n">
        <v>45695</v>
      </c>
      <c r="B45" s="25">
        <f>SUMIFS('作业明细'!$G$8:$G$2197,'作业明细'!$B$8:$B$2197,A45,'作业明细'!$C$8:$C$2197,"进港")</f>
        <v>14220</v>
      </c>
      <c r="C45" s="25">
        <f>SUMIFS('作业明细'!$G$8:$G$2197,'作业明细'!$B$8:$B$2197,A45,'作业明细'!$C$8:$C$2197,"出港")</f>
        <v>10289</v>
      </c>
      <c r="D45" s="25">
        <f>SUM(B45:C45)</f>
        <v>24509</v>
      </c>
      <c r="E45" s="35">
        <f>COUNTIFS('作业明细'!$B$8:$B$2197,A45)</f>
        <v>6</v>
      </c>
      <c r="F45" s="16">
        <f>AVERAGEIFS('作业明细'!$I$8:$I$2197,'作业明细'!$B$8:$B$2197,A45)</f>
        <v>1.74833333333333</v>
      </c>
      <c r="G45" s="16">
        <f>SUMIFS('作业明细'!$H$8:$H$2197,'作业明细'!$B$8:$B$2197,A45)</f>
        <v>21.74</v>
      </c>
      <c r="H45" s="25">
        <f>D45/G45</f>
        <v>1127.36890524379</v>
      </c>
    </row>
    <row r="46" ht="19" customHeight="1">
      <c r="A46" s="32" t="n">
        <v>45696</v>
      </c>
      <c r="B46" s="20">
        <f>SUMIFS('作业明细'!$G$8:$G$2197,'作业明细'!$B$8:$B$2197,A46,'作业明细'!$C$8:$C$2197,"进港")</f>
        <v>17429</v>
      </c>
      <c r="C46" s="20">
        <f>SUMIFS('作业明细'!$G$8:$G$2197,'作业明细'!$B$8:$B$2197,A46,'作业明细'!$C$8:$C$2197,"出港")</f>
        <v>11339</v>
      </c>
      <c r="D46" s="20">
        <f>SUM(B46:C46)</f>
        <v>28768</v>
      </c>
      <c r="E46" s="33">
        <f>COUNTIFS('作业明细'!$B$8:$B$2197,A46)</f>
        <v>6</v>
      </c>
      <c r="F46" s="14">
        <f>AVERAGEIFS('作业明细'!$I$8:$I$2197,'作业明细'!$B$8:$B$2197,A46)</f>
        <v>2.69333333333333</v>
      </c>
      <c r="G46" s="14">
        <f>SUMIFS('作业明细'!$H$8:$H$2197,'作业明细'!$B$8:$B$2197,A46)</f>
        <v>27.61</v>
      </c>
      <c r="H46" s="20">
        <f>D46/G46</f>
        <v>1041.94132560666</v>
      </c>
    </row>
    <row r="47">
      <c r="A47" s="34" t="n">
        <v>45697</v>
      </c>
      <c r="B47" s="25">
        <f>SUMIFS('作业明细'!$G$8:$G$2197,'作业明细'!$B$8:$B$2197,A47,'作业明细'!$C$8:$C$2197,"进港")</f>
        <v>28046</v>
      </c>
      <c r="C47" s="25">
        <f>SUMIFS('作业明细'!$G$8:$G$2197,'作业明细'!$B$8:$B$2197,A47,'作业明细'!$C$8:$C$2197,"出港")</f>
        <v>9821</v>
      </c>
      <c r="D47" s="25">
        <f>SUM(B47:C47)</f>
        <v>37867</v>
      </c>
      <c r="E47" s="35">
        <f>COUNTIFS('作业明细'!$B$8:$B$2197,A47)</f>
        <v>6</v>
      </c>
      <c r="F47" s="16">
        <f>AVERAGEIFS('作业明细'!$I$8:$I$2197,'作业明细'!$B$8:$B$2197,A47)</f>
        <v>2.89666666666667</v>
      </c>
      <c r="G47" s="16">
        <f>SUMIFS('作业明细'!$H$8:$H$2197,'作业明细'!$B$8:$B$2197,A47)</f>
        <v>28.87</v>
      </c>
      <c r="H47" s="25">
        <f>D47/G47</f>
        <v>1311.63837894008</v>
      </c>
    </row>
    <row r="48">
      <c r="A48" s="32" t="n">
        <v>45698</v>
      </c>
      <c r="B48" s="20">
        <f>SUMIFS('作业明细'!$G$8:$G$2197,'作业明细'!$B$8:$B$2197,A48,'作业明细'!$C$8:$C$2197,"进港")</f>
        <v>27740</v>
      </c>
      <c r="C48" s="20">
        <f>SUMIFS('作业明细'!$G$8:$G$2197,'作业明细'!$B$8:$B$2197,A48,'作业明细'!$C$8:$C$2197,"出港")</f>
        <v>6709</v>
      </c>
      <c r="D48" s="20">
        <f>SUM(B48:C48)</f>
        <v>34449</v>
      </c>
      <c r="E48" s="33">
        <f>COUNTIFS('作业明细'!$B$8:$B$2197,A48)</f>
        <v>6</v>
      </c>
      <c r="F48" s="14">
        <f>AVERAGEIFS('作业明细'!$I$8:$I$2197,'作业明细'!$B$8:$B$2197,A48)</f>
        <v>2.67333333333333</v>
      </c>
      <c r="G48" s="14">
        <f>SUMIFS('作业明细'!$H$8:$H$2197,'作业明细'!$B$8:$B$2197,A48)</f>
        <v>30.38</v>
      </c>
      <c r="H48" s="20">
        <f>D48/G48</f>
        <v>1133.93680052666</v>
      </c>
    </row>
    <row r="49">
      <c r="A49" s="34" t="n">
        <v>45699</v>
      </c>
      <c r="B49" s="25">
        <f>SUMIFS('作业明细'!$G$8:$G$2197,'作业明细'!$B$8:$B$2197,A49,'作业明细'!$C$8:$C$2197,"进港")</f>
        <v>25474</v>
      </c>
      <c r="C49" s="25">
        <f>SUMIFS('作业明细'!$G$8:$G$2197,'作业明细'!$B$8:$B$2197,A49,'作业明细'!$C$8:$C$2197,"出港")</f>
        <v>12541</v>
      </c>
      <c r="D49" s="25">
        <f>SUM(B49:C49)</f>
        <v>38015</v>
      </c>
      <c r="E49" s="35">
        <f>COUNTIFS('作业明细'!$B$8:$B$2197,A49)</f>
        <v>6</v>
      </c>
      <c r="F49" s="16">
        <f>AVERAGEIFS('作业明细'!$I$8:$I$2197,'作业明细'!$B$8:$B$2197,A49)</f>
        <v>4.36</v>
      </c>
      <c r="G49" s="16">
        <f>SUMIFS('作业明细'!$H$8:$H$2197,'作业明细'!$B$8:$B$2197,A49)</f>
        <v>32.42</v>
      </c>
      <c r="H49" s="25">
        <f>D49/G49</f>
        <v>1172.57865515114</v>
      </c>
    </row>
    <row r="50">
      <c r="A50" s="32" t="n">
        <v>45700</v>
      </c>
      <c r="B50" s="20">
        <f>SUMIFS('作业明细'!$G$8:$G$2197,'作业明细'!$B$8:$B$2197,A50,'作业明细'!$C$8:$C$2197,"进港")</f>
        <v>16359</v>
      </c>
      <c r="C50" s="20">
        <f>SUMIFS('作业明细'!$G$8:$G$2197,'作业明细'!$B$8:$B$2197,A50,'作业明细'!$C$8:$C$2197,"出港")</f>
        <v>9807</v>
      </c>
      <c r="D50" s="20">
        <f>SUM(B50:C50)</f>
        <v>26166</v>
      </c>
      <c r="E50" s="33">
        <f>COUNTIFS('作业明细'!$B$8:$B$2197,A50)</f>
        <v>6</v>
      </c>
      <c r="F50" s="14">
        <f>AVERAGEIFS('作业明细'!$I$8:$I$2197,'作业明细'!$B$8:$B$2197,A50)</f>
        <v>2.705</v>
      </c>
      <c r="G50" s="14">
        <f>SUMIFS('作业明细'!$H$8:$H$2197,'作业明细'!$B$8:$B$2197,A50)</f>
        <v>22.04</v>
      </c>
      <c r="H50" s="20">
        <f>D50/G50</f>
        <v>1187.20508166969</v>
      </c>
    </row>
    <row r="51">
      <c r="A51" s="34" t="n">
        <v>45701</v>
      </c>
      <c r="B51" s="25">
        <f>SUMIFS('作业明细'!$G$8:$G$2197,'作业明细'!$B$8:$B$2197,A51,'作业明细'!$C$8:$C$2197,"进港")</f>
        <v>49337</v>
      </c>
      <c r="C51" s="25">
        <f>SUMIFS('作业明细'!$G$8:$G$2197,'作业明细'!$B$8:$B$2197,A51,'作业明细'!$C$8:$C$2197,"出港")</f>
        <v>15629</v>
      </c>
      <c r="D51" s="25">
        <f>SUM(B51:C51)</f>
        <v>64966</v>
      </c>
      <c r="E51" s="35">
        <f>COUNTIFS('作业明细'!$B$8:$B$2197,A51)</f>
        <v>6</v>
      </c>
      <c r="F51" s="16">
        <f>AVERAGEIFS('作业明细'!$I$8:$I$2197,'作业明细'!$B$8:$B$2197,A51)</f>
        <v>2.78833333333333</v>
      </c>
      <c r="G51" s="16">
        <f>SUMIFS('作业明细'!$H$8:$H$2197,'作业明细'!$B$8:$B$2197,A51)</f>
        <v>55.6</v>
      </c>
      <c r="H51" s="25">
        <f>D51/G51</f>
        <v>1168.45323741007</v>
      </c>
    </row>
    <row r="52">
      <c r="A52" s="32" t="n">
        <v>45702</v>
      </c>
      <c r="B52" s="20">
        <f>SUMIFS('作业明细'!$G$8:$G$2197,'作业明细'!$B$8:$B$2197,A52,'作业明细'!$C$8:$C$2197,"进港")</f>
        <v>30367</v>
      </c>
      <c r="C52" s="20">
        <f>SUMIFS('作业明细'!$G$8:$G$2197,'作业明细'!$B$8:$B$2197,A52,'作业明细'!$C$8:$C$2197,"出港")</f>
        <v>32094</v>
      </c>
      <c r="D52" s="20">
        <f>SUM(B52:C52)</f>
        <v>62461</v>
      </c>
      <c r="E52" s="33">
        <f>COUNTIFS('作业明细'!$B$8:$B$2197,A52)</f>
        <v>6</v>
      </c>
      <c r="F52" s="14">
        <f>AVERAGEIFS('作业明细'!$I$8:$I$2197,'作业明细'!$B$8:$B$2197,A52)</f>
        <v>1.86</v>
      </c>
      <c r="G52" s="14">
        <f>SUMIFS('作业明细'!$H$8:$H$2197,'作业明细'!$B$8:$B$2197,A52)</f>
        <v>56.09</v>
      </c>
      <c r="H52" s="20">
        <f>D52/G52</f>
        <v>1113.5853093243</v>
      </c>
    </row>
    <row r="53">
      <c r="A53" s="34" t="n">
        <v>45703</v>
      </c>
      <c r="B53" s="25">
        <f>SUMIFS('作业明细'!$G$8:$G$2197,'作业明细'!$B$8:$B$2197,A53,'作业明细'!$C$8:$C$2197,"进港")</f>
        <v>30438</v>
      </c>
      <c r="C53" s="25">
        <f>SUMIFS('作业明细'!$G$8:$G$2197,'作业明细'!$B$8:$B$2197,A53,'作业明细'!$C$8:$C$2197,"出港")</f>
        <v>19225</v>
      </c>
      <c r="D53" s="25">
        <f>SUM(B53:C53)</f>
        <v>49663</v>
      </c>
      <c r="E53" s="35">
        <f>COUNTIFS('作业明细'!$B$8:$B$2197,A53)</f>
        <v>6</v>
      </c>
      <c r="F53" s="16">
        <f>AVERAGEIFS('作业明细'!$I$8:$I$2197,'作业明细'!$B$8:$B$2197,A53)</f>
        <v>2.68666666666667</v>
      </c>
      <c r="G53" s="16">
        <f>SUMIFS('作业明细'!$H$8:$H$2197,'作业明细'!$B$8:$B$2197,A53)</f>
        <v>45.18</v>
      </c>
      <c r="H53" s="25">
        <f>D53/G53</f>
        <v>1099.22532093847</v>
      </c>
    </row>
    <row r="54">
      <c r="A54" s="32" t="n">
        <v>45704</v>
      </c>
      <c r="B54" s="20">
        <f>SUMIFS('作业明细'!$G$8:$G$2197,'作业明细'!$B$8:$B$2197,A54,'作业明细'!$C$8:$C$2197,"进港")</f>
        <v>17999</v>
      </c>
      <c r="C54" s="20">
        <f>SUMIFS('作业明细'!$G$8:$G$2197,'作业明细'!$B$8:$B$2197,A54,'作业明细'!$C$8:$C$2197,"出港")</f>
        <v>27888</v>
      </c>
      <c r="D54" s="20">
        <f>SUM(B54:C54)</f>
        <v>45887</v>
      </c>
      <c r="E54" s="33">
        <f>COUNTIFS('作业明细'!$B$8:$B$2197,A54)</f>
        <v>6</v>
      </c>
      <c r="F54" s="14">
        <f>AVERAGEIFS('作业明细'!$I$8:$I$2197,'作业明细'!$B$8:$B$2197,A54)</f>
        <v>1.83333333333333</v>
      </c>
      <c r="G54" s="14">
        <f>SUMIFS('作业明细'!$H$8:$H$2197,'作业明细'!$B$8:$B$2197,A54)</f>
        <v>36.28</v>
      </c>
      <c r="H54" s="20">
        <f>D54/G54</f>
        <v>1264.80154355017</v>
      </c>
    </row>
    <row r="55">
      <c r="A55" s="34" t="n">
        <v>45705</v>
      </c>
      <c r="B55" s="25">
        <f>SUMIFS('作业明细'!$G$8:$G$2197,'作业明细'!$B$8:$B$2197,A55,'作业明细'!$C$8:$C$2197,"进港")</f>
        <v>35384</v>
      </c>
      <c r="C55" s="25">
        <f>SUMIFS('作业明细'!$G$8:$G$2197,'作业明细'!$B$8:$B$2197,A55,'作业明细'!$C$8:$C$2197,"出港")</f>
        <v>15148</v>
      </c>
      <c r="D55" s="25">
        <f>SUM(B55:C55)</f>
        <v>50532</v>
      </c>
      <c r="E55" s="35">
        <f>COUNTIFS('作业明细'!$B$8:$B$2197,A55)</f>
        <v>6</v>
      </c>
      <c r="F55" s="16">
        <f>AVERAGEIFS('作业明细'!$I$8:$I$2197,'作业明细'!$B$8:$B$2197,A55)</f>
        <v>1.695</v>
      </c>
      <c r="G55" s="16">
        <f>SUMIFS('作业明细'!$H$8:$H$2197,'作业明细'!$B$8:$B$2197,A55)</f>
        <v>40.09</v>
      </c>
      <c r="H55" s="25">
        <f>D55/G55</f>
        <v>1260.46395609878</v>
      </c>
    </row>
    <row r="56">
      <c r="A56" s="32" t="n">
        <v>45706</v>
      </c>
      <c r="B56" s="20">
        <f>SUMIFS('作业明细'!$G$8:$G$2197,'作业明细'!$B$8:$B$2197,A56,'作业明细'!$C$8:$C$2197,"进港")</f>
        <v>15820</v>
      </c>
      <c r="C56" s="20">
        <f>SUMIFS('作业明细'!$G$8:$G$2197,'作业明细'!$B$8:$B$2197,A56,'作业明细'!$C$8:$C$2197,"出港")</f>
        <v>31033</v>
      </c>
      <c r="D56" s="20">
        <f>SUM(B56:C56)</f>
        <v>46853</v>
      </c>
      <c r="E56" s="33">
        <f>COUNTIFS('作业明细'!$B$8:$B$2197,A56)</f>
        <v>6</v>
      </c>
      <c r="F56" s="14">
        <f>AVERAGEIFS('作业明细'!$I$8:$I$2197,'作业明细'!$B$8:$B$2197,A56)</f>
        <v>1.40833333333333</v>
      </c>
      <c r="G56" s="14">
        <f>SUMIFS('作业明细'!$H$8:$H$2197,'作业明细'!$B$8:$B$2197,A56)</f>
        <v>44.59</v>
      </c>
      <c r="H56" s="20">
        <f>D56/G56</f>
        <v>1050.7512895268</v>
      </c>
    </row>
    <row r="57">
      <c r="A57" s="34" t="n">
        <v>45707</v>
      </c>
      <c r="B57" s="25">
        <f>SUMIFS('作业明细'!$G$8:$G$2197,'作业明细'!$B$8:$B$2197,A57,'作业明细'!$C$8:$C$2197,"进港")</f>
        <v>40315</v>
      </c>
      <c r="C57" s="25">
        <f>SUMIFS('作业明细'!$G$8:$G$2197,'作业明细'!$B$8:$B$2197,A57,'作业明细'!$C$8:$C$2197,"出港")</f>
        <v>7217</v>
      </c>
      <c r="D57" s="25">
        <f>SUM(B57:C57)</f>
        <v>47532</v>
      </c>
      <c r="E57" s="35">
        <f>COUNTIFS('作业明细'!$B$8:$B$2197,A57)</f>
        <v>6</v>
      </c>
      <c r="F57" s="16">
        <f>AVERAGEIFS('作业明细'!$I$8:$I$2197,'作业明细'!$B$8:$B$2197,A57)</f>
        <v>2.00333333333333</v>
      </c>
      <c r="G57" s="16">
        <f>SUMIFS('作业明细'!$H$8:$H$2197,'作业明细'!$B$8:$B$2197,A57)</f>
        <v>40.77</v>
      </c>
      <c r="H57" s="25">
        <f>D57/G57</f>
        <v>1165.85724797645</v>
      </c>
    </row>
    <row r="58">
      <c r="A58" s="32" t="n">
        <v>45708</v>
      </c>
      <c r="B58" s="20">
        <f>SUMIFS('作业明细'!$G$8:$G$2197,'作业明细'!$B$8:$B$2197,A58,'作业明细'!$C$8:$C$2197,"进港")</f>
        <v>21490</v>
      </c>
      <c r="C58" s="20">
        <f>SUMIFS('作业明细'!$G$8:$G$2197,'作业明细'!$B$8:$B$2197,A58,'作业明细'!$C$8:$C$2197,"出港")</f>
        <v>26166</v>
      </c>
      <c r="D58" s="20">
        <f>SUM(B58:C58)</f>
        <v>47656</v>
      </c>
      <c r="E58" s="33">
        <f>COUNTIFS('作业明细'!$B$8:$B$2197,A58)</f>
        <v>6</v>
      </c>
      <c r="F58" s="14">
        <f>AVERAGEIFS('作业明细'!$I$8:$I$2197,'作业明细'!$B$8:$B$2197,A58)</f>
        <v>1.88166666666667</v>
      </c>
      <c r="G58" s="14">
        <f>SUMIFS('作业明细'!$H$8:$H$2197,'作业明细'!$B$8:$B$2197,A58)</f>
        <v>43.36</v>
      </c>
      <c r="H58" s="20">
        <f>D58/G58</f>
        <v>1099.07749077491</v>
      </c>
    </row>
    <row r="59">
      <c r="A59" s="34" t="n">
        <v>45709</v>
      </c>
      <c r="B59" s="25">
        <f>SUMIFS('作业明细'!$G$8:$G$2197,'作业明细'!$B$8:$B$2197,A59,'作业明细'!$C$8:$C$2197,"进港")</f>
        <v>32372</v>
      </c>
      <c r="C59" s="25">
        <f>SUMIFS('作业明细'!$G$8:$G$2197,'作业明细'!$B$8:$B$2197,A59,'作业明细'!$C$8:$C$2197,"出港")</f>
        <v>16765</v>
      </c>
      <c r="D59" s="25">
        <f>SUM(B59:C59)</f>
        <v>49137</v>
      </c>
      <c r="E59" s="35">
        <f>COUNTIFS('作业明细'!$B$8:$B$2197,A59)</f>
        <v>6</v>
      </c>
      <c r="F59" s="16">
        <f>AVERAGEIFS('作业明细'!$I$8:$I$2197,'作业明细'!$B$8:$B$2197,A59)</f>
        <v>2.71166666666667</v>
      </c>
      <c r="G59" s="16">
        <f>SUMIFS('作业明细'!$H$8:$H$2197,'作业明细'!$B$8:$B$2197,A59)</f>
        <v>40.33</v>
      </c>
      <c r="H59" s="25">
        <f>D59/G59</f>
        <v>1218.37341929085</v>
      </c>
    </row>
    <row r="60">
      <c r="A60" s="32" t="n">
        <v>45710</v>
      </c>
      <c r="B60" s="20">
        <f>SUMIFS('作业明细'!$G$8:$G$2197,'作业明细'!$B$8:$B$2197,A60,'作业明细'!$C$8:$C$2197,"进港")</f>
        <v>36649</v>
      </c>
      <c r="C60" s="20">
        <f>SUMIFS('作业明细'!$G$8:$G$2197,'作业明细'!$B$8:$B$2197,A60,'作业明细'!$C$8:$C$2197,"出港")</f>
        <v>14276</v>
      </c>
      <c r="D60" s="20">
        <f>SUM(B60:C60)</f>
        <v>50925</v>
      </c>
      <c r="E60" s="33">
        <f>COUNTIFS('作业明细'!$B$8:$B$2197,A60)</f>
        <v>6</v>
      </c>
      <c r="F60" s="14">
        <f>AVERAGEIFS('作业明细'!$I$8:$I$2197,'作业明细'!$B$8:$B$2197,A60)</f>
        <v>2.14166666666667</v>
      </c>
      <c r="G60" s="14">
        <f>SUMIFS('作业明细'!$H$8:$H$2197,'作业明细'!$B$8:$B$2197,A60)</f>
        <v>44.81</v>
      </c>
      <c r="H60" s="20">
        <f>D60/G60</f>
        <v>1136.4650747601</v>
      </c>
    </row>
    <row r="61">
      <c r="A61" s="34" t="n">
        <v>45711</v>
      </c>
      <c r="B61" s="25">
        <f>SUMIFS('作业明细'!$G$8:$G$2197,'作业明细'!$B$8:$B$2197,A61,'作业明细'!$C$8:$C$2197,"进港")</f>
        <v>40612</v>
      </c>
      <c r="C61" s="25">
        <f>SUMIFS('作业明细'!$G$8:$G$2197,'作业明细'!$B$8:$B$2197,A61,'作业明细'!$C$8:$C$2197,"出港")</f>
        <v>30847</v>
      </c>
      <c r="D61" s="25">
        <f>SUM(B61:C61)</f>
        <v>71459</v>
      </c>
      <c r="E61" s="35">
        <f>COUNTIFS('作业明细'!$B$8:$B$2197,A61)</f>
        <v>6</v>
      </c>
      <c r="F61" s="16">
        <f>AVERAGEIFS('作业明细'!$I$8:$I$2197,'作业明细'!$B$8:$B$2197,A61)</f>
        <v>1.97</v>
      </c>
      <c r="G61" s="16">
        <f>SUMIFS('作业明细'!$H$8:$H$2197,'作业明细'!$B$8:$B$2197,A61)</f>
        <v>64.84</v>
      </c>
      <c r="H61" s="25">
        <f>D61/G61</f>
        <v>1102.08204811845</v>
      </c>
    </row>
    <row r="62">
      <c r="A62" s="32" t="n">
        <v>45712</v>
      </c>
      <c r="B62" s="20">
        <f>SUMIFS('作业明细'!$G$8:$G$2197,'作业明细'!$B$8:$B$2197,A62,'作业明细'!$C$8:$C$2197,"进港")</f>
        <v>33360</v>
      </c>
      <c r="C62" s="20">
        <f>SUMIFS('作业明细'!$G$8:$G$2197,'作业明细'!$B$8:$B$2197,A62,'作业明细'!$C$8:$C$2197,"出港")</f>
        <v>23785</v>
      </c>
      <c r="D62" s="20">
        <f>SUM(B62:C62)</f>
        <v>57145</v>
      </c>
      <c r="E62" s="33">
        <f>COUNTIFS('作业明细'!$B$8:$B$2197,A62)</f>
        <v>6</v>
      </c>
      <c r="F62" s="14">
        <f>AVERAGEIFS('作业明细'!$I$8:$I$2197,'作业明细'!$B$8:$B$2197,A62)</f>
        <v>2.63666666666667</v>
      </c>
      <c r="G62" s="14">
        <f>SUMIFS('作业明细'!$H$8:$H$2197,'作业明细'!$B$8:$B$2197,A62)</f>
        <v>54.27</v>
      </c>
      <c r="H62" s="20">
        <f>D62/G62</f>
        <v>1052.97586143357</v>
      </c>
    </row>
    <row r="63">
      <c r="A63" s="34" t="n">
        <v>45713</v>
      </c>
      <c r="B63" s="25">
        <f>SUMIFS('作业明细'!$G$8:$G$2197,'作业明细'!$B$8:$B$2197,A63,'作业明细'!$C$8:$C$2197,"进港")</f>
        <v>46512</v>
      </c>
      <c r="C63" s="25">
        <f>SUMIFS('作业明细'!$G$8:$G$2197,'作业明细'!$B$8:$B$2197,A63,'作业明细'!$C$8:$C$2197,"出港")</f>
        <v>15503</v>
      </c>
      <c r="D63" s="25">
        <f>SUM(B63:C63)</f>
        <v>62015</v>
      </c>
      <c r="E63" s="35">
        <f>COUNTIFS('作业明细'!$B$8:$B$2197,A63)</f>
        <v>6</v>
      </c>
      <c r="F63" s="16">
        <f>AVERAGEIFS('作业明细'!$I$8:$I$2197,'作业明细'!$B$8:$B$2197,A63)</f>
        <v>2.26666666666667</v>
      </c>
      <c r="G63" s="16">
        <f>SUMIFS('作业明细'!$H$8:$H$2197,'作业明细'!$B$8:$B$2197,A63)</f>
        <v>50.51</v>
      </c>
      <c r="H63" s="25">
        <f>D63/G63</f>
        <v>1227.77667788557</v>
      </c>
    </row>
    <row r="64">
      <c r="A64" s="32" t="n">
        <v>45714</v>
      </c>
      <c r="B64" s="20">
        <f>SUMIFS('作业明细'!$G$8:$G$2197,'作业明细'!$B$8:$B$2197,A64,'作业明细'!$C$8:$C$2197,"进港")</f>
        <v>56273</v>
      </c>
      <c r="C64" s="20">
        <f>SUMIFS('作业明细'!$G$8:$G$2197,'作业明细'!$B$8:$B$2197,A64,'作业明细'!$C$8:$C$2197,"出港")</f>
        <v>13888</v>
      </c>
      <c r="D64" s="20">
        <f>SUM(B64:C64)</f>
        <v>70161</v>
      </c>
      <c r="E64" s="33">
        <f>COUNTIFS('作业明细'!$B$8:$B$2197,A64)</f>
        <v>6</v>
      </c>
      <c r="F64" s="14">
        <f>AVERAGEIFS('作业明细'!$I$8:$I$2197,'作业明细'!$B$8:$B$2197,A64)</f>
        <v>1.61666666666667</v>
      </c>
      <c r="G64" s="14">
        <f>SUMIFS('作业明细'!$H$8:$H$2197,'作业明细'!$B$8:$B$2197,A64)</f>
        <v>60.99</v>
      </c>
      <c r="H64" s="20">
        <f>D64/G64</f>
        <v>1150.36891293655</v>
      </c>
    </row>
    <row r="65">
      <c r="A65" s="34" t="n">
        <v>45715</v>
      </c>
      <c r="B65" s="25">
        <f>SUMIFS('作业明细'!$G$8:$G$2197,'作业明细'!$B$8:$B$2197,A65,'作业明细'!$C$8:$C$2197,"进港")</f>
        <v>32305</v>
      </c>
      <c r="C65" s="25">
        <f>SUMIFS('作业明细'!$G$8:$G$2197,'作业明细'!$B$8:$B$2197,A65,'作业明细'!$C$8:$C$2197,"出港")</f>
        <v>25604</v>
      </c>
      <c r="D65" s="25">
        <f>SUM(B65:C65)</f>
        <v>57909</v>
      </c>
      <c r="E65" s="35">
        <f>COUNTIFS('作业明细'!$B$8:$B$2197,A65)</f>
        <v>6</v>
      </c>
      <c r="F65" s="16">
        <f>AVERAGEIFS('作业明细'!$I$8:$I$2197,'作业明细'!$B$8:$B$2197,A65)</f>
        <v>2.38166666666667</v>
      </c>
      <c r="G65" s="16">
        <f>SUMIFS('作业明细'!$H$8:$H$2197,'作业明细'!$B$8:$B$2197,A65)</f>
        <v>52.07</v>
      </c>
      <c r="H65" s="25">
        <f>D65/G65</f>
        <v>1112.13750720184</v>
      </c>
    </row>
    <row r="66">
      <c r="A66" s="32" t="n">
        <v>45716</v>
      </c>
      <c r="B66" s="20">
        <f>SUMIFS('作业明细'!$G$8:$G$2197,'作业明细'!$B$8:$B$2197,A66,'作业明细'!$C$8:$C$2197,"进港")</f>
        <v>51483</v>
      </c>
      <c r="C66" s="20">
        <f>SUMIFS('作业明细'!$G$8:$G$2197,'作业明细'!$B$8:$B$2197,A66,'作业明细'!$C$8:$C$2197,"出港")</f>
        <v>9671</v>
      </c>
      <c r="D66" s="20">
        <f>SUM(B66:C66)</f>
        <v>61154</v>
      </c>
      <c r="E66" s="33">
        <f>COUNTIFS('作业明细'!$B$8:$B$2197,A66)</f>
        <v>6</v>
      </c>
      <c r="F66" s="14">
        <f>AVERAGEIFS('作业明细'!$I$8:$I$2197,'作业明细'!$B$8:$B$2197,A66)</f>
        <v>2.35833333333333</v>
      </c>
      <c r="G66" s="14">
        <f>SUMIFS('作业明细'!$H$8:$H$2197,'作业明细'!$B$8:$B$2197,A66)</f>
        <v>48.76</v>
      </c>
      <c r="H66" s="20">
        <f>D66/G66</f>
        <v>1254.18375717801</v>
      </c>
    </row>
    <row r="67">
      <c r="A67" s="34" t="n">
        <v>45717</v>
      </c>
      <c r="B67" s="25">
        <f>SUMIFS('作业明细'!$G$8:$G$2197,'作业明细'!$B$8:$B$2197,A67,'作业明细'!$C$8:$C$2197,"进港")</f>
        <v>25154</v>
      </c>
      <c r="C67" s="25">
        <f>SUMIFS('作业明细'!$G$8:$G$2197,'作业明细'!$B$8:$B$2197,A67,'作业明细'!$C$8:$C$2197,"出港")</f>
        <v>28036</v>
      </c>
      <c r="D67" s="25">
        <f>SUM(B67:C67)</f>
        <v>53190</v>
      </c>
      <c r="E67" s="35">
        <f>COUNTIFS('作业明细'!$B$8:$B$2197,A67)</f>
        <v>6</v>
      </c>
      <c r="F67" s="16">
        <f>AVERAGEIFS('作业明细'!$I$8:$I$2197,'作业明细'!$B$8:$B$2197,A67)</f>
        <v>2.83333333333333</v>
      </c>
      <c r="G67" s="16">
        <f>SUMIFS('作业明细'!$H$8:$H$2197,'作业明细'!$B$8:$B$2197,A67)</f>
        <v>43.73</v>
      </c>
      <c r="H67" s="25">
        <f>D67/G67</f>
        <v>1216.32746398354</v>
      </c>
    </row>
    <row r="68">
      <c r="A68" s="32" t="n">
        <v>45718</v>
      </c>
      <c r="B68" s="20">
        <f>SUMIFS('作业明细'!$G$8:$G$2197,'作业明细'!$B$8:$B$2197,A68,'作业明细'!$C$8:$C$2197,"进港")</f>
        <v>47559</v>
      </c>
      <c r="C68" s="20">
        <f>SUMIFS('作业明细'!$G$8:$G$2197,'作业明细'!$B$8:$B$2197,A68,'作业明细'!$C$8:$C$2197,"出港")</f>
        <v>7818</v>
      </c>
      <c r="D68" s="20">
        <f>SUM(B68:C68)</f>
        <v>55377</v>
      </c>
      <c r="E68" s="33">
        <f>COUNTIFS('作业明细'!$B$8:$B$2197,A68)</f>
        <v>6</v>
      </c>
      <c r="F68" s="14">
        <f>AVERAGEIFS('作业明细'!$I$8:$I$2197,'作业明细'!$B$8:$B$2197,A68)</f>
        <v>1.98333333333333</v>
      </c>
      <c r="G68" s="14">
        <f>SUMIFS('作业明细'!$H$8:$H$2197,'作业明细'!$B$8:$B$2197,A68)</f>
        <v>44.81</v>
      </c>
      <c r="H68" s="20">
        <f>D68/G68</f>
        <v>1235.81789779067</v>
      </c>
    </row>
    <row r="69">
      <c r="A69" s="34" t="n">
        <v>45719</v>
      </c>
      <c r="B69" s="25">
        <f>SUMIFS('作业明细'!$G$8:$G$2197,'作业明细'!$B$8:$B$2197,A69,'作业明细'!$C$8:$C$2197,"进港")</f>
        <v>21040</v>
      </c>
      <c r="C69" s="25">
        <f>SUMIFS('作业明细'!$G$8:$G$2197,'作业明细'!$B$8:$B$2197,A69,'作业明细'!$C$8:$C$2197,"出港")</f>
        <v>34206</v>
      </c>
      <c r="D69" s="25">
        <f>SUM(B69:C69)</f>
        <v>55246</v>
      </c>
      <c r="E69" s="35">
        <f>COUNTIFS('作业明细'!$B$8:$B$2197,A69)</f>
        <v>6</v>
      </c>
      <c r="F69" s="16">
        <f>AVERAGEIFS('作业明细'!$I$8:$I$2197,'作业明细'!$B$8:$B$2197,A69)</f>
        <v>2.26</v>
      </c>
      <c r="G69" s="16">
        <f>SUMIFS('作业明细'!$H$8:$H$2197,'作业明细'!$B$8:$B$2197,A69)</f>
        <v>47.27</v>
      </c>
      <c r="H69" s="25">
        <f>D69/G69</f>
        <v>1168.73281150836</v>
      </c>
    </row>
    <row r="70">
      <c r="A70" s="32" t="n">
        <v>45720</v>
      </c>
      <c r="B70" s="20">
        <f>SUMIFS('作业明细'!$G$8:$G$2197,'作业明细'!$B$8:$B$2197,A70,'作业明细'!$C$8:$C$2197,"进港")</f>
        <v>39250</v>
      </c>
      <c r="C70" s="20">
        <f>SUMIFS('作业明细'!$G$8:$G$2197,'作业明细'!$B$8:$B$2197,A70,'作业明细'!$C$8:$C$2197,"出港")</f>
        <v>9993</v>
      </c>
      <c r="D70" s="20">
        <f>SUM(B70:C70)</f>
        <v>49243</v>
      </c>
      <c r="E70" s="33">
        <f>COUNTIFS('作业明细'!$B$8:$B$2197,A70)</f>
        <v>6</v>
      </c>
      <c r="F70" s="14">
        <f>AVERAGEIFS('作业明细'!$I$8:$I$2197,'作业明细'!$B$8:$B$2197,A70)</f>
        <v>2.98</v>
      </c>
      <c r="G70" s="14">
        <f>SUMIFS('作业明细'!$H$8:$H$2197,'作业明细'!$B$8:$B$2197,A70)</f>
        <v>42.97</v>
      </c>
      <c r="H70" s="20">
        <f>D70/G70</f>
        <v>1145.98557132883</v>
      </c>
    </row>
    <row r="71">
      <c r="A71" s="34" t="n">
        <v>45721</v>
      </c>
      <c r="B71" s="25">
        <f>SUMIFS('作业明细'!$G$8:$G$2197,'作业明细'!$B$8:$B$2197,A71,'作业明细'!$C$8:$C$2197,"进港")</f>
        <v>42001</v>
      </c>
      <c r="C71" s="25">
        <f>SUMIFS('作业明细'!$G$8:$G$2197,'作业明细'!$B$8:$B$2197,A71,'作业明细'!$C$8:$C$2197,"出港")</f>
        <v>10794</v>
      </c>
      <c r="D71" s="25">
        <f>SUM(B71:C71)</f>
        <v>52795</v>
      </c>
      <c r="E71" s="35">
        <f>COUNTIFS('作业明细'!$B$8:$B$2197,A71)</f>
        <v>6</v>
      </c>
      <c r="F71" s="16">
        <f>AVERAGEIFS('作业明细'!$I$8:$I$2197,'作业明细'!$B$8:$B$2197,A71)</f>
        <v>2.965</v>
      </c>
      <c r="G71" s="16">
        <f>SUMIFS('作业明细'!$H$8:$H$2197,'作业明细'!$B$8:$B$2197,A71)</f>
        <v>41.7</v>
      </c>
      <c r="H71" s="25">
        <f>D71/G71</f>
        <v>1266.06714628297</v>
      </c>
    </row>
    <row r="72">
      <c r="A72" s="32" t="n">
        <v>45722</v>
      </c>
      <c r="B72" s="20">
        <f>SUMIFS('作业明细'!$G$8:$G$2197,'作业明细'!$B$8:$B$2197,A72,'作业明细'!$C$8:$C$2197,"进港")</f>
        <v>32245</v>
      </c>
      <c r="C72" s="20">
        <f>SUMIFS('作业明细'!$G$8:$G$2197,'作业明细'!$B$8:$B$2197,A72,'作业明细'!$C$8:$C$2197,"出港")</f>
        <v>25821</v>
      </c>
      <c r="D72" s="20">
        <f>SUM(B72:C72)</f>
        <v>58066</v>
      </c>
      <c r="E72" s="33">
        <f>COUNTIFS('作业明细'!$B$8:$B$2197,A72)</f>
        <v>6</v>
      </c>
      <c r="F72" s="14">
        <f>AVERAGEIFS('作业明细'!$I$8:$I$2197,'作业明细'!$B$8:$B$2197,A72)</f>
        <v>3.90333333333333</v>
      </c>
      <c r="G72" s="14">
        <f>SUMIFS('作业明细'!$H$8:$H$2197,'作业明细'!$B$8:$B$2197,A72)</f>
        <v>47.87</v>
      </c>
      <c r="H72" s="20">
        <f>D72/G72</f>
        <v>1212.99352412785</v>
      </c>
    </row>
    <row r="73">
      <c r="A73" s="34" t="n">
        <v>45723</v>
      </c>
      <c r="B73" s="25">
        <f>SUMIFS('作业明细'!$G$8:$G$2197,'作业明细'!$B$8:$B$2197,A73,'作业明细'!$C$8:$C$2197,"进港")</f>
        <v>23539</v>
      </c>
      <c r="C73" s="25">
        <f>SUMIFS('作业明细'!$G$8:$G$2197,'作业明细'!$B$8:$B$2197,A73,'作业明细'!$C$8:$C$2197,"出港")</f>
        <v>24860</v>
      </c>
      <c r="D73" s="25">
        <f>SUM(B73:C73)</f>
        <v>48399</v>
      </c>
      <c r="E73" s="35">
        <f>COUNTIFS('作业明细'!$B$8:$B$2197,A73)</f>
        <v>6</v>
      </c>
      <c r="F73" s="16">
        <f>AVERAGEIFS('作业明细'!$I$8:$I$2197,'作业明细'!$B$8:$B$2197,A73)</f>
        <v>2.655</v>
      </c>
      <c r="G73" s="16">
        <f>SUMIFS('作业明细'!$H$8:$H$2197,'作业明细'!$B$8:$B$2197,A73)</f>
        <v>39.94</v>
      </c>
      <c r="H73" s="25">
        <f>D73/G73</f>
        <v>1211.79268903355</v>
      </c>
    </row>
    <row r="74">
      <c r="A74" s="32" t="n">
        <v>45724</v>
      </c>
      <c r="B74" s="20">
        <f>SUMIFS('作业明细'!$G$8:$G$2197,'作业明细'!$B$8:$B$2197,A74,'作业明细'!$C$8:$C$2197,"进港")</f>
        <v>35832</v>
      </c>
      <c r="C74" s="20">
        <f>SUMIFS('作业明细'!$G$8:$G$2197,'作业明细'!$B$8:$B$2197,A74,'作业明细'!$C$8:$C$2197,"出港")</f>
        <v>17227</v>
      </c>
      <c r="D74" s="20">
        <f>SUM(B74:C74)</f>
        <v>53059</v>
      </c>
      <c r="E74" s="33">
        <f>COUNTIFS('作业明细'!$B$8:$B$2197,A74)</f>
        <v>6</v>
      </c>
      <c r="F74" s="14">
        <f>AVERAGEIFS('作业明细'!$I$8:$I$2197,'作业明细'!$B$8:$B$2197,A74)</f>
        <v>3.03</v>
      </c>
      <c r="G74" s="14">
        <f>SUMIFS('作业明细'!$H$8:$H$2197,'作业明细'!$B$8:$B$2197,A74)</f>
        <v>45.38</v>
      </c>
      <c r="H74" s="20">
        <f>D74/G74</f>
        <v>1169.21551344205</v>
      </c>
    </row>
    <row r="75">
      <c r="A75" s="34" t="n">
        <v>45725</v>
      </c>
      <c r="B75" s="25">
        <f>SUMIFS('作业明细'!$G$8:$G$2197,'作业明细'!$B$8:$B$2197,A75,'作业明细'!$C$8:$C$2197,"进港")</f>
        <v>37238</v>
      </c>
      <c r="C75" s="25">
        <f>SUMIFS('作业明细'!$G$8:$G$2197,'作业明细'!$B$8:$B$2197,A75,'作业明细'!$C$8:$C$2197,"出港")</f>
        <v>23460</v>
      </c>
      <c r="D75" s="25">
        <f>SUM(B75:C75)</f>
        <v>60698</v>
      </c>
      <c r="E75" s="35">
        <f>COUNTIFS('作业明细'!$B$8:$B$2197,A75)</f>
        <v>6</v>
      </c>
      <c r="F75" s="16">
        <f>AVERAGEIFS('作业明细'!$I$8:$I$2197,'作业明细'!$B$8:$B$2197,A75)</f>
        <v>2.26</v>
      </c>
      <c r="G75" s="16">
        <f>SUMIFS('作业明细'!$H$8:$H$2197,'作业明细'!$B$8:$B$2197,A75)</f>
        <v>55.57</v>
      </c>
      <c r="H75" s="25">
        <f>D75/G75</f>
        <v>1092.28000719813</v>
      </c>
    </row>
    <row r="76">
      <c r="A76" s="32" t="n">
        <v>45726</v>
      </c>
      <c r="B76" s="20">
        <f>SUMIFS('作业明细'!$G$8:$G$2197,'作业明细'!$B$8:$B$2197,A76,'作业明细'!$C$8:$C$2197,"进港")</f>
        <v>31439</v>
      </c>
      <c r="C76" s="20">
        <f>SUMIFS('作业明细'!$G$8:$G$2197,'作业明细'!$B$8:$B$2197,A76,'作业明细'!$C$8:$C$2197,"出港")</f>
        <v>20829</v>
      </c>
      <c r="D76" s="20">
        <f>SUM(B76:C76)</f>
        <v>52268</v>
      </c>
      <c r="E76" s="33">
        <f>COUNTIFS('作业明细'!$B$8:$B$2197,A76)</f>
        <v>6</v>
      </c>
      <c r="F76" s="14">
        <f>AVERAGEIFS('作业明细'!$I$8:$I$2197,'作业明细'!$B$8:$B$2197,A76)</f>
        <v>1.91166666666667</v>
      </c>
      <c r="G76" s="14">
        <f>SUMIFS('作业明细'!$H$8:$H$2197,'作业明细'!$B$8:$B$2197,A76)</f>
        <v>50.65</v>
      </c>
      <c r="H76" s="20">
        <f>D76/G76</f>
        <v>1031.94471865745</v>
      </c>
    </row>
    <row r="77">
      <c r="A77" s="34" t="n">
        <v>45727</v>
      </c>
      <c r="B77" s="25">
        <f>SUMIFS('作业明细'!$G$8:$G$2197,'作业明细'!$B$8:$B$2197,A77,'作业明细'!$C$8:$C$2197,"进港")</f>
        <v>35198</v>
      </c>
      <c r="C77" s="25">
        <f>SUMIFS('作业明细'!$G$8:$G$2197,'作业明细'!$B$8:$B$2197,A77,'作业明细'!$C$8:$C$2197,"出港")</f>
        <v>35851</v>
      </c>
      <c r="D77" s="25">
        <f>SUM(B77:C77)</f>
        <v>71049</v>
      </c>
      <c r="E77" s="35">
        <f>COUNTIFS('作业明细'!$B$8:$B$2197,A77)</f>
        <v>6</v>
      </c>
      <c r="F77" s="16">
        <f>AVERAGEIFS('作业明细'!$I$8:$I$2197,'作业明细'!$B$8:$B$2197,A77)</f>
        <v>1.915</v>
      </c>
      <c r="G77" s="16">
        <f>SUMIFS('作业明细'!$H$8:$H$2197,'作业明细'!$B$8:$B$2197,A77)</f>
        <v>60.86</v>
      </c>
      <c r="H77" s="25">
        <f>D77/G77</f>
        <v>1167.41702267499</v>
      </c>
    </row>
    <row r="78">
      <c r="A78" s="32" t="n">
        <v>45728</v>
      </c>
      <c r="B78" s="20">
        <f>SUMIFS('作业明细'!$G$8:$G$2197,'作业明细'!$B$8:$B$2197,A78,'作业明细'!$C$8:$C$2197,"进港")</f>
        <v>41040</v>
      </c>
      <c r="C78" s="20">
        <f>SUMIFS('作业明细'!$G$8:$G$2197,'作业明细'!$B$8:$B$2197,A78,'作业明细'!$C$8:$C$2197,"出港")</f>
        <v>13653</v>
      </c>
      <c r="D78" s="20">
        <f>SUM(B78:C78)</f>
        <v>54693</v>
      </c>
      <c r="E78" s="33">
        <f>COUNTIFS('作业明细'!$B$8:$B$2197,A78)</f>
        <v>6</v>
      </c>
      <c r="F78" s="14">
        <f>AVERAGEIFS('作业明细'!$I$8:$I$2197,'作业明细'!$B$8:$B$2197,A78)</f>
        <v>2.46</v>
      </c>
      <c r="G78" s="14">
        <f>SUMIFS('作业明细'!$H$8:$H$2197,'作业明细'!$B$8:$B$2197,A78)</f>
        <v>48.74</v>
      </c>
      <c r="H78" s="20">
        <f>D78/G78</f>
        <v>1122.13787443578</v>
      </c>
    </row>
    <row r="79">
      <c r="A79" s="34" t="n">
        <v>45729</v>
      </c>
      <c r="B79" s="25">
        <f>SUMIFS('作业明细'!$G$8:$G$2197,'作业明细'!$B$8:$B$2197,A79,'作业明细'!$C$8:$C$2197,"进港")</f>
        <v>48290</v>
      </c>
      <c r="C79" s="25">
        <f>SUMIFS('作业明细'!$G$8:$G$2197,'作业明细'!$B$8:$B$2197,A79,'作业明细'!$C$8:$C$2197,"出港")</f>
        <v>11877</v>
      </c>
      <c r="D79" s="25">
        <f>SUM(B79:C79)</f>
        <v>60167</v>
      </c>
      <c r="E79" s="35">
        <f>COUNTIFS('作业明细'!$B$8:$B$2197,A79)</f>
        <v>6</v>
      </c>
      <c r="F79" s="16">
        <f>AVERAGEIFS('作业明细'!$I$8:$I$2197,'作业明细'!$B$8:$B$2197,A79)</f>
        <v>2.65833333333333</v>
      </c>
      <c r="G79" s="16">
        <f>SUMIFS('作业明细'!$H$8:$H$2197,'作业明细'!$B$8:$B$2197,A79)</f>
        <v>52.18</v>
      </c>
      <c r="H79" s="25">
        <f>D79/G79</f>
        <v>1153.06630893062</v>
      </c>
    </row>
    <row r="80">
      <c r="A80" s="32" t="n">
        <v>45730</v>
      </c>
      <c r="B80" s="20">
        <f>SUMIFS('作业明细'!$G$8:$G$2197,'作业明细'!$B$8:$B$2197,A80,'作业明细'!$C$8:$C$2197,"进港")</f>
        <v>31242</v>
      </c>
      <c r="C80" s="20">
        <f>SUMIFS('作业明细'!$G$8:$G$2197,'作业明细'!$B$8:$B$2197,A80,'作业明细'!$C$8:$C$2197,"出港")</f>
        <v>22530</v>
      </c>
      <c r="D80" s="20">
        <f>SUM(B80:C80)</f>
        <v>53772</v>
      </c>
      <c r="E80" s="33">
        <f>COUNTIFS('作业明细'!$B$8:$B$2197,A80)</f>
        <v>6</v>
      </c>
      <c r="F80" s="14">
        <f>AVERAGEIFS('作业明细'!$I$8:$I$2197,'作业明细'!$B$8:$B$2197,A80)</f>
        <v>2.27166666666667</v>
      </c>
      <c r="G80" s="14">
        <f>SUMIFS('作业明细'!$H$8:$H$2197,'作业明细'!$B$8:$B$2197,A80)</f>
        <v>50.05</v>
      </c>
      <c r="H80" s="20">
        <f>D80/G80</f>
        <v>1074.36563436563</v>
      </c>
    </row>
    <row r="81">
      <c r="A81" s="34" t="n">
        <v>45731</v>
      </c>
      <c r="B81" s="25">
        <f>SUMIFS('作业明细'!$G$8:$G$2197,'作业明细'!$B$8:$B$2197,A81,'作业明细'!$C$8:$C$2197,"进港")</f>
        <v>37492</v>
      </c>
      <c r="C81" s="25">
        <f>SUMIFS('作业明细'!$G$8:$G$2197,'作业明细'!$B$8:$B$2197,A81,'作业明细'!$C$8:$C$2197,"出港")</f>
        <v>13426</v>
      </c>
      <c r="D81" s="25">
        <f>SUM(B81:C81)</f>
        <v>50918</v>
      </c>
      <c r="E81" s="35">
        <f>COUNTIFS('作业明细'!$B$8:$B$2197,A81)</f>
        <v>6</v>
      </c>
      <c r="F81" s="16">
        <f>AVERAGEIFS('作业明细'!$I$8:$I$2197,'作业明细'!$B$8:$B$2197,A81)</f>
        <v>2.605</v>
      </c>
      <c r="G81" s="16">
        <f>SUMIFS('作业明细'!$H$8:$H$2197,'作业明细'!$B$8:$B$2197,A81)</f>
        <v>42.25</v>
      </c>
      <c r="H81" s="25">
        <f>D81/G81</f>
        <v>1205.15976331361</v>
      </c>
    </row>
    <row r="82">
      <c r="A82" s="32" t="n">
        <v>45732</v>
      </c>
      <c r="B82" s="20">
        <f>SUMIFS('作业明细'!$G$8:$G$2197,'作业明细'!$B$8:$B$2197,A82,'作业明细'!$C$8:$C$2197,"进港")</f>
        <v>30027</v>
      </c>
      <c r="C82" s="20">
        <f>SUMIFS('作业明细'!$G$8:$G$2197,'作业明细'!$B$8:$B$2197,A82,'作业明细'!$C$8:$C$2197,"出港")</f>
        <v>13815</v>
      </c>
      <c r="D82" s="20">
        <f>SUM(B82:C82)</f>
        <v>43842</v>
      </c>
      <c r="E82" s="33">
        <f>COUNTIFS('作业明细'!$B$8:$B$2197,A82)</f>
        <v>6</v>
      </c>
      <c r="F82" s="14">
        <f>AVERAGEIFS('作业明细'!$I$8:$I$2197,'作业明细'!$B$8:$B$2197,A82)</f>
        <v>1.57333333333333</v>
      </c>
      <c r="G82" s="14">
        <f>SUMIFS('作业明细'!$H$8:$H$2197,'作业明细'!$B$8:$B$2197,A82)</f>
        <v>38.75</v>
      </c>
      <c r="H82" s="20">
        <f>D82/G82</f>
        <v>1131.4064516129</v>
      </c>
    </row>
    <row r="83">
      <c r="A83" s="34" t="n">
        <v>45733</v>
      </c>
      <c r="B83" s="25">
        <f>SUMIFS('作业明细'!$G$8:$G$2197,'作业明细'!$B$8:$B$2197,A83,'作业明细'!$C$8:$C$2197,"进港")</f>
        <v>61046</v>
      </c>
      <c r="C83" s="25">
        <f>SUMIFS('作业明细'!$G$8:$G$2197,'作业明细'!$B$8:$B$2197,A83,'作业明细'!$C$8:$C$2197,"出港")</f>
        <v>0</v>
      </c>
      <c r="D83" s="25">
        <f>SUM(B83:C83)</f>
        <v>61046</v>
      </c>
      <c r="E83" s="35">
        <f>COUNTIFS('作业明细'!$B$8:$B$2197,A83)</f>
        <v>6</v>
      </c>
      <c r="F83" s="16">
        <f>AVERAGEIFS('作业明细'!$I$8:$I$2197,'作业明细'!$B$8:$B$2197,A83)</f>
        <v>2.55833333333333</v>
      </c>
      <c r="G83" s="16">
        <f>SUMIFS('作业明细'!$H$8:$H$2197,'作业明细'!$B$8:$B$2197,A83)</f>
        <v>48.73</v>
      </c>
      <c r="H83" s="25">
        <f>D83/G83</f>
        <v>1252.73958547096</v>
      </c>
    </row>
    <row r="84">
      <c r="A84" s="32" t="n">
        <v>45734</v>
      </c>
      <c r="B84" s="20">
        <f>SUMIFS('作业明细'!$G$8:$G$2197,'作业明细'!$B$8:$B$2197,A84,'作业明细'!$C$8:$C$2197,"进港")</f>
        <v>32458</v>
      </c>
      <c r="C84" s="20">
        <f>SUMIFS('作业明细'!$G$8:$G$2197,'作业明细'!$B$8:$B$2197,A84,'作业明细'!$C$8:$C$2197,"出港")</f>
        <v>32288</v>
      </c>
      <c r="D84" s="20">
        <f>SUM(B84:C84)</f>
        <v>64746</v>
      </c>
      <c r="E84" s="33">
        <f>COUNTIFS('作业明细'!$B$8:$B$2197,A84)</f>
        <v>6</v>
      </c>
      <c r="F84" s="14">
        <f>AVERAGEIFS('作业明细'!$I$8:$I$2197,'作业明细'!$B$8:$B$2197,A84)</f>
        <v>2.01</v>
      </c>
      <c r="G84" s="14">
        <f>SUMIFS('作业明细'!$H$8:$H$2197,'作业明细'!$B$8:$B$2197,A84)</f>
        <v>58.6</v>
      </c>
      <c r="H84" s="20">
        <f>D84/G84</f>
        <v>1104.88054607509</v>
      </c>
    </row>
    <row r="85">
      <c r="A85" s="34" t="n">
        <v>45735</v>
      </c>
      <c r="B85" s="25">
        <f>SUMIFS('作业明细'!$G$8:$G$2197,'作业明细'!$B$8:$B$2197,A85,'作业明细'!$C$8:$C$2197,"进港")</f>
        <v>47000</v>
      </c>
      <c r="C85" s="25">
        <f>SUMIFS('作业明细'!$G$8:$G$2197,'作业明细'!$B$8:$B$2197,A85,'作业明细'!$C$8:$C$2197,"出港")</f>
        <v>10333</v>
      </c>
      <c r="D85" s="25">
        <f>SUM(B85:C85)</f>
        <v>57333</v>
      </c>
      <c r="E85" s="35">
        <f>COUNTIFS('作业明细'!$B$8:$B$2197,A85)</f>
        <v>6</v>
      </c>
      <c r="F85" s="16">
        <f>AVERAGEIFS('作业明细'!$I$8:$I$2197,'作业明细'!$B$8:$B$2197,A85)</f>
        <v>1.84</v>
      </c>
      <c r="G85" s="16">
        <f>SUMIFS('作业明细'!$H$8:$H$2197,'作业明细'!$B$8:$B$2197,A85)</f>
        <v>44.63</v>
      </c>
      <c r="H85" s="25">
        <f>D85/G85</f>
        <v>1284.62917320188</v>
      </c>
    </row>
    <row r="86">
      <c r="A86" s="32" t="n">
        <v>45736</v>
      </c>
      <c r="B86" s="20">
        <f>SUMIFS('作业明细'!$G$8:$G$2197,'作业明细'!$B$8:$B$2197,A86,'作业明细'!$C$8:$C$2197,"进港")</f>
        <v>47390</v>
      </c>
      <c r="C86" s="20">
        <f>SUMIFS('作业明细'!$G$8:$G$2197,'作业明细'!$B$8:$B$2197,A86,'作业明细'!$C$8:$C$2197,"出港")</f>
        <v>11222</v>
      </c>
      <c r="D86" s="20">
        <f>SUM(B86:C86)</f>
        <v>58612</v>
      </c>
      <c r="E86" s="33">
        <f>COUNTIFS('作业明细'!$B$8:$B$2197,A86)</f>
        <v>6</v>
      </c>
      <c r="F86" s="14">
        <f>AVERAGEIFS('作业明细'!$I$8:$I$2197,'作业明细'!$B$8:$B$2197,A86)</f>
        <v>2.78333333333333</v>
      </c>
      <c r="G86" s="14">
        <f>SUMIFS('作业明细'!$H$8:$H$2197,'作业明细'!$B$8:$B$2197,A86)</f>
        <v>50.58</v>
      </c>
      <c r="H86" s="20">
        <f>D86/G86</f>
        <v>1158.79794385132</v>
      </c>
    </row>
    <row r="87">
      <c r="A87" s="34" t="n">
        <v>45737</v>
      </c>
      <c r="B87" s="25">
        <f>SUMIFS('作业明细'!$G$8:$G$2197,'作业明细'!$B$8:$B$2197,A87,'作业明细'!$C$8:$C$2197,"进港")</f>
        <v>47826</v>
      </c>
      <c r="C87" s="25">
        <f>SUMIFS('作业明细'!$G$8:$G$2197,'作业明细'!$B$8:$B$2197,A87,'作业明细'!$C$8:$C$2197,"出港")</f>
        <v>12433</v>
      </c>
      <c r="D87" s="25">
        <f>SUM(B87:C87)</f>
        <v>60259</v>
      </c>
      <c r="E87" s="35">
        <f>COUNTIFS('作业明细'!$B$8:$B$2197,A87)</f>
        <v>6</v>
      </c>
      <c r="F87" s="16">
        <f>AVERAGEIFS('作业明细'!$I$8:$I$2197,'作业明细'!$B$8:$B$2197,A87)</f>
        <v>2.29666666666667</v>
      </c>
      <c r="G87" s="16">
        <f>SUMIFS('作业明细'!$H$8:$H$2197,'作业明细'!$B$8:$B$2197,A87)</f>
        <v>54.01</v>
      </c>
      <c r="H87" s="25">
        <f>D87/G87</f>
        <v>1115.70079614886</v>
      </c>
    </row>
    <row r="88">
      <c r="A88" s="32" t="n">
        <v>45738</v>
      </c>
      <c r="B88" s="20">
        <f>SUMIFS('作业明细'!$G$8:$G$2197,'作业明细'!$B$8:$B$2197,A88,'作业明细'!$C$8:$C$2197,"进港")</f>
        <v>35450</v>
      </c>
      <c r="C88" s="20">
        <f>SUMIFS('作业明细'!$G$8:$G$2197,'作业明细'!$B$8:$B$2197,A88,'作业明细'!$C$8:$C$2197,"出港")</f>
        <v>32461</v>
      </c>
      <c r="D88" s="20">
        <f>SUM(B88:C88)</f>
        <v>67911</v>
      </c>
      <c r="E88" s="33">
        <f>COUNTIFS('作业明细'!$B$8:$B$2197,A88)</f>
        <v>6</v>
      </c>
      <c r="F88" s="14">
        <f>AVERAGEIFS('作业明细'!$I$8:$I$2197,'作业明细'!$B$8:$B$2197,A88)</f>
        <v>3.03333333333333</v>
      </c>
      <c r="G88" s="14">
        <f>SUMIFS('作业明细'!$H$8:$H$2197,'作业明细'!$B$8:$B$2197,A88)</f>
        <v>58.48</v>
      </c>
      <c r="H88" s="20">
        <f>D88/G88</f>
        <v>1161.26880984952</v>
      </c>
    </row>
    <row r="89">
      <c r="A89" s="34" t="n">
        <v>45739</v>
      </c>
      <c r="B89" s="25">
        <f>SUMIFS('作业明细'!$G$8:$G$2197,'作业明细'!$B$8:$B$2197,A89,'作业明细'!$C$8:$C$2197,"进港")</f>
        <v>26463</v>
      </c>
      <c r="C89" s="25">
        <f>SUMIFS('作业明细'!$G$8:$G$2197,'作业明细'!$B$8:$B$2197,A89,'作业明细'!$C$8:$C$2197,"出港")</f>
        <v>39158</v>
      </c>
      <c r="D89" s="25">
        <f>SUM(B89:C89)</f>
        <v>65621</v>
      </c>
      <c r="E89" s="35">
        <f>COUNTIFS('作业明细'!$B$8:$B$2197,A89)</f>
        <v>6</v>
      </c>
      <c r="F89" s="16">
        <f>AVERAGEIFS('作业明细'!$I$8:$I$2197,'作业明细'!$B$8:$B$2197,A89)</f>
        <v>2.785</v>
      </c>
      <c r="G89" s="16">
        <f>SUMIFS('作业明细'!$H$8:$H$2197,'作业明细'!$B$8:$B$2197,A89)</f>
        <v>53.52</v>
      </c>
      <c r="H89" s="25">
        <f>D89/G89</f>
        <v>1226.1023916293</v>
      </c>
    </row>
    <row r="90">
      <c r="A90" s="32" t="n">
        <v>45740</v>
      </c>
      <c r="B90" s="20">
        <f>SUMIFS('作业明细'!$G$8:$G$2197,'作业明细'!$B$8:$B$2197,A90,'作业明细'!$C$8:$C$2197,"进港")</f>
        <v>47792</v>
      </c>
      <c r="C90" s="20">
        <f>SUMIFS('作业明细'!$G$8:$G$2197,'作业明细'!$B$8:$B$2197,A90,'作业明细'!$C$8:$C$2197,"出港")</f>
        <v>6809</v>
      </c>
      <c r="D90" s="20">
        <f>SUM(B90:C90)</f>
        <v>54601</v>
      </c>
      <c r="E90" s="33">
        <f>COUNTIFS('作业明细'!$B$8:$B$2197,A90)</f>
        <v>6</v>
      </c>
      <c r="F90" s="14">
        <f>AVERAGEIFS('作业明细'!$I$8:$I$2197,'作业明细'!$B$8:$B$2197,A90)</f>
        <v>1.84166666666667</v>
      </c>
      <c r="G90" s="14">
        <f>SUMIFS('作业明细'!$H$8:$H$2197,'作业明细'!$B$8:$B$2197,A90)</f>
        <v>48.76</v>
      </c>
      <c r="H90" s="20">
        <f>D90/G90</f>
        <v>1119.7908121411</v>
      </c>
    </row>
    <row r="91">
      <c r="A91" s="34" t="n">
        <v>45741</v>
      </c>
      <c r="B91" s="25">
        <f>SUMIFS('作业明细'!$G$8:$G$2197,'作业明细'!$B$8:$B$2197,A91,'作业明细'!$C$8:$C$2197,"进港")</f>
        <v>38137</v>
      </c>
      <c r="C91" s="25">
        <f>SUMIFS('作业明细'!$G$8:$G$2197,'作业明细'!$B$8:$B$2197,A91,'作业明细'!$C$8:$C$2197,"出港")</f>
        <v>26900</v>
      </c>
      <c r="D91" s="25">
        <f>SUM(B91:C91)</f>
        <v>65037</v>
      </c>
      <c r="E91" s="35">
        <f>COUNTIFS('作业明细'!$B$8:$B$2197,A91)</f>
        <v>6</v>
      </c>
      <c r="F91" s="16">
        <f>AVERAGEIFS('作业明细'!$I$8:$I$2197,'作业明细'!$B$8:$B$2197,A91)</f>
        <v>1.83833333333333</v>
      </c>
      <c r="G91" s="16">
        <f>SUMIFS('作业明细'!$H$8:$H$2197,'作业明细'!$B$8:$B$2197,A91)</f>
        <v>51.63</v>
      </c>
      <c r="H91" s="25">
        <f>D91/G91</f>
        <v>1259.67460778617</v>
      </c>
    </row>
    <row r="92">
      <c r="A92" s="32" t="n">
        <v>45742</v>
      </c>
      <c r="B92" s="20">
        <f>SUMIFS('作业明细'!$G$8:$G$2197,'作业明细'!$B$8:$B$2197,A92,'作业明细'!$C$8:$C$2197,"进港")</f>
        <v>38328</v>
      </c>
      <c r="C92" s="20">
        <f>SUMIFS('作业明细'!$G$8:$G$2197,'作业明细'!$B$8:$B$2197,A92,'作业明细'!$C$8:$C$2197,"出港")</f>
        <v>31628</v>
      </c>
      <c r="D92" s="20">
        <f>SUM(B92:C92)</f>
        <v>69956</v>
      </c>
      <c r="E92" s="33">
        <f>COUNTIFS('作业明细'!$B$8:$B$2197,A92)</f>
        <v>6</v>
      </c>
      <c r="F92" s="14">
        <f>AVERAGEIFS('作业明细'!$I$8:$I$2197,'作业明细'!$B$8:$B$2197,A92)</f>
        <v>2.32166666666667</v>
      </c>
      <c r="G92" s="14">
        <f>SUMIFS('作业明细'!$H$8:$H$2197,'作业明细'!$B$8:$B$2197,A92)</f>
        <v>58.69</v>
      </c>
      <c r="H92" s="20">
        <f>D92/G92</f>
        <v>1191.95774407906</v>
      </c>
    </row>
    <row r="93">
      <c r="A93" s="34" t="n">
        <v>45743</v>
      </c>
      <c r="B93" s="25">
        <f>SUMIFS('作业明细'!$G$8:$G$2197,'作业明细'!$B$8:$B$2197,A93,'作业明细'!$C$8:$C$2197,"进港")</f>
        <v>33402</v>
      </c>
      <c r="C93" s="25">
        <f>SUMIFS('作业明细'!$G$8:$G$2197,'作业明细'!$B$8:$B$2197,A93,'作业明细'!$C$8:$C$2197,"出港")</f>
        <v>18127</v>
      </c>
      <c r="D93" s="25">
        <f>SUM(B93:C93)</f>
        <v>51529</v>
      </c>
      <c r="E93" s="35">
        <f>COUNTIFS('作业明细'!$B$8:$B$2197,A93)</f>
        <v>6</v>
      </c>
      <c r="F93" s="16">
        <f>AVERAGEIFS('作业明细'!$I$8:$I$2197,'作业明细'!$B$8:$B$2197,A93)</f>
        <v>1.05</v>
      </c>
      <c r="G93" s="16">
        <f>SUMIFS('作业明细'!$H$8:$H$2197,'作业明细'!$B$8:$B$2197,A93)</f>
        <v>44.57</v>
      </c>
      <c r="H93" s="25">
        <f>D93/G93</f>
        <v>1156.13641462867</v>
      </c>
    </row>
    <row r="94">
      <c r="A94" s="32" t="n">
        <v>45744</v>
      </c>
      <c r="B94" s="20">
        <f>SUMIFS('作业明细'!$G$8:$G$2197,'作业明细'!$B$8:$B$2197,A94,'作业明细'!$C$8:$C$2197,"进港")</f>
        <v>17920</v>
      </c>
      <c r="C94" s="20">
        <f>SUMIFS('作业明细'!$G$8:$G$2197,'作业明细'!$B$8:$B$2197,A94,'作业明细'!$C$8:$C$2197,"出港")</f>
        <v>31032</v>
      </c>
      <c r="D94" s="20">
        <f>SUM(B94:C94)</f>
        <v>48952</v>
      </c>
      <c r="E94" s="33">
        <f>COUNTIFS('作业明细'!$B$8:$B$2197,A94)</f>
        <v>6</v>
      </c>
      <c r="F94" s="14">
        <f>AVERAGEIFS('作业明细'!$I$8:$I$2197,'作业明细'!$B$8:$B$2197,A94)</f>
        <v>2.91666666666667</v>
      </c>
      <c r="G94" s="14">
        <f>SUMIFS('作业明细'!$H$8:$H$2197,'作业明细'!$B$8:$B$2197,A94)</f>
        <v>46.23</v>
      </c>
      <c r="H94" s="20">
        <f>D94/G94</f>
        <v>1058.87951546615</v>
      </c>
    </row>
    <row r="95">
      <c r="A95" s="34" t="n">
        <v>45745</v>
      </c>
      <c r="B95" s="25">
        <f>SUMIFS('作业明细'!$G$8:$G$2197,'作业明细'!$B$8:$B$2197,A95,'作业明细'!$C$8:$C$2197,"进港")</f>
        <v>32787</v>
      </c>
      <c r="C95" s="25">
        <f>SUMIFS('作业明细'!$G$8:$G$2197,'作业明细'!$B$8:$B$2197,A95,'作业明细'!$C$8:$C$2197,"出港")</f>
        <v>24168</v>
      </c>
      <c r="D95" s="25">
        <f>SUM(B95:C95)</f>
        <v>56955</v>
      </c>
      <c r="E95" s="35">
        <f>COUNTIFS('作业明细'!$B$8:$B$2197,A95)</f>
        <v>6</v>
      </c>
      <c r="F95" s="16">
        <f>AVERAGEIFS('作业明细'!$I$8:$I$2197,'作业明细'!$B$8:$B$2197,A95)</f>
        <v>2.99333333333333</v>
      </c>
      <c r="G95" s="16">
        <f>SUMIFS('作业明细'!$H$8:$H$2197,'作业明细'!$B$8:$B$2197,A95)</f>
        <v>49.8</v>
      </c>
      <c r="H95" s="25">
        <f>D95/G95</f>
        <v>1143.67469879518</v>
      </c>
    </row>
    <row r="96">
      <c r="A96" s="32" t="n">
        <v>45746</v>
      </c>
      <c r="B96" s="20">
        <f>SUMIFS('作业明细'!$G$8:$G$2197,'作业明细'!$B$8:$B$2197,A96,'作业明细'!$C$8:$C$2197,"进港")</f>
        <v>48892</v>
      </c>
      <c r="C96" s="20">
        <f>SUMIFS('作业明细'!$G$8:$G$2197,'作业明细'!$B$8:$B$2197,A96,'作业明细'!$C$8:$C$2197,"出港")</f>
        <v>6355</v>
      </c>
      <c r="D96" s="20">
        <f>SUM(B96:C96)</f>
        <v>55247</v>
      </c>
      <c r="E96" s="33">
        <f>COUNTIFS('作业明细'!$B$8:$B$2197,A96)</f>
        <v>6</v>
      </c>
      <c r="F96" s="14">
        <f>AVERAGEIFS('作业明细'!$I$8:$I$2197,'作业明细'!$B$8:$B$2197,A96)</f>
        <v>3.08666666666667</v>
      </c>
      <c r="G96" s="14">
        <f>SUMIFS('作业明细'!$H$8:$H$2197,'作业明细'!$B$8:$B$2197,A96)</f>
        <v>45.75</v>
      </c>
      <c r="H96" s="20">
        <f>D96/G96</f>
        <v>1207.58469945355</v>
      </c>
    </row>
    <row r="97">
      <c r="A97" s="34" t="n">
        <v>45747</v>
      </c>
      <c r="B97" s="25">
        <f>SUMIFS('作业明细'!$G$8:$G$2197,'作业明细'!$B$8:$B$2197,A97,'作业明细'!$C$8:$C$2197,"进港")</f>
        <v>26013</v>
      </c>
      <c r="C97" s="25">
        <f>SUMIFS('作业明细'!$G$8:$G$2197,'作业明细'!$B$8:$B$2197,A97,'作业明细'!$C$8:$C$2197,"出港")</f>
        <v>25699</v>
      </c>
      <c r="D97" s="25">
        <f>SUM(B97:C97)</f>
        <v>51712</v>
      </c>
      <c r="E97" s="35">
        <f>COUNTIFS('作业明细'!$B$8:$B$2197,A97)</f>
        <v>6</v>
      </c>
      <c r="F97" s="16">
        <f>AVERAGEIFS('作业明细'!$I$8:$I$2197,'作业明细'!$B$8:$B$2197,A97)</f>
        <v>1.94</v>
      </c>
      <c r="G97" s="16">
        <f>SUMIFS('作业明细'!$H$8:$H$2197,'作业明细'!$B$8:$B$2197,A97)</f>
        <v>41.68</v>
      </c>
      <c r="H97" s="25">
        <f>D97/G97</f>
        <v>1240.69097888676</v>
      </c>
    </row>
    <row r="98">
      <c r="A98" s="32" t="n">
        <v>45748</v>
      </c>
      <c r="B98" s="20">
        <f>SUMIFS('作业明细'!$G$8:$G$2197,'作业明细'!$B$8:$B$2197,A98,'作业明细'!$C$8:$C$2197,"进港")</f>
        <v>35748</v>
      </c>
      <c r="C98" s="20">
        <f>SUMIFS('作业明细'!$G$8:$G$2197,'作业明细'!$B$8:$B$2197,A98,'作业明细'!$C$8:$C$2197,"出港")</f>
        <v>15265</v>
      </c>
      <c r="D98" s="20">
        <f>SUM(B98:C98)</f>
        <v>51013</v>
      </c>
      <c r="E98" s="33">
        <f>COUNTIFS('作业明细'!$B$8:$B$2197,A98)</f>
        <v>6</v>
      </c>
      <c r="F98" s="14">
        <f>AVERAGEIFS('作业明细'!$I$8:$I$2197,'作业明细'!$B$8:$B$2197,A98)</f>
        <v>2.67666666666667</v>
      </c>
      <c r="G98" s="14">
        <f>SUMIFS('作业明细'!$H$8:$H$2197,'作业明细'!$B$8:$B$2197,A98)</f>
        <v>42.58</v>
      </c>
      <c r="H98" s="20">
        <f>D98/G98</f>
        <v>1198.05072804133</v>
      </c>
    </row>
    <row r="99">
      <c r="A99" s="34" t="n">
        <v>45749</v>
      </c>
      <c r="B99" s="25">
        <f>SUMIFS('作业明细'!$G$8:$G$2197,'作业明细'!$B$8:$B$2197,A99,'作业明细'!$C$8:$C$2197,"进港")</f>
        <v>40586</v>
      </c>
      <c r="C99" s="25">
        <f>SUMIFS('作业明细'!$G$8:$G$2197,'作业明细'!$B$8:$B$2197,A99,'作业明细'!$C$8:$C$2197,"出港")</f>
        <v>13558</v>
      </c>
      <c r="D99" s="25">
        <f>SUM(B99:C99)</f>
        <v>54144</v>
      </c>
      <c r="E99" s="35">
        <f>COUNTIFS('作业明细'!$B$8:$B$2197,A99)</f>
        <v>6</v>
      </c>
      <c r="F99" s="16">
        <f>AVERAGEIFS('作业明细'!$I$8:$I$2197,'作业明细'!$B$8:$B$2197,A99)</f>
        <v>3.43333333333333</v>
      </c>
      <c r="G99" s="16">
        <f>SUMIFS('作业明细'!$H$8:$H$2197,'作业明细'!$B$8:$B$2197,A99)</f>
        <v>47.72</v>
      </c>
      <c r="H99" s="25">
        <f>D99/G99</f>
        <v>1134.61860854987</v>
      </c>
    </row>
    <row r="100">
      <c r="A100" s="32" t="n">
        <v>45750</v>
      </c>
      <c r="B100" s="20">
        <f>SUMIFS('作业明细'!$G$8:$G$2197,'作业明细'!$B$8:$B$2197,A100,'作业明细'!$C$8:$C$2197,"进港")</f>
        <v>25898</v>
      </c>
      <c r="C100" s="20">
        <f>SUMIFS('作业明细'!$G$8:$G$2197,'作业明细'!$B$8:$B$2197,A100,'作业明细'!$C$8:$C$2197,"出港")</f>
        <v>25630</v>
      </c>
      <c r="D100" s="20">
        <f>SUM(B100:C100)</f>
        <v>51528</v>
      </c>
      <c r="E100" s="33">
        <f>COUNTIFS('作业明细'!$B$8:$B$2197,A100)</f>
        <v>6</v>
      </c>
      <c r="F100" s="14">
        <f>AVERAGEIFS('作业明细'!$I$8:$I$2197,'作业明细'!$B$8:$B$2197,A100)</f>
        <v>3.18333333333333</v>
      </c>
      <c r="G100" s="14">
        <f>SUMIFS('作业明细'!$H$8:$H$2197,'作业明细'!$B$8:$B$2197,A100)</f>
        <v>43.84</v>
      </c>
      <c r="H100" s="20">
        <f>D100/G100</f>
        <v>1175.36496350365</v>
      </c>
    </row>
    <row r="101">
      <c r="A101" s="34" t="n">
        <v>45751</v>
      </c>
      <c r="B101" s="25">
        <f>SUMIFS('作业明细'!$G$8:$G$2197,'作业明细'!$B$8:$B$2197,A101,'作业明细'!$C$8:$C$2197,"进港")</f>
        <v>27000</v>
      </c>
      <c r="C101" s="25">
        <f>SUMIFS('作业明细'!$G$8:$G$2197,'作业明细'!$B$8:$B$2197,A101,'作业明细'!$C$8:$C$2197,"出港")</f>
        <v>36603</v>
      </c>
      <c r="D101" s="25">
        <f>SUM(B101:C101)</f>
        <v>63603</v>
      </c>
      <c r="E101" s="35">
        <f>COUNTIFS('作业明细'!$B$8:$B$2197,A101)</f>
        <v>6</v>
      </c>
      <c r="F101" s="16">
        <f>AVERAGEIFS('作业明细'!$I$8:$I$2197,'作业明细'!$B$8:$B$2197,A101)</f>
        <v>2.32</v>
      </c>
      <c r="G101" s="16">
        <f>SUMIFS('作业明细'!$H$8:$H$2197,'作业明细'!$B$8:$B$2197,A101)</f>
        <v>54.69</v>
      </c>
      <c r="H101" s="25">
        <f>D101/G101</f>
        <v>1162.97312122874</v>
      </c>
    </row>
    <row r="102">
      <c r="A102" s="32" t="n">
        <v>45752</v>
      </c>
      <c r="B102" s="20">
        <f>SUMIFS('作业明细'!$G$8:$G$2197,'作业明细'!$B$8:$B$2197,A102,'作业明细'!$C$8:$C$2197,"进港")</f>
        <v>62480</v>
      </c>
      <c r="C102" s="20">
        <f>SUMIFS('作业明细'!$G$8:$G$2197,'作业明细'!$B$8:$B$2197,A102,'作业明细'!$C$8:$C$2197,"出港")</f>
        <v>17803</v>
      </c>
      <c r="D102" s="20">
        <f>SUM(B102:C102)</f>
        <v>80283</v>
      </c>
      <c r="E102" s="33">
        <f>COUNTIFS('作业明细'!$B$8:$B$2197,A102)</f>
        <v>6</v>
      </c>
      <c r="F102" s="14">
        <f>AVERAGEIFS('作业明细'!$I$8:$I$2197,'作业明细'!$B$8:$B$2197,A102)</f>
        <v>2.695</v>
      </c>
      <c r="G102" s="14">
        <f>SUMIFS('作业明细'!$H$8:$H$2197,'作业明细'!$B$8:$B$2197,A102)</f>
        <v>74.77</v>
      </c>
      <c r="H102" s="20">
        <f>D102/G102</f>
        <v>1073.73278052695</v>
      </c>
    </row>
    <row r="103">
      <c r="A103" s="34" t="n">
        <v>45753</v>
      </c>
      <c r="B103" s="25">
        <f>SUMIFS('作业明细'!$G$8:$G$2197,'作业明细'!$B$8:$B$2197,A103,'作业明细'!$C$8:$C$2197,"进港")</f>
        <v>60647</v>
      </c>
      <c r="C103" s="25">
        <f>SUMIFS('作业明细'!$G$8:$G$2197,'作业明细'!$B$8:$B$2197,A103,'作业明细'!$C$8:$C$2197,"出港")</f>
        <v>18976</v>
      </c>
      <c r="D103" s="25">
        <f>SUM(B103:C103)</f>
        <v>79623</v>
      </c>
      <c r="E103" s="35">
        <f>COUNTIFS('作业明细'!$B$8:$B$2197,A103)</f>
        <v>6</v>
      </c>
      <c r="F103" s="16">
        <f>AVERAGEIFS('作业明细'!$I$8:$I$2197,'作业明细'!$B$8:$B$2197,A103)</f>
        <v>2.00666666666667</v>
      </c>
      <c r="G103" s="16">
        <f>SUMIFS('作业明细'!$H$8:$H$2197,'作业明细'!$B$8:$B$2197,A103)</f>
        <v>71.68</v>
      </c>
      <c r="H103" s="25">
        <f>D103/G103</f>
        <v>1110.81194196429</v>
      </c>
    </row>
    <row r="104">
      <c r="A104" s="32" t="n">
        <v>45754</v>
      </c>
      <c r="B104" s="20">
        <f>SUMIFS('作业明细'!$G$8:$G$2197,'作业明细'!$B$8:$B$2197,A104,'作业明细'!$C$8:$C$2197,"进港")</f>
        <v>31711</v>
      </c>
      <c r="C104" s="20">
        <f>SUMIFS('作业明细'!$G$8:$G$2197,'作业明细'!$B$8:$B$2197,A104,'作业明细'!$C$8:$C$2197,"出港")</f>
        <v>28759</v>
      </c>
      <c r="D104" s="20">
        <f>SUM(B104:C104)</f>
        <v>60470</v>
      </c>
      <c r="E104" s="33">
        <f>COUNTIFS('作业明细'!$B$8:$B$2197,A104)</f>
        <v>6</v>
      </c>
      <c r="F104" s="14">
        <f>AVERAGEIFS('作业明细'!$I$8:$I$2197,'作业明细'!$B$8:$B$2197,A104)</f>
        <v>1.71</v>
      </c>
      <c r="G104" s="14">
        <f>SUMIFS('作业明细'!$H$8:$H$2197,'作业明细'!$B$8:$B$2197,A104)</f>
        <v>50.24</v>
      </c>
      <c r="H104" s="20">
        <f>D104/G104</f>
        <v>1203.62261146497</v>
      </c>
    </row>
    <row r="105">
      <c r="A105" s="34" t="n">
        <v>45755</v>
      </c>
      <c r="B105" s="25">
        <f>SUMIFS('作业明细'!$G$8:$G$2197,'作业明细'!$B$8:$B$2197,A105,'作业明细'!$C$8:$C$2197,"进港")</f>
        <v>34040</v>
      </c>
      <c r="C105" s="25">
        <f>SUMIFS('作业明细'!$G$8:$G$2197,'作业明细'!$B$8:$B$2197,A105,'作业明细'!$C$8:$C$2197,"出港")</f>
        <v>21794</v>
      </c>
      <c r="D105" s="25">
        <f>SUM(B105:C105)</f>
        <v>55834</v>
      </c>
      <c r="E105" s="35">
        <f>COUNTIFS('作业明细'!$B$8:$B$2197,A105)</f>
        <v>6</v>
      </c>
      <c r="F105" s="16">
        <f>AVERAGEIFS('作业明细'!$I$8:$I$2197,'作业明细'!$B$8:$B$2197,A105)</f>
        <v>1.74666666666667</v>
      </c>
      <c r="G105" s="16">
        <f>SUMIFS('作业明细'!$H$8:$H$2197,'作业明细'!$B$8:$B$2197,A105)</f>
        <v>47.42</v>
      </c>
      <c r="H105" s="25">
        <f>D105/G105</f>
        <v>1177.4356811472</v>
      </c>
    </row>
    <row r="106">
      <c r="A106" s="32" t="n">
        <v>45756</v>
      </c>
      <c r="B106" s="20">
        <f>SUMIFS('作业明细'!$G$8:$G$2197,'作业明细'!$B$8:$B$2197,A106,'作业明细'!$C$8:$C$2197,"进港")</f>
        <v>26230</v>
      </c>
      <c r="C106" s="20">
        <f>SUMIFS('作业明细'!$G$8:$G$2197,'作业明细'!$B$8:$B$2197,A106,'作业明细'!$C$8:$C$2197,"出港")</f>
        <v>31379</v>
      </c>
      <c r="D106" s="20">
        <f>SUM(B106:C106)</f>
        <v>57609</v>
      </c>
      <c r="E106" s="33">
        <f>COUNTIFS('作业明细'!$B$8:$B$2197,A106)</f>
        <v>6</v>
      </c>
      <c r="F106" s="14">
        <f>AVERAGEIFS('作业明细'!$I$8:$I$2197,'作业明细'!$B$8:$B$2197,A106)</f>
        <v>2.645</v>
      </c>
      <c r="G106" s="14">
        <f>SUMIFS('作业明细'!$H$8:$H$2197,'作业明细'!$B$8:$B$2197,A106)</f>
        <v>48.3</v>
      </c>
      <c r="H106" s="20">
        <f>D106/G106</f>
        <v>1192.73291925466</v>
      </c>
    </row>
    <row r="107">
      <c r="A107" s="34" t="n">
        <v>45757</v>
      </c>
      <c r="B107" s="25">
        <f>SUMIFS('作业明细'!$G$8:$G$2197,'作业明细'!$B$8:$B$2197,A107,'作业明细'!$C$8:$C$2197,"进港")</f>
        <v>37387</v>
      </c>
      <c r="C107" s="25">
        <f>SUMIFS('作业明细'!$G$8:$G$2197,'作业明细'!$B$8:$B$2197,A107,'作业明细'!$C$8:$C$2197,"出港")</f>
        <v>22674</v>
      </c>
      <c r="D107" s="25">
        <f>SUM(B107:C107)</f>
        <v>60061</v>
      </c>
      <c r="E107" s="35">
        <f>COUNTIFS('作业明细'!$B$8:$B$2197,A107)</f>
        <v>6</v>
      </c>
      <c r="F107" s="16">
        <f>AVERAGEIFS('作业明细'!$I$8:$I$2197,'作业明细'!$B$8:$B$2197,A107)</f>
        <v>4.83166666666667</v>
      </c>
      <c r="G107" s="16">
        <f>SUMIFS('作业明细'!$H$8:$H$2197,'作业明细'!$B$8:$B$2197,A107)</f>
        <v>53.28</v>
      </c>
      <c r="H107" s="25">
        <f>D107/G107</f>
        <v>1127.27102102102</v>
      </c>
    </row>
    <row r="108">
      <c r="A108" s="32" t="n">
        <v>45758</v>
      </c>
      <c r="B108" s="20">
        <f>SUMIFS('作业明细'!$G$8:$G$2197,'作业明细'!$B$8:$B$2197,A108,'作业明细'!$C$8:$C$2197,"进港")</f>
        <v>31397</v>
      </c>
      <c r="C108" s="20">
        <f>SUMIFS('作业明细'!$G$8:$G$2197,'作业明细'!$B$8:$B$2197,A108,'作业明细'!$C$8:$C$2197,"出港")</f>
        <v>17673</v>
      </c>
      <c r="D108" s="20">
        <f>SUM(B108:C108)</f>
        <v>49070</v>
      </c>
      <c r="E108" s="33">
        <f>COUNTIFS('作业明细'!$B$8:$B$2197,A108)</f>
        <v>6</v>
      </c>
      <c r="F108" s="14">
        <f>AVERAGEIFS('作业明细'!$I$8:$I$2197,'作业明细'!$B$8:$B$2197,A108)</f>
        <v>3.45166666666667</v>
      </c>
      <c r="G108" s="14">
        <f>SUMIFS('作业明细'!$H$8:$H$2197,'作业明细'!$B$8:$B$2197,A108)</f>
        <v>40.49</v>
      </c>
      <c r="H108" s="20">
        <f>D108/G108</f>
        <v>1211.90417387009</v>
      </c>
    </row>
    <row r="109">
      <c r="A109" s="34" t="n">
        <v>45759</v>
      </c>
      <c r="B109" s="25">
        <f>SUMIFS('作业明细'!$G$8:$G$2197,'作业明细'!$B$8:$B$2197,A109,'作业明细'!$C$8:$C$2197,"进港")</f>
        <v>55188</v>
      </c>
      <c r="C109" s="25">
        <f>SUMIFS('作业明细'!$G$8:$G$2197,'作业明细'!$B$8:$B$2197,A109,'作业明细'!$C$8:$C$2197,"出港")</f>
        <v>9992</v>
      </c>
      <c r="D109" s="25">
        <f>SUM(B109:C109)</f>
        <v>65180</v>
      </c>
      <c r="E109" s="35">
        <f>COUNTIFS('作业明细'!$B$8:$B$2197,A109)</f>
        <v>6</v>
      </c>
      <c r="F109" s="16">
        <f>AVERAGEIFS('作业明细'!$I$8:$I$2197,'作业明细'!$B$8:$B$2197,A109)</f>
        <v>3.75333333333333</v>
      </c>
      <c r="G109" s="16">
        <f>SUMIFS('作业明细'!$H$8:$H$2197,'作业明细'!$B$8:$B$2197,A109)</f>
        <v>51.47</v>
      </c>
      <c r="H109" s="25">
        <f>D109/G109</f>
        <v>1266.3687585001</v>
      </c>
    </row>
    <row r="110">
      <c r="A110" s="32" t="n">
        <v>45760</v>
      </c>
      <c r="B110" s="20">
        <f>SUMIFS('作业明细'!$G$8:$G$2197,'作业明细'!$B$8:$B$2197,A110,'作业明细'!$C$8:$C$2197,"进港")</f>
        <v>34598</v>
      </c>
      <c r="C110" s="20">
        <f>SUMIFS('作业明细'!$G$8:$G$2197,'作业明细'!$B$8:$B$2197,A110,'作业明细'!$C$8:$C$2197,"出港")</f>
        <v>20448</v>
      </c>
      <c r="D110" s="20">
        <f>SUM(B110:C110)</f>
        <v>55046</v>
      </c>
      <c r="E110" s="33">
        <f>COUNTIFS('作业明细'!$B$8:$B$2197,A110)</f>
        <v>6</v>
      </c>
      <c r="F110" s="14">
        <f>AVERAGEIFS('作业明细'!$I$8:$I$2197,'作业明细'!$B$8:$B$2197,A110)</f>
        <v>2.07666666666667</v>
      </c>
      <c r="G110" s="14">
        <f>SUMIFS('作业明细'!$H$8:$H$2197,'作业明细'!$B$8:$B$2197,A110)</f>
        <v>45.12</v>
      </c>
      <c r="H110" s="20">
        <f>D110/G110</f>
        <v>1219.99113475177</v>
      </c>
    </row>
    <row r="111">
      <c r="A111" s="34" t="n">
        <v>45761</v>
      </c>
      <c r="B111" s="25">
        <f>SUMIFS('作业明细'!$G$8:$G$2197,'作业明细'!$B$8:$B$2197,A111,'作业明细'!$C$8:$C$2197,"进港")</f>
        <v>46883</v>
      </c>
      <c r="C111" s="25">
        <f>SUMIFS('作业明细'!$G$8:$G$2197,'作业明细'!$B$8:$B$2197,A111,'作业明细'!$C$8:$C$2197,"出港")</f>
        <v>17348</v>
      </c>
      <c r="D111" s="25">
        <f>SUM(B111:C111)</f>
        <v>64231</v>
      </c>
      <c r="E111" s="35">
        <f>COUNTIFS('作业明细'!$B$8:$B$2197,A111)</f>
        <v>6</v>
      </c>
      <c r="F111" s="16">
        <f>AVERAGEIFS('作业明细'!$I$8:$I$2197,'作业明细'!$B$8:$B$2197,A111)</f>
        <v>2.93333333333333</v>
      </c>
      <c r="G111" s="16">
        <f>SUMIFS('作业明细'!$H$8:$H$2197,'作业明细'!$B$8:$B$2197,A111)</f>
        <v>50.75</v>
      </c>
      <c r="H111" s="25">
        <f>D111/G111</f>
        <v>1265.6354679803</v>
      </c>
    </row>
    <row r="112">
      <c r="A112" s="32" t="n">
        <v>45762</v>
      </c>
      <c r="B112" s="20">
        <f>SUMIFS('作业明细'!$G$8:$G$2197,'作业明细'!$B$8:$B$2197,A112,'作业明细'!$C$8:$C$2197,"进港")</f>
        <v>49145</v>
      </c>
      <c r="C112" s="20">
        <f>SUMIFS('作业明细'!$G$8:$G$2197,'作业明细'!$B$8:$B$2197,A112,'作业明细'!$C$8:$C$2197,"出港")</f>
        <v>9380</v>
      </c>
      <c r="D112" s="20">
        <f>SUM(B112:C112)</f>
        <v>58525</v>
      </c>
      <c r="E112" s="33">
        <f>COUNTIFS('作业明细'!$B$8:$B$2197,A112)</f>
        <v>6</v>
      </c>
      <c r="F112" s="14">
        <f>AVERAGEIFS('作业明细'!$I$8:$I$2197,'作业明细'!$B$8:$B$2197,A112)</f>
        <v>2.295</v>
      </c>
      <c r="G112" s="14">
        <f>SUMIFS('作业明细'!$H$8:$H$2197,'作业明细'!$B$8:$B$2197,A112)</f>
        <v>51.17</v>
      </c>
      <c r="H112" s="20">
        <f>D112/G112</f>
        <v>1143.7365643932</v>
      </c>
    </row>
    <row r="113">
      <c r="A113" s="34" t="n">
        <v>45763</v>
      </c>
      <c r="B113" s="25">
        <f>SUMIFS('作业明细'!$G$8:$G$2197,'作业明细'!$B$8:$B$2197,A113,'作业明细'!$C$8:$C$2197,"进港")</f>
        <v>29160</v>
      </c>
      <c r="C113" s="25">
        <f>SUMIFS('作业明细'!$G$8:$G$2197,'作业明细'!$B$8:$B$2197,A113,'作业明细'!$C$8:$C$2197,"出港")</f>
        <v>37189</v>
      </c>
      <c r="D113" s="25">
        <f>SUM(B113:C113)</f>
        <v>66349</v>
      </c>
      <c r="E113" s="35">
        <f>COUNTIFS('作业明细'!$B$8:$B$2197,A113)</f>
        <v>6</v>
      </c>
      <c r="F113" s="16">
        <f>AVERAGEIFS('作业明细'!$I$8:$I$2197,'作业明细'!$B$8:$B$2197,A113)</f>
        <v>2.67</v>
      </c>
      <c r="G113" s="16">
        <f>SUMIFS('作业明细'!$H$8:$H$2197,'作业明细'!$B$8:$B$2197,A113)</f>
        <v>53.37</v>
      </c>
      <c r="H113" s="25">
        <f>D113/G113</f>
        <v>1243.18905752295</v>
      </c>
    </row>
    <row r="114">
      <c r="A114" s="32" t="n">
        <v>45764</v>
      </c>
      <c r="B114" s="20">
        <f>SUMIFS('作业明细'!$G$8:$G$2197,'作业明细'!$B$8:$B$2197,A114,'作业明细'!$C$8:$C$2197,"进港")</f>
        <v>36246</v>
      </c>
      <c r="C114" s="20">
        <f>SUMIFS('作业明细'!$G$8:$G$2197,'作业明细'!$B$8:$B$2197,A114,'作业明细'!$C$8:$C$2197,"出港")</f>
        <v>20050</v>
      </c>
      <c r="D114" s="20">
        <f>SUM(B114:C114)</f>
        <v>56296</v>
      </c>
      <c r="E114" s="33">
        <f>COUNTIFS('作业明细'!$B$8:$B$2197,A114)</f>
        <v>6</v>
      </c>
      <c r="F114" s="14">
        <f>AVERAGEIFS('作业明细'!$I$8:$I$2197,'作业明细'!$B$8:$B$2197,A114)</f>
        <v>3.835</v>
      </c>
      <c r="G114" s="14">
        <f>SUMIFS('作业明细'!$H$8:$H$2197,'作业明细'!$B$8:$B$2197,A114)</f>
        <v>50.38</v>
      </c>
      <c r="H114" s="20">
        <f>D114/G114</f>
        <v>1117.42755061532</v>
      </c>
    </row>
    <row r="115">
      <c r="A115" s="34" t="n">
        <v>45765</v>
      </c>
      <c r="B115" s="25">
        <f>SUMIFS('作业明细'!$G$8:$G$2197,'作业明细'!$B$8:$B$2197,A115,'作业明细'!$C$8:$C$2197,"进港")</f>
        <v>55388</v>
      </c>
      <c r="C115" s="25">
        <f>SUMIFS('作业明细'!$G$8:$G$2197,'作业明细'!$B$8:$B$2197,A115,'作业明细'!$C$8:$C$2197,"出港")</f>
        <v>7547</v>
      </c>
      <c r="D115" s="25">
        <f>SUM(B115:C115)</f>
        <v>62935</v>
      </c>
      <c r="E115" s="35">
        <f>COUNTIFS('作业明细'!$B$8:$B$2197,A115)</f>
        <v>6</v>
      </c>
      <c r="F115" s="16">
        <f>AVERAGEIFS('作业明细'!$I$8:$I$2197,'作业明细'!$B$8:$B$2197,A115)</f>
        <v>2.33833333333333</v>
      </c>
      <c r="G115" s="16">
        <f>SUMIFS('作业明细'!$H$8:$H$2197,'作业明细'!$B$8:$B$2197,A115)</f>
        <v>56.54</v>
      </c>
      <c r="H115" s="25">
        <f>D115/G115</f>
        <v>1113.1057658295</v>
      </c>
    </row>
    <row r="116">
      <c r="A116" s="32" t="n">
        <v>45766</v>
      </c>
      <c r="B116" s="20">
        <f>SUMIFS('作业明细'!$G$8:$G$2197,'作业明细'!$B$8:$B$2197,A116,'作业明细'!$C$8:$C$2197,"进港")</f>
        <v>44691</v>
      </c>
      <c r="C116" s="20">
        <f>SUMIFS('作业明细'!$G$8:$G$2197,'作业明细'!$B$8:$B$2197,A116,'作业明细'!$C$8:$C$2197,"出港")</f>
        <v>26064</v>
      </c>
      <c r="D116" s="20">
        <f>SUM(B116:C116)</f>
        <v>70755</v>
      </c>
      <c r="E116" s="33">
        <f>COUNTIFS('作业明细'!$B$8:$B$2197,A116)</f>
        <v>6</v>
      </c>
      <c r="F116" s="14">
        <f>AVERAGEIFS('作业明细'!$I$8:$I$2197,'作业明细'!$B$8:$B$2197,A116)</f>
        <v>2.645</v>
      </c>
      <c r="G116" s="14">
        <f>SUMIFS('作业明细'!$H$8:$H$2197,'作业明细'!$B$8:$B$2197,A116)</f>
        <v>59.48</v>
      </c>
      <c r="H116" s="20">
        <f>D116/G116</f>
        <v>1189.55951580363</v>
      </c>
    </row>
    <row r="117">
      <c r="A117" s="34" t="n">
        <v>45767</v>
      </c>
      <c r="B117" s="25">
        <f>SUMIFS('作业明细'!$G$8:$G$2197,'作业明细'!$B$8:$B$2197,A117,'作业明细'!$C$8:$C$2197,"进港")</f>
        <v>27464</v>
      </c>
      <c r="C117" s="25">
        <f>SUMIFS('作业明细'!$G$8:$G$2197,'作业明细'!$B$8:$B$2197,A117,'作业明细'!$C$8:$C$2197,"出港")</f>
        <v>49673</v>
      </c>
      <c r="D117" s="25">
        <f>SUM(B117:C117)</f>
        <v>77137</v>
      </c>
      <c r="E117" s="35">
        <f>COUNTIFS('作业明细'!$B$8:$B$2197,A117)</f>
        <v>6</v>
      </c>
      <c r="F117" s="16">
        <f>AVERAGEIFS('作业明细'!$I$8:$I$2197,'作业明细'!$B$8:$B$2197,A117)</f>
        <v>3.095</v>
      </c>
      <c r="G117" s="16">
        <f>SUMIFS('作业明细'!$H$8:$H$2197,'作业明细'!$B$8:$B$2197,A117)</f>
        <v>66.21</v>
      </c>
      <c r="H117" s="25">
        <f>D117/G117</f>
        <v>1165.03549312793</v>
      </c>
    </row>
    <row r="118">
      <c r="A118" s="32" t="n">
        <v>45768</v>
      </c>
      <c r="B118" s="20">
        <f>SUMIFS('作业明细'!$G$8:$G$2197,'作业明细'!$B$8:$B$2197,A118,'作业明细'!$C$8:$C$2197,"进港")</f>
        <v>29395</v>
      </c>
      <c r="C118" s="20">
        <f>SUMIFS('作业明细'!$G$8:$G$2197,'作业明细'!$B$8:$B$2197,A118,'作业明细'!$C$8:$C$2197,"出港")</f>
        <v>47140</v>
      </c>
      <c r="D118" s="20">
        <f>SUM(B118:C118)</f>
        <v>76535</v>
      </c>
      <c r="E118" s="33">
        <f>COUNTIFS('作业明细'!$B$8:$B$2197,A118)</f>
        <v>6</v>
      </c>
      <c r="F118" s="14">
        <f>AVERAGEIFS('作业明细'!$I$8:$I$2197,'作业明细'!$B$8:$B$2197,A118)</f>
        <v>2.975</v>
      </c>
      <c r="G118" s="14">
        <f>SUMIFS('作业明细'!$H$8:$H$2197,'作业明细'!$B$8:$B$2197,A118)</f>
        <v>65.81</v>
      </c>
      <c r="H118" s="20">
        <f>D118/G118</f>
        <v>1162.96915362407</v>
      </c>
    </row>
    <row r="119">
      <c r="A119" s="34" t="n">
        <v>45769</v>
      </c>
      <c r="B119" s="25">
        <f>SUMIFS('作业明细'!$G$8:$G$2197,'作业明细'!$B$8:$B$2197,A119,'作业明细'!$C$8:$C$2197,"进港")</f>
        <v>36863</v>
      </c>
      <c r="C119" s="25">
        <f>SUMIFS('作业明细'!$G$8:$G$2197,'作业明细'!$B$8:$B$2197,A119,'作业明细'!$C$8:$C$2197,"出港")</f>
        <v>39009</v>
      </c>
      <c r="D119" s="25">
        <f>SUM(B119:C119)</f>
        <v>75872</v>
      </c>
      <c r="E119" s="35">
        <f>COUNTIFS('作业明细'!$B$8:$B$2197,A119)</f>
        <v>6</v>
      </c>
      <c r="F119" s="16">
        <f>AVERAGEIFS('作业明细'!$I$8:$I$2197,'作业明细'!$B$8:$B$2197,A119)</f>
        <v>2.14833333333333</v>
      </c>
      <c r="G119" s="16">
        <f>SUMIFS('作业明细'!$H$8:$H$2197,'作业明细'!$B$8:$B$2197,A119)</f>
        <v>60.18</v>
      </c>
      <c r="H119" s="25">
        <f>D119/G119</f>
        <v>1260.75108009305</v>
      </c>
    </row>
    <row r="120">
      <c r="A120" s="32" t="n">
        <v>45770</v>
      </c>
      <c r="B120" s="20">
        <f>SUMIFS('作业明细'!$G$8:$G$2197,'作业明细'!$B$8:$B$2197,A120,'作业明细'!$C$8:$C$2197,"进港")</f>
        <v>53497</v>
      </c>
      <c r="C120" s="20">
        <f>SUMIFS('作业明细'!$G$8:$G$2197,'作业明细'!$B$8:$B$2197,A120,'作业明细'!$C$8:$C$2197,"出港")</f>
        <v>4842</v>
      </c>
      <c r="D120" s="20">
        <f>SUM(B120:C120)</f>
        <v>58339</v>
      </c>
      <c r="E120" s="33">
        <f>COUNTIFS('作业明细'!$B$8:$B$2197,A120)</f>
        <v>6</v>
      </c>
      <c r="F120" s="14">
        <f>AVERAGEIFS('作业明细'!$I$8:$I$2197,'作业明细'!$B$8:$B$2197,A120)</f>
        <v>2.54666666666667</v>
      </c>
      <c r="G120" s="14">
        <f>SUMIFS('作业明细'!$H$8:$H$2197,'作业明细'!$B$8:$B$2197,A120)</f>
        <v>50.88</v>
      </c>
      <c r="H120" s="20">
        <f>D120/G120</f>
        <v>1146.5998427673</v>
      </c>
    </row>
    <row r="121">
      <c r="A121" s="34" t="n">
        <v>45771</v>
      </c>
      <c r="B121" s="25">
        <f>SUMIFS('作业明细'!$G$8:$G$2197,'作业明细'!$B$8:$B$2197,A121,'作业明细'!$C$8:$C$2197,"进港")</f>
        <v>41962</v>
      </c>
      <c r="C121" s="25">
        <f>SUMIFS('作业明细'!$G$8:$G$2197,'作业明细'!$B$8:$B$2197,A121,'作业明细'!$C$8:$C$2197,"出港")</f>
        <v>6416</v>
      </c>
      <c r="D121" s="25">
        <f>SUM(B121:C121)</f>
        <v>48378</v>
      </c>
      <c r="E121" s="35">
        <f>COUNTIFS('作业明细'!$B$8:$B$2197,A121)</f>
        <v>6</v>
      </c>
      <c r="F121" s="16">
        <f>AVERAGEIFS('作业明细'!$I$8:$I$2197,'作业明细'!$B$8:$B$2197,A121)</f>
        <v>2.84666666666667</v>
      </c>
      <c r="G121" s="16">
        <f>SUMIFS('作业明细'!$H$8:$H$2197,'作业明细'!$B$8:$B$2197,A121)</f>
        <v>44.46</v>
      </c>
      <c r="H121" s="25">
        <f>D121/G121</f>
        <v>1088.12415654521</v>
      </c>
    </row>
    <row r="122">
      <c r="A122" s="32" t="n">
        <v>45772</v>
      </c>
      <c r="B122" s="20">
        <f>SUMIFS('作业明细'!$G$8:$G$2197,'作业明细'!$B$8:$B$2197,A122,'作业明细'!$C$8:$C$2197,"进港")</f>
        <v>40990</v>
      </c>
      <c r="C122" s="20">
        <f>SUMIFS('作业明细'!$G$8:$G$2197,'作业明细'!$B$8:$B$2197,A122,'作业明细'!$C$8:$C$2197,"出港")</f>
        <v>10340</v>
      </c>
      <c r="D122" s="20">
        <f>SUM(B122:C122)</f>
        <v>51330</v>
      </c>
      <c r="E122" s="33">
        <f>COUNTIFS('作业明细'!$B$8:$B$2197,A122)</f>
        <v>6</v>
      </c>
      <c r="F122" s="14">
        <f>AVERAGEIFS('作业明细'!$I$8:$I$2197,'作业明细'!$B$8:$B$2197,A122)</f>
        <v>2.55333333333333</v>
      </c>
      <c r="G122" s="14">
        <f>SUMIFS('作业明细'!$H$8:$H$2197,'作业明细'!$B$8:$B$2197,A122)</f>
        <v>42.63</v>
      </c>
      <c r="H122" s="20">
        <f>D122/G122</f>
        <v>1204.08163265306</v>
      </c>
    </row>
    <row r="123">
      <c r="A123" s="34" t="n">
        <v>45773</v>
      </c>
      <c r="B123" s="25">
        <f>SUMIFS('作业明细'!$G$8:$G$2197,'作业明细'!$B$8:$B$2197,A123,'作业明细'!$C$8:$C$2197,"进港")</f>
        <v>19633</v>
      </c>
      <c r="C123" s="25">
        <f>SUMIFS('作业明细'!$G$8:$G$2197,'作业明细'!$B$8:$B$2197,A123,'作业明细'!$C$8:$C$2197,"出港")</f>
        <v>34127</v>
      </c>
      <c r="D123" s="25">
        <f>SUM(B123:C123)</f>
        <v>53760</v>
      </c>
      <c r="E123" s="35">
        <f>COUNTIFS('作业明细'!$B$8:$B$2197,A123)</f>
        <v>6</v>
      </c>
      <c r="F123" s="16">
        <f>AVERAGEIFS('作业明细'!$I$8:$I$2197,'作业明细'!$B$8:$B$2197,A123)</f>
        <v>2.33166666666667</v>
      </c>
      <c r="G123" s="16">
        <f>SUMIFS('作业明细'!$H$8:$H$2197,'作业明细'!$B$8:$B$2197,A123)</f>
        <v>48.49</v>
      </c>
      <c r="H123" s="25">
        <f>D123/G123</f>
        <v>1108.68220251598</v>
      </c>
    </row>
    <row r="124">
      <c r="A124" s="32" t="n">
        <v>45774</v>
      </c>
      <c r="B124" s="20">
        <f>SUMIFS('作业明细'!$G$8:$G$2197,'作业明细'!$B$8:$B$2197,A124,'作业明细'!$C$8:$C$2197,"进港")</f>
        <v>55431</v>
      </c>
      <c r="C124" s="20">
        <f>SUMIFS('作业明细'!$G$8:$G$2197,'作业明细'!$B$8:$B$2197,A124,'作业明细'!$C$8:$C$2197,"出港")</f>
        <v>0</v>
      </c>
      <c r="D124" s="20">
        <f>SUM(B124:C124)</f>
        <v>55431</v>
      </c>
      <c r="E124" s="33">
        <f>COUNTIFS('作业明细'!$B$8:$B$2197,A124)</f>
        <v>6</v>
      </c>
      <c r="F124" s="14">
        <f>AVERAGEIFS('作业明细'!$I$8:$I$2197,'作业明细'!$B$8:$B$2197,A124)</f>
        <v>2.89333333333333</v>
      </c>
      <c r="G124" s="14">
        <f>SUMIFS('作业明细'!$H$8:$H$2197,'作业明细'!$B$8:$B$2197,A124)</f>
        <v>46.83</v>
      </c>
      <c r="H124" s="20">
        <f>D124/G124</f>
        <v>1183.66431774504</v>
      </c>
    </row>
    <row r="125">
      <c r="A125" s="34" t="n">
        <v>45775</v>
      </c>
      <c r="B125" s="25">
        <f>SUMIFS('作业明细'!$G$8:$G$2197,'作业明细'!$B$8:$B$2197,A125,'作业明细'!$C$8:$C$2197,"进港")</f>
        <v>50391</v>
      </c>
      <c r="C125" s="25">
        <f>SUMIFS('作业明细'!$G$8:$G$2197,'作业明细'!$B$8:$B$2197,A125,'作业明细'!$C$8:$C$2197,"出港")</f>
        <v>19307</v>
      </c>
      <c r="D125" s="25">
        <f>SUM(B125:C125)</f>
        <v>69698</v>
      </c>
      <c r="E125" s="35">
        <f>COUNTIFS('作业明细'!$B$8:$B$2197,A125)</f>
        <v>6</v>
      </c>
      <c r="F125" s="16">
        <f>AVERAGEIFS('作业明细'!$I$8:$I$2197,'作业明细'!$B$8:$B$2197,A125)</f>
        <v>3.035</v>
      </c>
      <c r="G125" s="16">
        <f>SUMIFS('作业明细'!$H$8:$H$2197,'作业明细'!$B$8:$B$2197,A125)</f>
        <v>59.58</v>
      </c>
      <c r="H125" s="25">
        <f>D125/G125</f>
        <v>1169.82208794898</v>
      </c>
    </row>
    <row r="126">
      <c r="A126" s="32" t="n">
        <v>45776</v>
      </c>
      <c r="B126" s="20">
        <f>SUMIFS('作业明细'!$G$8:$G$2197,'作业明细'!$B$8:$B$2197,A126,'作业明细'!$C$8:$C$2197,"进港")</f>
        <v>19829</v>
      </c>
      <c r="C126" s="20">
        <f>SUMIFS('作业明细'!$G$8:$G$2197,'作业明细'!$B$8:$B$2197,A126,'作业明细'!$C$8:$C$2197,"出港")</f>
        <v>49799</v>
      </c>
      <c r="D126" s="20">
        <f>SUM(B126:C126)</f>
        <v>69628</v>
      </c>
      <c r="E126" s="33">
        <f>COUNTIFS('作业明细'!$B$8:$B$2197,A126)</f>
        <v>6</v>
      </c>
      <c r="F126" s="14">
        <f>AVERAGEIFS('作业明细'!$I$8:$I$2197,'作业明细'!$B$8:$B$2197,A126)</f>
        <v>2.44</v>
      </c>
      <c r="G126" s="14">
        <f>SUMIFS('作业明细'!$H$8:$H$2197,'作业明细'!$B$8:$B$2197,A126)</f>
        <v>59.3</v>
      </c>
      <c r="H126" s="20">
        <f>D126/G126</f>
        <v>1174.1652613828</v>
      </c>
    </row>
    <row r="127">
      <c r="A127" s="34" t="n">
        <v>45777</v>
      </c>
      <c r="B127" s="25">
        <f>SUMIFS('作业明细'!$G$8:$G$2197,'作业明细'!$B$8:$B$2197,A127,'作业明细'!$C$8:$C$2197,"进港")</f>
        <v>41593</v>
      </c>
      <c r="C127" s="25">
        <f>SUMIFS('作业明细'!$G$8:$G$2197,'作业明细'!$B$8:$B$2197,A127,'作业明细'!$C$8:$C$2197,"出港")</f>
        <v>29152</v>
      </c>
      <c r="D127" s="25">
        <f>SUM(B127:C127)</f>
        <v>70745</v>
      </c>
      <c r="E127" s="35">
        <f>COUNTIFS('作业明细'!$B$8:$B$2197,A127)</f>
        <v>6</v>
      </c>
      <c r="F127" s="16">
        <f>AVERAGEIFS('作业明细'!$I$8:$I$2197,'作业明细'!$B$8:$B$2197,A127)</f>
        <v>2.76666666666667</v>
      </c>
      <c r="G127" s="16">
        <f>SUMIFS('作业明细'!$H$8:$H$2197,'作业明细'!$B$8:$B$2197,A127)</f>
        <v>57.5</v>
      </c>
      <c r="H127" s="25">
        <f>D127/G127</f>
        <v>1230.34782608696</v>
      </c>
    </row>
    <row r="128">
      <c r="A128" s="32" t="n">
        <v>45778</v>
      </c>
      <c r="B128" s="20">
        <f>SUMIFS('作业明细'!$G$8:$G$2197,'作业明细'!$B$8:$B$2197,A128,'作业明细'!$C$8:$C$2197,"进港")</f>
        <v>50651</v>
      </c>
      <c r="C128" s="20">
        <f>SUMIFS('作业明细'!$G$8:$G$2197,'作业明细'!$B$8:$B$2197,A128,'作业明细'!$C$8:$C$2197,"出港")</f>
        <v>25281</v>
      </c>
      <c r="D128" s="20">
        <f>SUM(B128:C128)</f>
        <v>75932</v>
      </c>
      <c r="E128" s="33">
        <f>COUNTIFS('作业明细'!$B$8:$B$2197,A128)</f>
        <v>6</v>
      </c>
      <c r="F128" s="14">
        <f>AVERAGEIFS('作业明细'!$I$8:$I$2197,'作业明细'!$B$8:$B$2197,A128)</f>
        <v>2.27166666666667</v>
      </c>
      <c r="G128" s="14">
        <f>SUMIFS('作业明细'!$H$8:$H$2197,'作业明细'!$B$8:$B$2197,A128)</f>
        <v>67.53</v>
      </c>
      <c r="H128" s="20">
        <f>D128/G128</f>
        <v>1124.41877683992</v>
      </c>
    </row>
    <row r="129">
      <c r="A129" s="34" t="n">
        <v>45779</v>
      </c>
      <c r="B129" s="25">
        <f>SUMIFS('作业明细'!$G$8:$G$2197,'作业明细'!$B$8:$B$2197,A129,'作业明细'!$C$8:$C$2197,"进港")</f>
        <v>43869</v>
      </c>
      <c r="C129" s="25">
        <f>SUMIFS('作业明细'!$G$8:$G$2197,'作业明细'!$B$8:$B$2197,A129,'作业明细'!$C$8:$C$2197,"出港")</f>
        <v>17480</v>
      </c>
      <c r="D129" s="25">
        <f>SUM(B129:C129)</f>
        <v>61349</v>
      </c>
      <c r="E129" s="35">
        <f>COUNTIFS('作业明细'!$B$8:$B$2197,A129)</f>
        <v>6</v>
      </c>
      <c r="F129" s="16">
        <f>AVERAGEIFS('作业明细'!$I$8:$I$2197,'作业明细'!$B$8:$B$2197,A129)</f>
        <v>2.86833333333333</v>
      </c>
      <c r="G129" s="16">
        <f>SUMIFS('作业明细'!$H$8:$H$2197,'作业明细'!$B$8:$B$2197,A129)</f>
        <v>50.09</v>
      </c>
      <c r="H129" s="25">
        <f>D129/G129</f>
        <v>1224.77540427231</v>
      </c>
    </row>
    <row r="130">
      <c r="A130" s="32" t="n">
        <v>45780</v>
      </c>
      <c r="B130" s="20">
        <f>SUMIFS('作业明细'!$G$8:$G$2197,'作业明细'!$B$8:$B$2197,A130,'作业明细'!$C$8:$C$2197,"进港")</f>
        <v>26282</v>
      </c>
      <c r="C130" s="20">
        <f>SUMIFS('作业明细'!$G$8:$G$2197,'作业明细'!$B$8:$B$2197,A130,'作业明细'!$C$8:$C$2197,"出港")</f>
        <v>46514</v>
      </c>
      <c r="D130" s="20">
        <f>SUM(B130:C130)</f>
        <v>72796</v>
      </c>
      <c r="E130" s="33">
        <f>COUNTIFS('作业明细'!$B$8:$B$2197,A130)</f>
        <v>6</v>
      </c>
      <c r="F130" s="14">
        <f>AVERAGEIFS('作业明细'!$I$8:$I$2197,'作业明细'!$B$8:$B$2197,A130)</f>
        <v>4.00333333333333</v>
      </c>
      <c r="G130" s="14">
        <f>SUMIFS('作业明细'!$H$8:$H$2197,'作业明细'!$B$8:$B$2197,A130)</f>
        <v>63.08</v>
      </c>
      <c r="H130" s="20">
        <f>D130/G130</f>
        <v>1154.02663284718</v>
      </c>
    </row>
    <row r="131">
      <c r="A131" s="34" t="n">
        <v>45781</v>
      </c>
      <c r="B131" s="25">
        <f>SUMIFS('作业明细'!$G$8:$G$2197,'作业明细'!$B$8:$B$2197,A131,'作业明细'!$C$8:$C$2197,"进港")</f>
        <v>45170</v>
      </c>
      <c r="C131" s="25">
        <f>SUMIFS('作业明细'!$G$8:$G$2197,'作业明细'!$B$8:$B$2197,A131,'作业明细'!$C$8:$C$2197,"出港")</f>
        <v>21756</v>
      </c>
      <c r="D131" s="25">
        <f>SUM(B131:C131)</f>
        <v>66926</v>
      </c>
      <c r="E131" s="35">
        <f>COUNTIFS('作业明细'!$B$8:$B$2197,A131)</f>
        <v>6</v>
      </c>
      <c r="F131" s="16">
        <f>AVERAGEIFS('作业明细'!$I$8:$I$2197,'作业明细'!$B$8:$B$2197,A131)</f>
        <v>1.945</v>
      </c>
      <c r="G131" s="16">
        <f>SUMIFS('作业明细'!$H$8:$H$2197,'作业明细'!$B$8:$B$2197,A131)</f>
        <v>54.99</v>
      </c>
      <c r="H131" s="25">
        <f>D131/G131</f>
        <v>1217.05764684488</v>
      </c>
    </row>
    <row r="132">
      <c r="A132" s="32" t="n">
        <v>45782</v>
      </c>
      <c r="B132" s="20">
        <f>SUMIFS('作业明细'!$G$8:$G$2197,'作业明细'!$B$8:$B$2197,A132,'作业明细'!$C$8:$C$2197,"进港")</f>
        <v>24087</v>
      </c>
      <c r="C132" s="20">
        <f>SUMIFS('作业明细'!$G$8:$G$2197,'作业明细'!$B$8:$B$2197,A132,'作业明细'!$C$8:$C$2197,"出港")</f>
        <v>40414</v>
      </c>
      <c r="D132" s="20">
        <f>SUM(B132:C132)</f>
        <v>64501</v>
      </c>
      <c r="E132" s="33">
        <f>COUNTIFS('作业明细'!$B$8:$B$2197,A132)</f>
        <v>6</v>
      </c>
      <c r="F132" s="14">
        <f>AVERAGEIFS('作业明细'!$I$8:$I$2197,'作业明细'!$B$8:$B$2197,A132)</f>
        <v>2.13666666666667</v>
      </c>
      <c r="G132" s="14">
        <f>SUMIFS('作业明细'!$H$8:$H$2197,'作业明细'!$B$8:$B$2197,A132)</f>
        <v>53.36</v>
      </c>
      <c r="H132" s="20">
        <f>D132/G132</f>
        <v>1208.78935532234</v>
      </c>
    </row>
    <row r="133">
      <c r="A133" s="34" t="n">
        <v>45783</v>
      </c>
      <c r="B133" s="25">
        <f>SUMIFS('作业明细'!$G$8:$G$2197,'作业明细'!$B$8:$B$2197,A133,'作业明细'!$C$8:$C$2197,"进港")</f>
        <v>36008</v>
      </c>
      <c r="C133" s="25">
        <f>SUMIFS('作业明细'!$G$8:$G$2197,'作业明细'!$B$8:$B$2197,A133,'作业明细'!$C$8:$C$2197,"出港")</f>
        <v>19080</v>
      </c>
      <c r="D133" s="25">
        <f>SUM(B133:C133)</f>
        <v>55088</v>
      </c>
      <c r="E133" s="35">
        <f>COUNTIFS('作业明细'!$B$8:$B$2197,A133)</f>
        <v>6</v>
      </c>
      <c r="F133" s="16">
        <f>AVERAGEIFS('作业明细'!$I$8:$I$2197,'作业明细'!$B$8:$B$2197,A133)</f>
        <v>1.59</v>
      </c>
      <c r="G133" s="16">
        <f>SUMIFS('作业明细'!$H$8:$H$2197,'作业明细'!$B$8:$B$2197,A133)</f>
        <v>48.41</v>
      </c>
      <c r="H133" s="25">
        <f>D133/G133</f>
        <v>1137.94670522619</v>
      </c>
    </row>
    <row r="134">
      <c r="A134" s="32" t="n">
        <v>45784</v>
      </c>
      <c r="B134" s="20">
        <f>SUMIFS('作业明细'!$G$8:$G$2197,'作业明细'!$B$8:$B$2197,A134,'作业明细'!$C$8:$C$2197,"进港")</f>
        <v>41933</v>
      </c>
      <c r="C134" s="20">
        <f>SUMIFS('作业明细'!$G$8:$G$2197,'作业明细'!$B$8:$B$2197,A134,'作业明细'!$C$8:$C$2197,"出港")</f>
        <v>14511</v>
      </c>
      <c r="D134" s="20">
        <f>SUM(B134:C134)</f>
        <v>56444</v>
      </c>
      <c r="E134" s="33">
        <f>COUNTIFS('作业明细'!$B$8:$B$2197,A134)</f>
        <v>6</v>
      </c>
      <c r="F134" s="14">
        <f>AVERAGEIFS('作业明细'!$I$8:$I$2197,'作业明细'!$B$8:$B$2197,A134)</f>
        <v>2.24166666666667</v>
      </c>
      <c r="G134" s="14">
        <f>SUMIFS('作业明细'!$H$8:$H$2197,'作业明细'!$B$8:$B$2197,A134)</f>
        <v>46.71</v>
      </c>
      <c r="H134" s="20">
        <f>D134/G134</f>
        <v>1208.39220723614</v>
      </c>
    </row>
    <row r="135">
      <c r="A135" s="34" t="n">
        <v>45785</v>
      </c>
      <c r="B135" s="25">
        <f>SUMIFS('作业明细'!$G$8:$G$2197,'作业明细'!$B$8:$B$2197,A135,'作业明细'!$C$8:$C$2197,"进港")</f>
        <v>38270</v>
      </c>
      <c r="C135" s="25">
        <f>SUMIFS('作业明细'!$G$8:$G$2197,'作业明细'!$B$8:$B$2197,A135,'作业明细'!$C$8:$C$2197,"出港")</f>
        <v>19252</v>
      </c>
      <c r="D135" s="25">
        <f>SUM(B135:C135)</f>
        <v>57522</v>
      </c>
      <c r="E135" s="35">
        <f>COUNTIFS('作业明细'!$B$8:$B$2197,A135)</f>
        <v>6</v>
      </c>
      <c r="F135" s="16">
        <f>AVERAGEIFS('作业明细'!$I$8:$I$2197,'作业明细'!$B$8:$B$2197,A135)</f>
        <v>2.90333333333333</v>
      </c>
      <c r="G135" s="16">
        <f>SUMIFS('作业明细'!$H$8:$H$2197,'作业明细'!$B$8:$B$2197,A135)</f>
        <v>49.92</v>
      </c>
      <c r="H135" s="25">
        <f>D135/G135</f>
        <v>1152.28365384615</v>
      </c>
    </row>
    <row r="136">
      <c r="A136" s="32" t="n">
        <v>45786</v>
      </c>
      <c r="B136" s="20">
        <f>SUMIFS('作业明细'!$G$8:$G$2197,'作业明细'!$B$8:$B$2197,A136,'作业明细'!$C$8:$C$2197,"进港")</f>
        <v>47583</v>
      </c>
      <c r="C136" s="20">
        <f>SUMIFS('作业明细'!$G$8:$G$2197,'作业明细'!$B$8:$B$2197,A136,'作业明细'!$C$8:$C$2197,"出港")</f>
        <v>11700</v>
      </c>
      <c r="D136" s="20">
        <f>SUM(B136:C136)</f>
        <v>59283</v>
      </c>
      <c r="E136" s="33">
        <f>COUNTIFS('作业明细'!$B$8:$B$2197,A136)</f>
        <v>6</v>
      </c>
      <c r="F136" s="14">
        <f>AVERAGEIFS('作业明细'!$I$8:$I$2197,'作业明细'!$B$8:$B$2197,A136)</f>
        <v>2.75166666666667</v>
      </c>
      <c r="G136" s="14">
        <f>SUMIFS('作业明细'!$H$8:$H$2197,'作业明细'!$B$8:$B$2197,A136)</f>
        <v>54.27</v>
      </c>
      <c r="H136" s="20">
        <f>D136/G136</f>
        <v>1092.37147595357</v>
      </c>
    </row>
    <row r="137">
      <c r="A137" s="34" t="n">
        <v>45787</v>
      </c>
      <c r="B137" s="25">
        <f>SUMIFS('作业明细'!$G$8:$G$2197,'作业明细'!$B$8:$B$2197,A137,'作业明细'!$C$8:$C$2197,"进港")</f>
        <v>19017</v>
      </c>
      <c r="C137" s="25">
        <f>SUMIFS('作业明细'!$G$8:$G$2197,'作业明细'!$B$8:$B$2197,A137,'作业明细'!$C$8:$C$2197,"出港")</f>
        <v>37254</v>
      </c>
      <c r="D137" s="25">
        <f>SUM(B137:C137)</f>
        <v>56271</v>
      </c>
      <c r="E137" s="35">
        <f>COUNTIFS('作业明细'!$B$8:$B$2197,A137)</f>
        <v>6</v>
      </c>
      <c r="F137" s="16">
        <f>AVERAGEIFS('作业明细'!$I$8:$I$2197,'作业明细'!$B$8:$B$2197,A137)</f>
        <v>2.29666666666667</v>
      </c>
      <c r="G137" s="16">
        <f>SUMIFS('作业明细'!$H$8:$H$2197,'作业明细'!$B$8:$B$2197,A137)</f>
        <v>47.4</v>
      </c>
      <c r="H137" s="25">
        <f>D137/G137</f>
        <v>1187.15189873418</v>
      </c>
    </row>
    <row r="138">
      <c r="A138" s="32" t="n">
        <v>45788</v>
      </c>
      <c r="B138" s="20">
        <f>SUMIFS('作业明细'!$G$8:$G$2197,'作业明细'!$B$8:$B$2197,A138,'作业明细'!$C$8:$C$2197,"进港")</f>
        <v>41352</v>
      </c>
      <c r="C138" s="20">
        <f>SUMIFS('作业明细'!$G$8:$G$2197,'作业明细'!$B$8:$B$2197,A138,'作业明细'!$C$8:$C$2197,"出港")</f>
        <v>11773</v>
      </c>
      <c r="D138" s="20">
        <f>SUM(B138:C138)</f>
        <v>53125</v>
      </c>
      <c r="E138" s="33">
        <f>COUNTIFS('作业明细'!$B$8:$B$2197,A138)</f>
        <v>6</v>
      </c>
      <c r="F138" s="14">
        <f>AVERAGEIFS('作业明细'!$I$8:$I$2197,'作业明细'!$B$8:$B$2197,A138)</f>
        <v>2.28166666666667</v>
      </c>
      <c r="G138" s="14">
        <f>SUMIFS('作业明细'!$H$8:$H$2197,'作业明细'!$B$8:$B$2197,A138)</f>
        <v>43.42</v>
      </c>
      <c r="H138" s="20">
        <f>D138/G138</f>
        <v>1223.51450944265</v>
      </c>
    </row>
    <row r="139">
      <c r="A139" s="34" t="n">
        <v>45789</v>
      </c>
      <c r="B139" s="25">
        <f>SUMIFS('作业明细'!$G$8:$G$2197,'作业明细'!$B$8:$B$2197,A139,'作业明细'!$C$8:$C$2197,"进港")</f>
        <v>57265</v>
      </c>
      <c r="C139" s="25">
        <f>SUMIFS('作业明细'!$G$8:$G$2197,'作业明细'!$B$8:$B$2197,A139,'作业明细'!$C$8:$C$2197,"出港")</f>
        <v>17680</v>
      </c>
      <c r="D139" s="25">
        <f>SUM(B139:C139)</f>
        <v>74945</v>
      </c>
      <c r="E139" s="35">
        <f>COUNTIFS('作业明细'!$B$8:$B$2197,A139)</f>
        <v>6</v>
      </c>
      <c r="F139" s="16">
        <f>AVERAGEIFS('作业明细'!$I$8:$I$2197,'作业明细'!$B$8:$B$2197,A139)</f>
        <v>2.025</v>
      </c>
      <c r="G139" s="16">
        <f>SUMIFS('作业明细'!$H$8:$H$2197,'作业明细'!$B$8:$B$2197,A139)</f>
        <v>66.43</v>
      </c>
      <c r="H139" s="25">
        <f>D139/G139</f>
        <v>1128.18003913894</v>
      </c>
    </row>
    <row r="140">
      <c r="A140" s="32" t="n">
        <v>45790</v>
      </c>
      <c r="B140" s="20">
        <f>SUMIFS('作业明细'!$G$8:$G$2197,'作业明细'!$B$8:$B$2197,A140,'作业明细'!$C$8:$C$2197,"进港")</f>
        <v>25175</v>
      </c>
      <c r="C140" s="20">
        <f>SUMIFS('作业明细'!$G$8:$G$2197,'作业明细'!$B$8:$B$2197,A140,'作业明细'!$C$8:$C$2197,"出港")</f>
        <v>35657</v>
      </c>
      <c r="D140" s="20">
        <f>SUM(B140:C140)</f>
        <v>60832</v>
      </c>
      <c r="E140" s="33">
        <f>COUNTIFS('作业明细'!$B$8:$B$2197,A140)</f>
        <v>6</v>
      </c>
      <c r="F140" s="14">
        <f>AVERAGEIFS('作业明细'!$I$8:$I$2197,'作业明细'!$B$8:$B$2197,A140)</f>
        <v>3.14333333333333</v>
      </c>
      <c r="G140" s="14">
        <f>SUMIFS('作业明细'!$H$8:$H$2197,'作业明细'!$B$8:$B$2197,A140)</f>
        <v>49.75</v>
      </c>
      <c r="H140" s="20">
        <f>D140/G140</f>
        <v>1222.75376884422</v>
      </c>
    </row>
    <row r="141">
      <c r="A141" s="34" t="n">
        <v>45791</v>
      </c>
      <c r="B141" s="25">
        <f>SUMIFS('作业明细'!$G$8:$G$2197,'作业明细'!$B$8:$B$2197,A141,'作业明细'!$C$8:$C$2197,"进港")</f>
        <v>25239</v>
      </c>
      <c r="C141" s="25">
        <f>SUMIFS('作业明细'!$G$8:$G$2197,'作业明细'!$B$8:$B$2197,A141,'作业明细'!$C$8:$C$2197,"出港")</f>
        <v>43145</v>
      </c>
      <c r="D141" s="25">
        <f>SUM(B141:C141)</f>
        <v>68384</v>
      </c>
      <c r="E141" s="35">
        <f>COUNTIFS('作业明细'!$B$8:$B$2197,A141)</f>
        <v>6</v>
      </c>
      <c r="F141" s="16">
        <f>AVERAGEIFS('作业明细'!$I$8:$I$2197,'作业明细'!$B$8:$B$2197,A141)</f>
        <v>3.36333333333333</v>
      </c>
      <c r="G141" s="16">
        <f>SUMIFS('作业明细'!$H$8:$H$2197,'作业明细'!$B$8:$B$2197,A141)</f>
        <v>58.8</v>
      </c>
      <c r="H141" s="25">
        <f>D141/G141</f>
        <v>1162.99319727891</v>
      </c>
    </row>
    <row r="142">
      <c r="A142" s="32" t="n">
        <v>45792</v>
      </c>
      <c r="B142" s="20">
        <f>SUMIFS('作业明细'!$G$8:$G$2197,'作业明细'!$B$8:$B$2197,A142,'作业明细'!$C$8:$C$2197,"进港")</f>
        <v>46123</v>
      </c>
      <c r="C142" s="20">
        <f>SUMIFS('作业明细'!$G$8:$G$2197,'作业明细'!$B$8:$B$2197,A142,'作业明细'!$C$8:$C$2197,"出港")</f>
        <v>34562</v>
      </c>
      <c r="D142" s="20">
        <f>SUM(B142:C142)</f>
        <v>80685</v>
      </c>
      <c r="E142" s="33">
        <f>COUNTIFS('作业明细'!$B$8:$B$2197,A142)</f>
        <v>6</v>
      </c>
      <c r="F142" s="14">
        <f>AVERAGEIFS('作业明细'!$I$8:$I$2197,'作业明细'!$B$8:$B$2197,A142)</f>
        <v>2.79833333333333</v>
      </c>
      <c r="G142" s="14">
        <f>SUMIFS('作业明细'!$H$8:$H$2197,'作业明细'!$B$8:$B$2197,A142)</f>
        <v>76.31</v>
      </c>
      <c r="H142" s="20">
        <f>D142/G142</f>
        <v>1057.33193552614</v>
      </c>
    </row>
    <row r="143">
      <c r="A143" s="34" t="n">
        <v>45793</v>
      </c>
      <c r="B143" s="25">
        <f>SUMIFS('作业明细'!$G$8:$G$2197,'作业明细'!$B$8:$B$2197,A143,'作业明细'!$C$8:$C$2197,"进港")</f>
        <v>51644</v>
      </c>
      <c r="C143" s="25">
        <f>SUMIFS('作业明细'!$G$8:$G$2197,'作业明细'!$B$8:$B$2197,A143,'作业明细'!$C$8:$C$2197,"出港")</f>
        <v>17136</v>
      </c>
      <c r="D143" s="25">
        <f>SUM(B143:C143)</f>
        <v>68780</v>
      </c>
      <c r="E143" s="35">
        <f>COUNTIFS('作业明细'!$B$8:$B$2197,A143)</f>
        <v>6</v>
      </c>
      <c r="F143" s="16">
        <f>AVERAGEIFS('作业明细'!$I$8:$I$2197,'作业明细'!$B$8:$B$2197,A143)</f>
        <v>2.46166666666667</v>
      </c>
      <c r="G143" s="16">
        <f>SUMIFS('作业明细'!$H$8:$H$2197,'作业明细'!$B$8:$B$2197,A143)</f>
        <v>57.69</v>
      </c>
      <c r="H143" s="25">
        <f>D143/G143</f>
        <v>1192.23435604091</v>
      </c>
    </row>
    <row r="144">
      <c r="A144" s="32" t="n">
        <v>45794</v>
      </c>
      <c r="B144" s="20">
        <f>SUMIFS('作业明细'!$G$8:$G$2197,'作业明细'!$B$8:$B$2197,A144,'作业明细'!$C$8:$C$2197,"进港")</f>
        <v>38048</v>
      </c>
      <c r="C144" s="20">
        <f>SUMIFS('作业明细'!$G$8:$G$2197,'作业明细'!$B$8:$B$2197,A144,'作业明细'!$C$8:$C$2197,"出港")</f>
        <v>25602</v>
      </c>
      <c r="D144" s="20">
        <f>SUM(B144:C144)</f>
        <v>63650</v>
      </c>
      <c r="E144" s="33">
        <f>COUNTIFS('作业明细'!$B$8:$B$2197,A144)</f>
        <v>6</v>
      </c>
      <c r="F144" s="14">
        <f>AVERAGEIFS('作业明细'!$I$8:$I$2197,'作业明细'!$B$8:$B$2197,A144)</f>
        <v>2.875</v>
      </c>
      <c r="G144" s="14">
        <f>SUMIFS('作业明细'!$H$8:$H$2197,'作业明细'!$B$8:$B$2197,A144)</f>
        <v>56.43</v>
      </c>
      <c r="H144" s="20">
        <f>D144/G144</f>
        <v>1127.94612794613</v>
      </c>
    </row>
    <row r="145">
      <c r="A145" s="34" t="n">
        <v>45795</v>
      </c>
      <c r="B145" s="25">
        <f>SUMIFS('作业明细'!$G$8:$G$2197,'作业明细'!$B$8:$B$2197,A145,'作业明细'!$C$8:$C$2197,"进港")</f>
        <v>60637</v>
      </c>
      <c r="C145" s="25">
        <f>SUMIFS('作业明细'!$G$8:$G$2197,'作业明细'!$B$8:$B$2197,A145,'作业明细'!$C$8:$C$2197,"出港")</f>
        <v>3528</v>
      </c>
      <c r="D145" s="25">
        <f>SUM(B145:C145)</f>
        <v>64165</v>
      </c>
      <c r="E145" s="35">
        <f>COUNTIFS('作业明细'!$B$8:$B$2197,A145)</f>
        <v>6</v>
      </c>
      <c r="F145" s="16">
        <f>AVERAGEIFS('作业明细'!$I$8:$I$2197,'作业明细'!$B$8:$B$2197,A145)</f>
        <v>4.76666666666667</v>
      </c>
      <c r="G145" s="16">
        <f>SUMIFS('作业明细'!$H$8:$H$2197,'作业明细'!$B$8:$B$2197,A145)</f>
        <v>56.89</v>
      </c>
      <c r="H145" s="25">
        <f>D145/G145</f>
        <v>1127.87836175075</v>
      </c>
    </row>
    <row r="146">
      <c r="A146" s="32" t="n">
        <v>45796</v>
      </c>
      <c r="B146" s="20">
        <f>SUMIFS('作业明细'!$G$8:$G$2197,'作业明细'!$B$8:$B$2197,A146,'作业明细'!$C$8:$C$2197,"进港")</f>
        <v>61638</v>
      </c>
      <c r="C146" s="20">
        <f>SUMIFS('作业明细'!$G$8:$G$2197,'作业明细'!$B$8:$B$2197,A146,'作业明细'!$C$8:$C$2197,"出港")</f>
        <v>6491</v>
      </c>
      <c r="D146" s="20">
        <f>SUM(B146:C146)</f>
        <v>68129</v>
      </c>
      <c r="E146" s="33">
        <f>COUNTIFS('作业明细'!$B$8:$B$2197,A146)</f>
        <v>6</v>
      </c>
      <c r="F146" s="14">
        <f>AVERAGEIFS('作业明细'!$I$8:$I$2197,'作业明细'!$B$8:$B$2197,A146)</f>
        <v>2.025</v>
      </c>
      <c r="G146" s="14">
        <f>SUMIFS('作业明细'!$H$8:$H$2197,'作业明细'!$B$8:$B$2197,A146)</f>
        <v>57.21</v>
      </c>
      <c r="H146" s="20">
        <f>D146/G146</f>
        <v>1190.85824156616</v>
      </c>
    </row>
    <row r="147">
      <c r="A147" s="34" t="n">
        <v>45797</v>
      </c>
      <c r="B147" s="25">
        <f>SUMIFS('作业明细'!$G$8:$G$2197,'作业明细'!$B$8:$B$2197,A147,'作业明细'!$C$8:$C$2197,"进港")</f>
        <v>33802</v>
      </c>
      <c r="C147" s="25">
        <f>SUMIFS('作业明细'!$G$8:$G$2197,'作业明细'!$B$8:$B$2197,A147,'作业明细'!$C$8:$C$2197,"出港")</f>
        <v>33164</v>
      </c>
      <c r="D147" s="25">
        <f>SUM(B147:C147)</f>
        <v>66966</v>
      </c>
      <c r="E147" s="35">
        <f>COUNTIFS('作业明细'!$B$8:$B$2197,A147)</f>
        <v>6</v>
      </c>
      <c r="F147" s="16">
        <f>AVERAGEIFS('作业明细'!$I$8:$I$2197,'作业明细'!$B$8:$B$2197,A147)</f>
        <v>3.65166666666667</v>
      </c>
      <c r="G147" s="16">
        <f>SUMIFS('作业明细'!$H$8:$H$2197,'作业明细'!$B$8:$B$2197,A147)</f>
        <v>60.04</v>
      </c>
      <c r="H147" s="25">
        <f>D147/G147</f>
        <v>1115.3564290473</v>
      </c>
    </row>
    <row r="148">
      <c r="A148" s="32" t="n">
        <v>45798</v>
      </c>
      <c r="B148" s="20">
        <f>SUMIFS('作业明细'!$G$8:$G$2197,'作业明细'!$B$8:$B$2197,A148,'作业明细'!$C$8:$C$2197,"进港")</f>
        <v>33048</v>
      </c>
      <c r="C148" s="20">
        <f>SUMIFS('作业明细'!$G$8:$G$2197,'作业明细'!$B$8:$B$2197,A148,'作业明细'!$C$8:$C$2197,"出港")</f>
        <v>23201</v>
      </c>
      <c r="D148" s="20">
        <f>SUM(B148:C148)</f>
        <v>56249</v>
      </c>
      <c r="E148" s="33">
        <f>COUNTIFS('作业明细'!$B$8:$B$2197,A148)</f>
        <v>6</v>
      </c>
      <c r="F148" s="14">
        <f>AVERAGEIFS('作业明细'!$I$8:$I$2197,'作业明细'!$B$8:$B$2197,A148)</f>
        <v>3.69166666666667</v>
      </c>
      <c r="G148" s="14">
        <f>SUMIFS('作业明细'!$H$8:$H$2197,'作业明细'!$B$8:$B$2197,A148)</f>
        <v>48.94</v>
      </c>
      <c r="H148" s="20">
        <f>D148/G148</f>
        <v>1149.34613812832</v>
      </c>
    </row>
    <row r="149">
      <c r="A149" s="34" t="n">
        <v>45799</v>
      </c>
      <c r="B149" s="25">
        <f>SUMIFS('作业明细'!$G$8:$G$2197,'作业明细'!$B$8:$B$2197,A149,'作业明细'!$C$8:$C$2197,"进港")</f>
        <v>48142</v>
      </c>
      <c r="C149" s="25">
        <f>SUMIFS('作业明细'!$G$8:$G$2197,'作业明细'!$B$8:$B$2197,A149,'作业明细'!$C$8:$C$2197,"出港")</f>
        <v>28937</v>
      </c>
      <c r="D149" s="25">
        <f>SUM(B149:C149)</f>
        <v>77079</v>
      </c>
      <c r="E149" s="35">
        <f>COUNTIFS('作业明细'!$B$8:$B$2197,A149)</f>
        <v>6</v>
      </c>
      <c r="F149" s="16">
        <f>AVERAGEIFS('作业明细'!$I$8:$I$2197,'作业明细'!$B$8:$B$2197,A149)</f>
        <v>3.005</v>
      </c>
      <c r="G149" s="16">
        <f>SUMIFS('作业明细'!$H$8:$H$2197,'作业明细'!$B$8:$B$2197,A149)</f>
        <v>64.67</v>
      </c>
      <c r="H149" s="25">
        <f>D149/G149</f>
        <v>1191.8818617597</v>
      </c>
    </row>
    <row r="150">
      <c r="A150" s="32" t="n">
        <v>45800</v>
      </c>
      <c r="B150" s="20">
        <f>SUMIFS('作业明细'!$G$8:$G$2197,'作业明细'!$B$8:$B$2197,A150,'作业明细'!$C$8:$C$2197,"进港")</f>
        <v>70209</v>
      </c>
      <c r="C150" s="20">
        <f>SUMIFS('作业明细'!$G$8:$G$2197,'作业明细'!$B$8:$B$2197,A150,'作业明细'!$C$8:$C$2197,"出港")</f>
        <v>8677</v>
      </c>
      <c r="D150" s="20">
        <f>SUM(B150:C150)</f>
        <v>78886</v>
      </c>
      <c r="E150" s="33">
        <f>COUNTIFS('作业明细'!$B$8:$B$2197,A150)</f>
        <v>6</v>
      </c>
      <c r="F150" s="14">
        <f>AVERAGEIFS('作业明细'!$I$8:$I$2197,'作业明细'!$B$8:$B$2197,A150)</f>
        <v>2.92</v>
      </c>
      <c r="G150" s="14">
        <f>SUMIFS('作业明细'!$H$8:$H$2197,'作业明细'!$B$8:$B$2197,A150)</f>
        <v>64.8</v>
      </c>
      <c r="H150" s="20">
        <f>D150/G150</f>
        <v>1217.37654320988</v>
      </c>
    </row>
    <row r="151">
      <c r="A151" s="34" t="n">
        <v>45801</v>
      </c>
      <c r="B151" s="25">
        <f>SUMIFS('作业明细'!$G$8:$G$2197,'作业明细'!$B$8:$B$2197,A151,'作业明细'!$C$8:$C$2197,"进港")</f>
        <v>67922</v>
      </c>
      <c r="C151" s="25">
        <f>SUMIFS('作业明细'!$G$8:$G$2197,'作业明细'!$B$8:$B$2197,A151,'作业明细'!$C$8:$C$2197,"出港")</f>
        <v>14372</v>
      </c>
      <c r="D151" s="25">
        <f>SUM(B151:C151)</f>
        <v>82294</v>
      </c>
      <c r="E151" s="35">
        <f>COUNTIFS('作业明细'!$B$8:$B$2197,A151)</f>
        <v>6</v>
      </c>
      <c r="F151" s="16">
        <f>AVERAGEIFS('作业明细'!$I$8:$I$2197,'作业明细'!$B$8:$B$2197,A151)</f>
        <v>3.30166666666667</v>
      </c>
      <c r="G151" s="16">
        <f>SUMIFS('作业明细'!$H$8:$H$2197,'作业明细'!$B$8:$B$2197,A151)</f>
        <v>71.92</v>
      </c>
      <c r="H151" s="25">
        <f>D151/G151</f>
        <v>1144.24360400445</v>
      </c>
    </row>
    <row r="152">
      <c r="A152" s="32" t="n">
        <v>45802</v>
      </c>
      <c r="B152" s="20">
        <f>SUMIFS('作业明细'!$G$8:$G$2197,'作业明细'!$B$8:$B$2197,A152,'作业明细'!$C$8:$C$2197,"进港")</f>
        <v>58447</v>
      </c>
      <c r="C152" s="20">
        <f>SUMIFS('作业明细'!$G$8:$G$2197,'作业明细'!$B$8:$B$2197,A152,'作业明细'!$C$8:$C$2197,"出港")</f>
        <v>10357</v>
      </c>
      <c r="D152" s="20">
        <f>SUM(B152:C152)</f>
        <v>68804</v>
      </c>
      <c r="E152" s="33">
        <f>COUNTIFS('作业明细'!$B$8:$B$2197,A152)</f>
        <v>6</v>
      </c>
      <c r="F152" s="14">
        <f>AVERAGEIFS('作业明细'!$I$8:$I$2197,'作业明细'!$B$8:$B$2197,A152)</f>
        <v>3.15333333333333</v>
      </c>
      <c r="G152" s="14">
        <f>SUMIFS('作业明细'!$H$8:$H$2197,'作业明细'!$B$8:$B$2197,A152)</f>
        <v>60.32</v>
      </c>
      <c r="H152" s="20">
        <f>D152/G152</f>
        <v>1140.64986737401</v>
      </c>
    </row>
    <row r="153">
      <c r="A153" s="34" t="n">
        <v>45803</v>
      </c>
      <c r="B153" s="25">
        <f>SUMIFS('作业明细'!$G$8:$G$2197,'作业明细'!$B$8:$B$2197,A153,'作业明细'!$C$8:$C$2197,"进港")</f>
        <v>68800</v>
      </c>
      <c r="C153" s="25">
        <f>SUMIFS('作业明细'!$G$8:$G$2197,'作业明细'!$B$8:$B$2197,A153,'作业明细'!$C$8:$C$2197,"出港")</f>
        <v>13596</v>
      </c>
      <c r="D153" s="25">
        <f>SUM(B153:C153)</f>
        <v>82396</v>
      </c>
      <c r="E153" s="35">
        <f>COUNTIFS('作业明细'!$B$8:$B$2197,A153)</f>
        <v>6</v>
      </c>
      <c r="F153" s="16">
        <f>AVERAGEIFS('作业明细'!$I$8:$I$2197,'作业明细'!$B$8:$B$2197,A153)</f>
        <v>2.26833333333333</v>
      </c>
      <c r="G153" s="16">
        <f>SUMIFS('作业明细'!$H$8:$H$2197,'作业明细'!$B$8:$B$2197,A153)</f>
        <v>66.66</v>
      </c>
      <c r="H153" s="25">
        <f>D153/G153</f>
        <v>1236.06360636064</v>
      </c>
    </row>
    <row r="154">
      <c r="A154" s="32" t="n">
        <v>45804</v>
      </c>
      <c r="B154" s="20">
        <f>SUMIFS('作业明细'!$G$8:$G$2197,'作业明细'!$B$8:$B$2197,A154,'作业明细'!$C$8:$C$2197,"进港")</f>
        <v>44363</v>
      </c>
      <c r="C154" s="20">
        <f>SUMIFS('作业明细'!$G$8:$G$2197,'作业明细'!$B$8:$B$2197,A154,'作业明细'!$C$8:$C$2197,"出港")</f>
        <v>42668</v>
      </c>
      <c r="D154" s="20">
        <f>SUM(B154:C154)</f>
        <v>87031</v>
      </c>
      <c r="E154" s="33">
        <f>COUNTIFS('作业明细'!$B$8:$B$2197,A154)</f>
        <v>6</v>
      </c>
      <c r="F154" s="14">
        <f>AVERAGEIFS('作业明细'!$I$8:$I$2197,'作业明细'!$B$8:$B$2197,A154)</f>
        <v>2.09833333333333</v>
      </c>
      <c r="G154" s="14">
        <f>SUMIFS('作业明细'!$H$8:$H$2197,'作业明细'!$B$8:$B$2197,A154)</f>
        <v>75.56</v>
      </c>
      <c r="H154" s="20">
        <f>D154/G154</f>
        <v>1151.81312863949</v>
      </c>
    </row>
    <row r="155">
      <c r="A155" s="34" t="n">
        <v>45805</v>
      </c>
      <c r="B155" s="25">
        <f>SUMIFS('作业明细'!$G$8:$G$2197,'作业明细'!$B$8:$B$2197,A155,'作业明细'!$C$8:$C$2197,"进港")</f>
        <v>51417</v>
      </c>
      <c r="C155" s="25">
        <f>SUMIFS('作业明细'!$G$8:$G$2197,'作业明细'!$B$8:$B$2197,A155,'作业明细'!$C$8:$C$2197,"出港")</f>
        <v>25858</v>
      </c>
      <c r="D155" s="25">
        <f>SUM(B155:C155)</f>
        <v>77275</v>
      </c>
      <c r="E155" s="35">
        <f>COUNTIFS('作业明细'!$B$8:$B$2197,A155)</f>
        <v>6</v>
      </c>
      <c r="F155" s="16">
        <f>AVERAGEIFS('作业明细'!$I$8:$I$2197,'作业明细'!$B$8:$B$2197,A155)</f>
        <v>1.89833333333333</v>
      </c>
      <c r="G155" s="16">
        <f>SUMIFS('作业明细'!$H$8:$H$2197,'作业明细'!$B$8:$B$2197,A155)</f>
        <v>65.69</v>
      </c>
      <c r="H155" s="25">
        <f>D155/G155</f>
        <v>1176.35865428528</v>
      </c>
    </row>
    <row r="156">
      <c r="A156" s="32" t="n">
        <v>45806</v>
      </c>
      <c r="B156" s="20">
        <f>SUMIFS('作业明细'!$G$8:$G$2197,'作业明细'!$B$8:$B$2197,A156,'作业明细'!$C$8:$C$2197,"进港")</f>
        <v>27219</v>
      </c>
      <c r="C156" s="20">
        <f>SUMIFS('作业明细'!$G$8:$G$2197,'作业明细'!$B$8:$B$2197,A156,'作业明细'!$C$8:$C$2197,"出港")</f>
        <v>37027</v>
      </c>
      <c r="D156" s="20">
        <f>SUM(B156:C156)</f>
        <v>64246</v>
      </c>
      <c r="E156" s="33">
        <f>COUNTIFS('作业明细'!$B$8:$B$2197,A156)</f>
        <v>6</v>
      </c>
      <c r="F156" s="14">
        <f>AVERAGEIFS('作业明细'!$I$8:$I$2197,'作业明细'!$B$8:$B$2197,A156)</f>
        <v>2.935</v>
      </c>
      <c r="G156" s="14">
        <f>SUMIFS('作业明细'!$H$8:$H$2197,'作业明细'!$B$8:$B$2197,A156)</f>
        <v>55.24</v>
      </c>
      <c r="H156" s="20">
        <f>D156/G156</f>
        <v>1163.0340333092</v>
      </c>
    </row>
    <row r="157">
      <c r="A157" s="34" t="n">
        <v>45807</v>
      </c>
      <c r="B157" s="25">
        <f>SUMIFS('作业明细'!$G$8:$G$2197,'作业明细'!$B$8:$B$2197,A157,'作业明细'!$C$8:$C$2197,"进港")</f>
        <v>47358</v>
      </c>
      <c r="C157" s="25">
        <f>SUMIFS('作业明细'!$G$8:$G$2197,'作业明细'!$B$8:$B$2197,A157,'作业明细'!$C$8:$C$2197,"出港")</f>
        <v>28923</v>
      </c>
      <c r="D157" s="25">
        <f>SUM(B157:C157)</f>
        <v>76281</v>
      </c>
      <c r="E157" s="35">
        <f>COUNTIFS('作业明细'!$B$8:$B$2197,A157)</f>
        <v>6</v>
      </c>
      <c r="F157" s="16">
        <f>AVERAGEIFS('作业明细'!$I$8:$I$2197,'作业明细'!$B$8:$B$2197,A157)</f>
        <v>4.58166666666667</v>
      </c>
      <c r="G157" s="16">
        <f>SUMIFS('作业明细'!$H$8:$H$2197,'作业明细'!$B$8:$B$2197,A157)</f>
        <v>62.71</v>
      </c>
      <c r="H157" s="25">
        <f>D157/G157</f>
        <v>1216.40886620954</v>
      </c>
    </row>
    <row r="158">
      <c r="A158" s="32" t="n">
        <v>45808</v>
      </c>
      <c r="B158" s="20">
        <f>SUMIFS('作业明细'!$G$8:$G$2197,'作业明细'!$B$8:$B$2197,A158,'作业明细'!$C$8:$C$2197,"进港")</f>
        <v>50021</v>
      </c>
      <c r="C158" s="20">
        <f>SUMIFS('作业明细'!$G$8:$G$2197,'作业明细'!$B$8:$B$2197,A158,'作业明细'!$C$8:$C$2197,"出港")</f>
        <v>13536</v>
      </c>
      <c r="D158" s="20">
        <f>SUM(B158:C158)</f>
        <v>63557</v>
      </c>
      <c r="E158" s="33">
        <f>COUNTIFS('作业明细'!$B$8:$B$2197,A158)</f>
        <v>6</v>
      </c>
      <c r="F158" s="14">
        <f>AVERAGEIFS('作业明细'!$I$8:$I$2197,'作业明细'!$B$8:$B$2197,A158)</f>
        <v>1.43166666666667</v>
      </c>
      <c r="G158" s="14">
        <f>SUMIFS('作业明细'!$H$8:$H$2197,'作业明细'!$B$8:$B$2197,A158)</f>
        <v>55.63</v>
      </c>
      <c r="H158" s="20">
        <f>D158/G158</f>
        <v>1142.49505662412</v>
      </c>
    </row>
    <row r="159">
      <c r="A159" s="34" t="n">
        <v>45809</v>
      </c>
      <c r="B159" s="25">
        <f>SUMIFS('作业明细'!$G$8:$G$2197,'作业明细'!$B$8:$B$2197,A159,'作业明细'!$C$8:$C$2197,"进港")</f>
        <v>26452</v>
      </c>
      <c r="C159" s="25">
        <f>SUMIFS('作业明细'!$G$8:$G$2197,'作业明细'!$B$8:$B$2197,A159,'作业明细'!$C$8:$C$2197,"出港")</f>
        <v>31864</v>
      </c>
      <c r="D159" s="25">
        <f>SUM(B159:C159)</f>
        <v>58316</v>
      </c>
      <c r="E159" s="35">
        <f>COUNTIFS('作业明细'!$B$8:$B$2197,A159)</f>
        <v>6</v>
      </c>
      <c r="F159" s="16">
        <f>AVERAGEIFS('作业明细'!$I$8:$I$2197,'作业明细'!$B$8:$B$2197,A159)</f>
        <v>2.62833333333333</v>
      </c>
      <c r="G159" s="16">
        <f>SUMIFS('作业明细'!$H$8:$H$2197,'作业明细'!$B$8:$B$2197,A159)</f>
        <v>50.46</v>
      </c>
      <c r="H159" s="25">
        <f>D159/G159</f>
        <v>1155.68767340468</v>
      </c>
    </row>
    <row r="160">
      <c r="A160" s="32" t="n">
        <v>45810</v>
      </c>
      <c r="B160" s="20">
        <f>SUMIFS('作业明细'!$G$8:$G$2197,'作业明细'!$B$8:$B$2197,A160,'作业明细'!$C$8:$C$2197,"进港")</f>
        <v>53099</v>
      </c>
      <c r="C160" s="20">
        <f>SUMIFS('作业明细'!$G$8:$G$2197,'作业明细'!$B$8:$B$2197,A160,'作业明细'!$C$8:$C$2197,"出港")</f>
        <v>17808</v>
      </c>
      <c r="D160" s="20">
        <f>SUM(B160:C160)</f>
        <v>70907</v>
      </c>
      <c r="E160" s="33">
        <f>COUNTIFS('作业明细'!$B$8:$B$2197,A160)</f>
        <v>6</v>
      </c>
      <c r="F160" s="14">
        <f>AVERAGEIFS('作业明细'!$I$8:$I$2197,'作业明细'!$B$8:$B$2197,A160)</f>
        <v>2.74833333333333</v>
      </c>
      <c r="G160" s="14">
        <f>SUMIFS('作业明细'!$H$8:$H$2197,'作业明细'!$B$8:$B$2197,A160)</f>
        <v>63.25</v>
      </c>
      <c r="H160" s="20">
        <f>D160/G160</f>
        <v>1121.05928853755</v>
      </c>
    </row>
    <row r="161">
      <c r="A161" s="34" t="n">
        <v>45811</v>
      </c>
      <c r="B161" s="25">
        <f>SUMIFS('作业明细'!$G$8:$G$2197,'作业明细'!$B$8:$B$2197,A161,'作业明细'!$C$8:$C$2197,"进港")</f>
        <v>37012</v>
      </c>
      <c r="C161" s="25">
        <f>SUMIFS('作业明细'!$G$8:$G$2197,'作业明细'!$B$8:$B$2197,A161,'作业明细'!$C$8:$C$2197,"出港")</f>
        <v>17449</v>
      </c>
      <c r="D161" s="25">
        <f>SUM(B161:C161)</f>
        <v>54461</v>
      </c>
      <c r="E161" s="35">
        <f>COUNTIFS('作业明细'!$B$8:$B$2197,A161)</f>
        <v>6</v>
      </c>
      <c r="F161" s="16">
        <f>AVERAGEIFS('作业明细'!$I$8:$I$2197,'作业明细'!$B$8:$B$2197,A161)</f>
        <v>2.76833333333333</v>
      </c>
      <c r="G161" s="16">
        <f>SUMIFS('作业明细'!$H$8:$H$2197,'作业明细'!$B$8:$B$2197,A161)</f>
        <v>48.13</v>
      </c>
      <c r="H161" s="25">
        <f>D161/G161</f>
        <v>1131.53958030335</v>
      </c>
    </row>
    <row r="162">
      <c r="A162" s="32" t="n">
        <v>45812</v>
      </c>
      <c r="B162" s="20">
        <f>SUMIFS('作业明细'!$G$8:$G$2197,'作业明细'!$B$8:$B$2197,A162,'作业明细'!$C$8:$C$2197,"进港")</f>
        <v>25996</v>
      </c>
      <c r="C162" s="20">
        <f>SUMIFS('作业明细'!$G$8:$G$2197,'作业明细'!$B$8:$B$2197,A162,'作业明细'!$C$8:$C$2197,"出港")</f>
        <v>31279</v>
      </c>
      <c r="D162" s="20">
        <f>SUM(B162:C162)</f>
        <v>57275</v>
      </c>
      <c r="E162" s="33">
        <f>COUNTIFS('作业明细'!$B$8:$B$2197,A162)</f>
        <v>6</v>
      </c>
      <c r="F162" s="14">
        <f>AVERAGEIFS('作业明细'!$I$8:$I$2197,'作业明细'!$B$8:$B$2197,A162)</f>
        <v>2.56333333333333</v>
      </c>
      <c r="G162" s="14">
        <f>SUMIFS('作业明细'!$H$8:$H$2197,'作业明细'!$B$8:$B$2197,A162)</f>
        <v>50.99</v>
      </c>
      <c r="H162" s="20">
        <f>D162/G162</f>
        <v>1123.25946263973</v>
      </c>
    </row>
    <row r="163">
      <c r="A163" s="34" t="n">
        <v>45813</v>
      </c>
      <c r="B163" s="25">
        <f>SUMIFS('作业明细'!$G$8:$G$2197,'作业明细'!$B$8:$B$2197,A163,'作业明细'!$C$8:$C$2197,"进港")</f>
        <v>48524</v>
      </c>
      <c r="C163" s="25">
        <f>SUMIFS('作业明细'!$G$8:$G$2197,'作业明细'!$B$8:$B$2197,A163,'作业明细'!$C$8:$C$2197,"出港")</f>
        <v>7015</v>
      </c>
      <c r="D163" s="25">
        <f>SUM(B163:C163)</f>
        <v>55539</v>
      </c>
      <c r="E163" s="35">
        <f>COUNTIFS('作业明细'!$B$8:$B$2197,A163)</f>
        <v>6</v>
      </c>
      <c r="F163" s="16">
        <f>AVERAGEIFS('作业明细'!$I$8:$I$2197,'作业明细'!$B$8:$B$2197,A163)</f>
        <v>1.70666666666667</v>
      </c>
      <c r="G163" s="16">
        <f>SUMIFS('作业明细'!$H$8:$H$2197,'作业明细'!$B$8:$B$2197,A163)</f>
        <v>53.07</v>
      </c>
      <c r="H163" s="25">
        <f>D163/G163</f>
        <v>1046.52345958168</v>
      </c>
    </row>
    <row r="164">
      <c r="A164" s="32" t="n">
        <v>45814</v>
      </c>
      <c r="B164" s="20">
        <f>SUMIFS('作业明细'!$G$8:$G$2197,'作业明细'!$B$8:$B$2197,A164,'作业明细'!$C$8:$C$2197,"进港")</f>
        <v>28657</v>
      </c>
      <c r="C164" s="20">
        <f>SUMIFS('作业明细'!$G$8:$G$2197,'作业明细'!$B$8:$B$2197,A164,'作业明细'!$C$8:$C$2197,"出港")</f>
        <v>39140</v>
      </c>
      <c r="D164" s="20">
        <f>SUM(B164:C164)</f>
        <v>67797</v>
      </c>
      <c r="E164" s="33">
        <f>COUNTIFS('作业明细'!$B$8:$B$2197,A164)</f>
        <v>6</v>
      </c>
      <c r="F164" s="14">
        <f>AVERAGEIFS('作业明细'!$I$8:$I$2197,'作业明细'!$B$8:$B$2197,A164)</f>
        <v>2.38166666666667</v>
      </c>
      <c r="G164" s="14">
        <f>SUMIFS('作业明细'!$H$8:$H$2197,'作业明细'!$B$8:$B$2197,A164)</f>
        <v>59.62</v>
      </c>
      <c r="H164" s="20">
        <f>D164/G164</f>
        <v>1137.15196242872</v>
      </c>
    </row>
    <row r="165">
      <c r="A165" s="34" t="n">
        <v>45815</v>
      </c>
      <c r="B165" s="25">
        <f>SUMIFS('作业明细'!$G$8:$G$2197,'作业明细'!$B$8:$B$2197,A165,'作业明细'!$C$8:$C$2197,"进港")</f>
        <v>38733</v>
      </c>
      <c r="C165" s="25">
        <f>SUMIFS('作业明细'!$G$8:$G$2197,'作业明细'!$B$8:$B$2197,A165,'作业明细'!$C$8:$C$2197,"出港")</f>
        <v>39124</v>
      </c>
      <c r="D165" s="25">
        <f>SUM(B165:C165)</f>
        <v>77857</v>
      </c>
      <c r="E165" s="35">
        <f>COUNTIFS('作业明细'!$B$8:$B$2197,A165)</f>
        <v>6</v>
      </c>
      <c r="F165" s="16">
        <f>AVERAGEIFS('作业明细'!$I$8:$I$2197,'作业明细'!$B$8:$B$2197,A165)</f>
        <v>3.625</v>
      </c>
      <c r="G165" s="16">
        <f>SUMIFS('作业明细'!$H$8:$H$2197,'作业明细'!$B$8:$B$2197,A165)</f>
        <v>71.76</v>
      </c>
      <c r="H165" s="25">
        <f>D165/G165</f>
        <v>1084.96376811594</v>
      </c>
    </row>
    <row r="166">
      <c r="A166" s="32" t="n">
        <v>45816</v>
      </c>
      <c r="B166" s="20">
        <f>SUMIFS('作业明细'!$G$8:$G$2197,'作业明细'!$B$8:$B$2197,A166,'作业明细'!$C$8:$C$2197,"进港")</f>
        <v>53239</v>
      </c>
      <c r="C166" s="20">
        <f>SUMIFS('作业明细'!$G$8:$G$2197,'作业明细'!$B$8:$B$2197,A166,'作业明细'!$C$8:$C$2197,"出港")</f>
        <v>41797</v>
      </c>
      <c r="D166" s="20">
        <f>SUM(B166:C166)</f>
        <v>95036</v>
      </c>
      <c r="E166" s="33">
        <f>COUNTIFS('作业明细'!$B$8:$B$2197,A166)</f>
        <v>6</v>
      </c>
      <c r="F166" s="14">
        <f>AVERAGEIFS('作业明细'!$I$8:$I$2197,'作业明细'!$B$8:$B$2197,A166)</f>
        <v>1.36666666666667</v>
      </c>
      <c r="G166" s="14">
        <f>SUMIFS('作业明细'!$H$8:$H$2197,'作业明细'!$B$8:$B$2197,A166)</f>
        <v>81.94</v>
      </c>
      <c r="H166" s="20">
        <f>D166/G166</f>
        <v>1159.82426165487</v>
      </c>
    </row>
    <row r="167">
      <c r="A167" s="34" t="n">
        <v>45817</v>
      </c>
      <c r="B167" s="25">
        <f>SUMIFS('作业明细'!$G$8:$G$2197,'作业明细'!$B$8:$B$2197,A167,'作业明细'!$C$8:$C$2197,"进港")</f>
        <v>18580</v>
      </c>
      <c r="C167" s="25">
        <f>SUMIFS('作业明细'!$G$8:$G$2197,'作业明细'!$B$8:$B$2197,A167,'作业明细'!$C$8:$C$2197,"出港")</f>
        <v>51922</v>
      </c>
      <c r="D167" s="25">
        <f>SUM(B167:C167)</f>
        <v>70502</v>
      </c>
      <c r="E167" s="35">
        <f>COUNTIFS('作业明细'!$B$8:$B$2197,A167)</f>
        <v>6</v>
      </c>
      <c r="F167" s="16">
        <f>AVERAGEIFS('作业明细'!$I$8:$I$2197,'作业明细'!$B$8:$B$2197,A167)</f>
        <v>3.27666666666667</v>
      </c>
      <c r="G167" s="16">
        <f>SUMIFS('作业明细'!$H$8:$H$2197,'作业明细'!$B$8:$B$2197,A167)</f>
        <v>61.45</v>
      </c>
      <c r="H167" s="25">
        <f>D167/G167</f>
        <v>1147.3067534581</v>
      </c>
    </row>
    <row r="168">
      <c r="A168" s="32" t="n">
        <v>45818</v>
      </c>
      <c r="B168" s="20">
        <f>SUMIFS('作业明细'!$G$8:$G$2197,'作业明细'!$B$8:$B$2197,A168,'作业明细'!$C$8:$C$2197,"进港")</f>
        <v>31280</v>
      </c>
      <c r="C168" s="20">
        <f>SUMIFS('作业明细'!$G$8:$G$2197,'作业明细'!$B$8:$B$2197,A168,'作业明细'!$C$8:$C$2197,"出港")</f>
        <v>32814</v>
      </c>
      <c r="D168" s="20">
        <f>SUM(B168:C168)</f>
        <v>64094</v>
      </c>
      <c r="E168" s="33">
        <f>COUNTIFS('作业明细'!$B$8:$B$2197,A168)</f>
        <v>6</v>
      </c>
      <c r="F168" s="14">
        <f>AVERAGEIFS('作业明细'!$I$8:$I$2197,'作业明细'!$B$8:$B$2197,A168)</f>
        <v>2.30333333333333</v>
      </c>
      <c r="G168" s="14">
        <f>SUMIFS('作业明细'!$H$8:$H$2197,'作业明细'!$B$8:$B$2197,A168)</f>
        <v>61.83</v>
      </c>
      <c r="H168" s="20">
        <f>D168/G168</f>
        <v>1036.61652919295</v>
      </c>
    </row>
    <row r="169">
      <c r="A169" s="34" t="n">
        <v>45819</v>
      </c>
      <c r="B169" s="25">
        <f>SUMIFS('作业明细'!$G$8:$G$2197,'作业明细'!$B$8:$B$2197,A169,'作业明细'!$C$8:$C$2197,"进港")</f>
        <v>38439</v>
      </c>
      <c r="C169" s="25">
        <f>SUMIFS('作业明细'!$G$8:$G$2197,'作业明细'!$B$8:$B$2197,A169,'作业明细'!$C$8:$C$2197,"出港")</f>
        <v>29551</v>
      </c>
      <c r="D169" s="25">
        <f>SUM(B169:C169)</f>
        <v>67990</v>
      </c>
      <c r="E169" s="35">
        <f>COUNTIFS('作业明细'!$B$8:$B$2197,A169)</f>
        <v>6</v>
      </c>
      <c r="F169" s="16">
        <f>AVERAGEIFS('作业明细'!$I$8:$I$2197,'作业明细'!$B$8:$B$2197,A169)</f>
        <v>4.30666666666667</v>
      </c>
      <c r="G169" s="16">
        <f>SUMIFS('作业明细'!$H$8:$H$2197,'作业明细'!$B$8:$B$2197,A169)</f>
        <v>60.2</v>
      </c>
      <c r="H169" s="25">
        <f>D169/G169</f>
        <v>1129.40199335548</v>
      </c>
    </row>
    <row r="170">
      <c r="A170" s="32" t="n">
        <v>45820</v>
      </c>
      <c r="B170" s="20">
        <f>SUMIFS('作业明细'!$G$8:$G$2197,'作业明细'!$B$8:$B$2197,A170,'作业明细'!$C$8:$C$2197,"进港")</f>
        <v>45849</v>
      </c>
      <c r="C170" s="20">
        <f>SUMIFS('作业明细'!$G$8:$G$2197,'作业明细'!$B$8:$B$2197,A170,'作业明细'!$C$8:$C$2197,"出港")</f>
        <v>20511</v>
      </c>
      <c r="D170" s="20">
        <f>SUM(B170:C170)</f>
        <v>66360</v>
      </c>
      <c r="E170" s="33">
        <f>COUNTIFS('作业明细'!$B$8:$B$2197,A170)</f>
        <v>6</v>
      </c>
      <c r="F170" s="14">
        <f>AVERAGEIFS('作业明细'!$I$8:$I$2197,'作业明细'!$B$8:$B$2197,A170)</f>
        <v>2.005</v>
      </c>
      <c r="G170" s="14">
        <f>SUMIFS('作业明细'!$H$8:$H$2197,'作业明细'!$B$8:$B$2197,A170)</f>
        <v>54.54</v>
      </c>
      <c r="H170" s="20">
        <f>D170/G170</f>
        <v>1216.72167216722</v>
      </c>
    </row>
    <row r="171">
      <c r="A171" s="34" t="n">
        <v>45821</v>
      </c>
      <c r="B171" s="25">
        <f>SUMIFS('作业明细'!$G$8:$G$2197,'作业明细'!$B$8:$B$2197,A171,'作业明细'!$C$8:$C$2197,"进港")</f>
        <v>26386</v>
      </c>
      <c r="C171" s="25">
        <f>SUMIFS('作业明细'!$G$8:$G$2197,'作业明细'!$B$8:$B$2197,A171,'作业明细'!$C$8:$C$2197,"出港")</f>
        <v>48780</v>
      </c>
      <c r="D171" s="25">
        <f>SUM(B171:C171)</f>
        <v>75166</v>
      </c>
      <c r="E171" s="35">
        <f>COUNTIFS('作业明细'!$B$8:$B$2197,A171)</f>
        <v>6</v>
      </c>
      <c r="F171" s="16">
        <f>AVERAGEIFS('作业明细'!$I$8:$I$2197,'作业明细'!$B$8:$B$2197,A171)</f>
        <v>2.345</v>
      </c>
      <c r="G171" s="16">
        <f>SUMIFS('作业明细'!$H$8:$H$2197,'作业明细'!$B$8:$B$2197,A171)</f>
        <v>64.41</v>
      </c>
      <c r="H171" s="25">
        <f>D171/G171</f>
        <v>1166.99270299643</v>
      </c>
    </row>
    <row r="172">
      <c r="A172" s="32" t="n">
        <v>45822</v>
      </c>
      <c r="B172" s="20">
        <f>SUMIFS('作业明细'!$G$8:$G$2197,'作业明细'!$B$8:$B$2197,A172,'作业明细'!$C$8:$C$2197,"进港")</f>
        <v>56052</v>
      </c>
      <c r="C172" s="20">
        <f>SUMIFS('作业明细'!$G$8:$G$2197,'作业明细'!$B$8:$B$2197,A172,'作业明细'!$C$8:$C$2197,"出港")</f>
        <v>8648</v>
      </c>
      <c r="D172" s="20">
        <f>SUM(B172:C172)</f>
        <v>64700</v>
      </c>
      <c r="E172" s="33">
        <f>COUNTIFS('作业明细'!$B$8:$B$2197,A172)</f>
        <v>6</v>
      </c>
      <c r="F172" s="14">
        <f>AVERAGEIFS('作业明细'!$I$8:$I$2197,'作业明细'!$B$8:$B$2197,A172)</f>
        <v>2.98333333333333</v>
      </c>
      <c r="G172" s="14">
        <f>SUMIFS('作业明细'!$H$8:$H$2197,'作业明细'!$B$8:$B$2197,A172)</f>
        <v>54.22</v>
      </c>
      <c r="H172" s="20">
        <f>D172/G172</f>
        <v>1193.28661010697</v>
      </c>
    </row>
    <row r="173">
      <c r="A173" s="34" t="n">
        <v>45823</v>
      </c>
      <c r="B173" s="25">
        <f>SUMIFS('作业明细'!$G$8:$G$2197,'作业明细'!$B$8:$B$2197,A173,'作业明细'!$C$8:$C$2197,"进港")</f>
        <v>51639</v>
      </c>
      <c r="C173" s="25">
        <f>SUMIFS('作业明细'!$G$8:$G$2197,'作业明细'!$B$8:$B$2197,A173,'作业明细'!$C$8:$C$2197,"出港")</f>
        <v>20567</v>
      </c>
      <c r="D173" s="25">
        <f>SUM(B173:C173)</f>
        <v>72206</v>
      </c>
      <c r="E173" s="35">
        <f>COUNTIFS('作业明细'!$B$8:$B$2197,A173)</f>
        <v>6</v>
      </c>
      <c r="F173" s="16">
        <f>AVERAGEIFS('作业明细'!$I$8:$I$2197,'作业明细'!$B$8:$B$2197,A173)</f>
        <v>3.67666666666667</v>
      </c>
      <c r="G173" s="16">
        <f>SUMIFS('作业明细'!$H$8:$H$2197,'作业明细'!$B$8:$B$2197,A173)</f>
        <v>66.88</v>
      </c>
      <c r="H173" s="25">
        <f>D173/G173</f>
        <v>1079.63516746411</v>
      </c>
    </row>
    <row r="174">
      <c r="A174" s="32" t="n">
        <v>45824</v>
      </c>
      <c r="B174" s="20">
        <f>SUMIFS('作业明细'!$G$8:$G$2197,'作业明细'!$B$8:$B$2197,A174,'作业明细'!$C$8:$C$2197,"进港")</f>
        <v>46522</v>
      </c>
      <c r="C174" s="20">
        <f>SUMIFS('作业明细'!$G$8:$G$2197,'作业明细'!$B$8:$B$2197,A174,'作业明细'!$C$8:$C$2197,"出港")</f>
        <v>14781</v>
      </c>
      <c r="D174" s="20">
        <f>SUM(B174:C174)</f>
        <v>61303</v>
      </c>
      <c r="E174" s="33">
        <f>COUNTIFS('作业明细'!$B$8:$B$2197,A174)</f>
        <v>6</v>
      </c>
      <c r="F174" s="14">
        <f>AVERAGEIFS('作业明细'!$I$8:$I$2197,'作业明细'!$B$8:$B$2197,A174)</f>
        <v>3.63333333333333</v>
      </c>
      <c r="G174" s="14">
        <f>SUMIFS('作业明细'!$H$8:$H$2197,'作业明细'!$B$8:$B$2197,A174)</f>
        <v>53.38</v>
      </c>
      <c r="H174" s="20">
        <f>D174/G174</f>
        <v>1148.42637692019</v>
      </c>
    </row>
    <row r="175">
      <c r="A175" s="34" t="n">
        <v>45825</v>
      </c>
      <c r="B175" s="25">
        <f>SUMIFS('作业明细'!$G$8:$G$2197,'作业明细'!$B$8:$B$2197,A175,'作业明细'!$C$8:$C$2197,"进港")</f>
        <v>50558</v>
      </c>
      <c r="C175" s="25">
        <f>SUMIFS('作业明细'!$G$8:$G$2197,'作业明细'!$B$8:$B$2197,A175,'作业明细'!$C$8:$C$2197,"出港")</f>
        <v>23806</v>
      </c>
      <c r="D175" s="25">
        <f>SUM(B175:C175)</f>
        <v>74364</v>
      </c>
      <c r="E175" s="35">
        <f>COUNTIFS('作业明细'!$B$8:$B$2197,A175)</f>
        <v>6</v>
      </c>
      <c r="F175" s="16">
        <f>AVERAGEIFS('作业明细'!$I$8:$I$2197,'作业明细'!$B$8:$B$2197,A175)</f>
        <v>1.56</v>
      </c>
      <c r="G175" s="16">
        <f>SUMIFS('作业明细'!$H$8:$H$2197,'作业明细'!$B$8:$B$2197,A175)</f>
        <v>64.77</v>
      </c>
      <c r="H175" s="25">
        <f>D175/G175</f>
        <v>1148.12413154238</v>
      </c>
    </row>
    <row r="176">
      <c r="A176" s="32" t="n">
        <v>45826</v>
      </c>
      <c r="B176" s="20">
        <f>SUMIFS('作业明细'!$G$8:$G$2197,'作业明细'!$B$8:$B$2197,A176,'作业明细'!$C$8:$C$2197,"进港")</f>
        <v>59857</v>
      </c>
      <c r="C176" s="20">
        <f>SUMIFS('作业明细'!$G$8:$G$2197,'作业明细'!$B$8:$B$2197,A176,'作业明细'!$C$8:$C$2197,"出港")</f>
        <v>11802</v>
      </c>
      <c r="D176" s="20">
        <f>SUM(B176:C176)</f>
        <v>71659</v>
      </c>
      <c r="E176" s="33">
        <f>COUNTIFS('作业明细'!$B$8:$B$2197,A176)</f>
        <v>6</v>
      </c>
      <c r="F176" s="14">
        <f>AVERAGEIFS('作业明细'!$I$8:$I$2197,'作业明细'!$B$8:$B$2197,A176)</f>
        <v>3.10166666666667</v>
      </c>
      <c r="G176" s="14">
        <f>SUMIFS('作业明细'!$H$8:$H$2197,'作业明细'!$B$8:$B$2197,A176)</f>
        <v>62.52</v>
      </c>
      <c r="H176" s="20">
        <f>D176/G176</f>
        <v>1146.17722328855</v>
      </c>
    </row>
    <row r="177">
      <c r="A177" s="34" t="n">
        <v>45827</v>
      </c>
      <c r="B177" s="25">
        <f>SUMIFS('作业明细'!$G$8:$G$2197,'作业明细'!$B$8:$B$2197,A177,'作业明细'!$C$8:$C$2197,"进港")</f>
        <v>64559</v>
      </c>
      <c r="C177" s="25">
        <f>SUMIFS('作业明细'!$G$8:$G$2197,'作业明细'!$B$8:$B$2197,A177,'作业明细'!$C$8:$C$2197,"出港")</f>
        <v>20671</v>
      </c>
      <c r="D177" s="25">
        <f>SUM(B177:C177)</f>
        <v>85230</v>
      </c>
      <c r="E177" s="35">
        <f>COUNTIFS('作业明细'!$B$8:$B$2197,A177)</f>
        <v>6</v>
      </c>
      <c r="F177" s="16">
        <f>AVERAGEIFS('作业明细'!$I$8:$I$2197,'作业明细'!$B$8:$B$2197,A177)</f>
        <v>2.405</v>
      </c>
      <c r="G177" s="16">
        <f>SUMIFS('作业明细'!$H$8:$H$2197,'作业明细'!$B$8:$B$2197,A177)</f>
        <v>73.67</v>
      </c>
      <c r="H177" s="25">
        <f>D177/G177</f>
        <v>1156.91597665264</v>
      </c>
    </row>
    <row r="178">
      <c r="A178" s="32" t="n">
        <v>45828</v>
      </c>
      <c r="B178" s="20">
        <f>SUMIFS('作业明细'!$G$8:$G$2197,'作业明细'!$B$8:$B$2197,A178,'作业明细'!$C$8:$C$2197,"进港")</f>
        <v>39377</v>
      </c>
      <c r="C178" s="20">
        <f>SUMIFS('作业明细'!$G$8:$G$2197,'作业明细'!$B$8:$B$2197,A178,'作业明细'!$C$8:$C$2197,"出港")</f>
        <v>34223</v>
      </c>
      <c r="D178" s="20">
        <f>SUM(B178:C178)</f>
        <v>73600</v>
      </c>
      <c r="E178" s="33">
        <f>COUNTIFS('作业明细'!$B$8:$B$2197,A178)</f>
        <v>6</v>
      </c>
      <c r="F178" s="14">
        <f>AVERAGEIFS('作业明细'!$I$8:$I$2197,'作业明细'!$B$8:$B$2197,A178)</f>
        <v>2.24333333333333</v>
      </c>
      <c r="G178" s="14">
        <f>SUMIFS('作业明细'!$H$8:$H$2197,'作业明细'!$B$8:$B$2197,A178)</f>
        <v>62.41</v>
      </c>
      <c r="H178" s="20">
        <f>D178/G178</f>
        <v>1179.29818939273</v>
      </c>
    </row>
    <row r="179">
      <c r="A179" s="34" t="n">
        <v>45829</v>
      </c>
      <c r="B179" s="25">
        <f>SUMIFS('作业明细'!$G$8:$G$2197,'作业明细'!$B$8:$B$2197,A179,'作业明细'!$C$8:$C$2197,"进港")</f>
        <v>34450</v>
      </c>
      <c r="C179" s="25">
        <f>SUMIFS('作业明细'!$G$8:$G$2197,'作业明细'!$B$8:$B$2197,A179,'作业明细'!$C$8:$C$2197,"出港")</f>
        <v>46973</v>
      </c>
      <c r="D179" s="25">
        <f>SUM(B179:C179)</f>
        <v>81423</v>
      </c>
      <c r="E179" s="35">
        <f>COUNTIFS('作业明细'!$B$8:$B$2197,A179)</f>
        <v>6</v>
      </c>
      <c r="F179" s="16">
        <f>AVERAGEIFS('作业明细'!$I$8:$I$2197,'作业明细'!$B$8:$B$2197,A179)</f>
        <v>2.68833333333333</v>
      </c>
      <c r="G179" s="16">
        <f>SUMIFS('作业明细'!$H$8:$H$2197,'作业明细'!$B$8:$B$2197,A179)</f>
        <v>65.04</v>
      </c>
      <c r="H179" s="25">
        <f>D179/G179</f>
        <v>1251.89114391144</v>
      </c>
    </row>
    <row r="180">
      <c r="A180" s="32" t="n">
        <v>45830</v>
      </c>
      <c r="B180" s="20">
        <f>SUMIFS('作业明细'!$G$8:$G$2197,'作业明细'!$B$8:$B$2197,A180,'作业明细'!$C$8:$C$2197,"进港")</f>
        <v>57083</v>
      </c>
      <c r="C180" s="20">
        <f>SUMIFS('作业明细'!$G$8:$G$2197,'作业明细'!$B$8:$B$2197,A180,'作业明细'!$C$8:$C$2197,"出港")</f>
        <v>37599</v>
      </c>
      <c r="D180" s="20">
        <f>SUM(B180:C180)</f>
        <v>94682</v>
      </c>
      <c r="E180" s="33">
        <f>COUNTIFS('作业明细'!$B$8:$B$2197,A180)</f>
        <v>6</v>
      </c>
      <c r="F180" s="14">
        <f>AVERAGEIFS('作业明细'!$I$8:$I$2197,'作业明细'!$B$8:$B$2197,A180)</f>
        <v>2.19333333333333</v>
      </c>
      <c r="G180" s="14">
        <f>SUMIFS('作业明细'!$H$8:$H$2197,'作业明细'!$B$8:$B$2197,A180)</f>
        <v>83.05</v>
      </c>
      <c r="H180" s="20">
        <f>D180/G180</f>
        <v>1140.06020469597</v>
      </c>
    </row>
    <row r="181">
      <c r="A181" s="34" t="n">
        <v>45831</v>
      </c>
      <c r="B181" s="25">
        <f>SUMIFS('作业明细'!$G$8:$G$2197,'作业明细'!$B$8:$B$2197,A181,'作业明细'!$C$8:$C$2197,"进港")</f>
        <v>65847</v>
      </c>
      <c r="C181" s="25">
        <f>SUMIFS('作业明细'!$G$8:$G$2197,'作业明细'!$B$8:$B$2197,A181,'作业明细'!$C$8:$C$2197,"出港")</f>
        <v>15302</v>
      </c>
      <c r="D181" s="25">
        <f>SUM(B181:C181)</f>
        <v>81149</v>
      </c>
      <c r="E181" s="35">
        <f>COUNTIFS('作业明细'!$B$8:$B$2197,A181)</f>
        <v>6</v>
      </c>
      <c r="F181" s="16">
        <f>AVERAGEIFS('作业明细'!$I$8:$I$2197,'作业明细'!$B$8:$B$2197,A181)</f>
        <v>3.35333333333333</v>
      </c>
      <c r="G181" s="16">
        <f>SUMIFS('作业明细'!$H$8:$H$2197,'作业明细'!$B$8:$B$2197,A181)</f>
        <v>67.72</v>
      </c>
      <c r="H181" s="25">
        <f>D181/G181</f>
        <v>1198.30183106911</v>
      </c>
    </row>
    <row r="182">
      <c r="A182" s="32" t="n">
        <v>45832</v>
      </c>
      <c r="B182" s="20">
        <f>SUMIFS('作业明细'!$G$8:$G$2197,'作业明细'!$B$8:$B$2197,A182,'作业明细'!$C$8:$C$2197,"进港")</f>
        <v>14487</v>
      </c>
      <c r="C182" s="20">
        <f>SUMIFS('作业明细'!$G$8:$G$2197,'作业明细'!$B$8:$B$2197,A182,'作业明细'!$C$8:$C$2197,"出港")</f>
        <v>65471</v>
      </c>
      <c r="D182" s="20">
        <f>SUM(B182:C182)</f>
        <v>79958</v>
      </c>
      <c r="E182" s="33">
        <f>COUNTIFS('作业明细'!$B$8:$B$2197,A182)</f>
        <v>6</v>
      </c>
      <c r="F182" s="14">
        <f>AVERAGEIFS('作业明细'!$I$8:$I$2197,'作业明细'!$B$8:$B$2197,A182)</f>
        <v>2.44166666666667</v>
      </c>
      <c r="G182" s="14">
        <f>SUMIFS('作业明细'!$H$8:$H$2197,'作业明细'!$B$8:$B$2197,A182)</f>
        <v>63.74</v>
      </c>
      <c r="H182" s="20">
        <f>D182/G182</f>
        <v>1254.43991214308</v>
      </c>
    </row>
    <row r="183">
      <c r="A183" s="34" t="n">
        <v>45833</v>
      </c>
      <c r="B183" s="25">
        <f>SUMIFS('作业明细'!$G$8:$G$2197,'作业明细'!$B$8:$B$2197,A183,'作业明细'!$C$8:$C$2197,"进港")</f>
        <v>61107</v>
      </c>
      <c r="C183" s="25">
        <f>SUMIFS('作业明细'!$G$8:$G$2197,'作业明细'!$B$8:$B$2197,A183,'作业明细'!$C$8:$C$2197,"出港")</f>
        <v>27301</v>
      </c>
      <c r="D183" s="25">
        <f>SUM(B183:C183)</f>
        <v>88408</v>
      </c>
      <c r="E183" s="35">
        <f>COUNTIFS('作业明细'!$B$8:$B$2197,A183)</f>
        <v>6</v>
      </c>
      <c r="F183" s="16">
        <f>AVERAGEIFS('作业明细'!$I$8:$I$2197,'作业明细'!$B$8:$B$2197,A183)</f>
        <v>1.16833333333333</v>
      </c>
      <c r="G183" s="16">
        <f>SUMIFS('作业明细'!$H$8:$H$2197,'作业明细'!$B$8:$B$2197,A183)</f>
        <v>79.62</v>
      </c>
      <c r="H183" s="25">
        <f>D183/G183</f>
        <v>1110.37427781964</v>
      </c>
    </row>
    <row r="184">
      <c r="A184" s="32" t="n">
        <v>45834</v>
      </c>
      <c r="B184" s="20">
        <f>SUMIFS('作业明细'!$G$8:$G$2197,'作业明细'!$B$8:$B$2197,A184,'作业明细'!$C$8:$C$2197,"进港")</f>
        <v>73075</v>
      </c>
      <c r="C184" s="20">
        <f>SUMIFS('作业明细'!$G$8:$G$2197,'作业明细'!$B$8:$B$2197,A184,'作业明细'!$C$8:$C$2197,"出港")</f>
        <v>0</v>
      </c>
      <c r="D184" s="20">
        <f>SUM(B184:C184)</f>
        <v>73075</v>
      </c>
      <c r="E184" s="33">
        <f>COUNTIFS('作业明细'!$B$8:$B$2197,A184)</f>
        <v>6</v>
      </c>
      <c r="F184" s="14">
        <f>AVERAGEIFS('作业明细'!$I$8:$I$2197,'作业明细'!$B$8:$B$2197,A184)</f>
        <v>2.71</v>
      </c>
      <c r="G184" s="14">
        <f>SUMIFS('作业明细'!$H$8:$H$2197,'作业明细'!$B$8:$B$2197,A184)</f>
        <v>65.42</v>
      </c>
      <c r="H184" s="20">
        <f>D184/G184</f>
        <v>1117.01314582696</v>
      </c>
    </row>
    <row r="185">
      <c r="A185" s="34" t="n">
        <v>45835</v>
      </c>
      <c r="B185" s="25">
        <f>SUMIFS('作业明细'!$G$8:$G$2197,'作业明细'!$B$8:$B$2197,A185,'作业明细'!$C$8:$C$2197,"进港")</f>
        <v>25862</v>
      </c>
      <c r="C185" s="25">
        <f>SUMIFS('作业明细'!$G$8:$G$2197,'作业明细'!$B$8:$B$2197,A185,'作业明细'!$C$8:$C$2197,"出港")</f>
        <v>44495</v>
      </c>
      <c r="D185" s="25">
        <f>SUM(B185:C185)</f>
        <v>70357</v>
      </c>
      <c r="E185" s="35">
        <f>COUNTIFS('作业明细'!$B$8:$B$2197,A185)</f>
        <v>6</v>
      </c>
      <c r="F185" s="16">
        <f>AVERAGEIFS('作业明细'!$I$8:$I$2197,'作业明细'!$B$8:$B$2197,A185)</f>
        <v>3.49666666666667</v>
      </c>
      <c r="G185" s="16">
        <f>SUMIFS('作业明细'!$H$8:$H$2197,'作业明细'!$B$8:$B$2197,A185)</f>
        <v>56.35</v>
      </c>
      <c r="H185" s="25">
        <f>D185/G185</f>
        <v>1248.57142857143</v>
      </c>
    </row>
    <row r="186">
      <c r="A186" s="32" t="n">
        <v>45836</v>
      </c>
      <c r="B186" s="20">
        <f>SUMIFS('作业明细'!$G$8:$G$2197,'作业明细'!$B$8:$B$2197,A186,'作业明细'!$C$8:$C$2197,"进港")</f>
        <v>49997</v>
      </c>
      <c r="C186" s="20">
        <f>SUMIFS('作业明细'!$G$8:$G$2197,'作业明细'!$B$8:$B$2197,A186,'作业明细'!$C$8:$C$2197,"出港")</f>
        <v>10965</v>
      </c>
      <c r="D186" s="20">
        <f>SUM(B186:C186)</f>
        <v>60962</v>
      </c>
      <c r="E186" s="33">
        <f>COUNTIFS('作业明细'!$B$8:$B$2197,A186)</f>
        <v>6</v>
      </c>
      <c r="F186" s="14">
        <f>AVERAGEIFS('作业明细'!$I$8:$I$2197,'作业明细'!$B$8:$B$2197,A186)</f>
        <v>2.57833333333333</v>
      </c>
      <c r="G186" s="14">
        <f>SUMIFS('作业明细'!$H$8:$H$2197,'作业明细'!$B$8:$B$2197,A186)</f>
        <v>49.66</v>
      </c>
      <c r="H186" s="20">
        <f>D186/G186</f>
        <v>1227.58759565042</v>
      </c>
    </row>
    <row r="187">
      <c r="A187" s="34" t="n">
        <v>45837</v>
      </c>
      <c r="B187" s="25">
        <f>SUMIFS('作业明细'!$G$8:$G$2197,'作业明细'!$B$8:$B$2197,A187,'作业明细'!$C$8:$C$2197,"进港")</f>
        <v>64043</v>
      </c>
      <c r="C187" s="25">
        <f>SUMIFS('作业明细'!$G$8:$G$2197,'作业明细'!$B$8:$B$2197,A187,'作业明细'!$C$8:$C$2197,"出港")</f>
        <v>14447</v>
      </c>
      <c r="D187" s="25">
        <f>SUM(B187:C187)</f>
        <v>78490</v>
      </c>
      <c r="E187" s="35">
        <f>COUNTIFS('作业明细'!$B$8:$B$2197,A187)</f>
        <v>6</v>
      </c>
      <c r="F187" s="16">
        <f>AVERAGEIFS('作业明细'!$I$8:$I$2197,'作业明细'!$B$8:$B$2197,A187)</f>
        <v>1.94333333333333</v>
      </c>
      <c r="G187" s="16">
        <f>SUMIFS('作业明细'!$H$8:$H$2197,'作业明细'!$B$8:$B$2197,A187)</f>
        <v>70.15</v>
      </c>
      <c r="H187" s="25">
        <f>D187/G187</f>
        <v>1118.88809693514</v>
      </c>
    </row>
    <row r="188">
      <c r="A188" s="32" t="n">
        <v>45838</v>
      </c>
      <c r="B188" s="20">
        <f>SUMIFS('作业明细'!$G$8:$G$2197,'作业明细'!$B$8:$B$2197,A188,'作业明细'!$C$8:$C$2197,"进港")</f>
        <v>73442</v>
      </c>
      <c r="C188" s="20">
        <f>SUMIFS('作业明细'!$G$8:$G$2197,'作业明细'!$B$8:$B$2197,A188,'作业明细'!$C$8:$C$2197,"出港")</f>
        <v>5339</v>
      </c>
      <c r="D188" s="20">
        <f>SUM(B188:C188)</f>
        <v>78781</v>
      </c>
      <c r="E188" s="33">
        <f>COUNTIFS('作业明细'!$B$8:$B$2197,A188)</f>
        <v>6</v>
      </c>
      <c r="F188" s="14">
        <f>AVERAGEIFS('作业明细'!$I$8:$I$2197,'作业明细'!$B$8:$B$2197,A188)</f>
        <v>3.19</v>
      </c>
      <c r="G188" s="14">
        <f>SUMIFS('作业明细'!$H$8:$H$2197,'作业明细'!$B$8:$B$2197,A188)</f>
        <v>68.4</v>
      </c>
      <c r="H188" s="20">
        <f>D188/G188</f>
        <v>1151.76900584795</v>
      </c>
    </row>
    <row r="189">
      <c r="A189" s="34" t="n">
        <v>45839</v>
      </c>
      <c r="B189" s="25">
        <f>SUMIFS('作业明细'!$G$8:$G$2197,'作业明细'!$B$8:$B$2197,A189,'作业明细'!$C$8:$C$2197,"进港")</f>
        <v>30909</v>
      </c>
      <c r="C189" s="25">
        <f>SUMIFS('作业明细'!$G$8:$G$2197,'作业明细'!$B$8:$B$2197,A189,'作业明细'!$C$8:$C$2197,"出港")</f>
        <v>34170</v>
      </c>
      <c r="D189" s="25">
        <f>SUM(B189:C189)</f>
        <v>65079</v>
      </c>
      <c r="E189" s="35">
        <f>COUNTIFS('作业明细'!$B$8:$B$2197,A189)</f>
        <v>6</v>
      </c>
      <c r="F189" s="16">
        <f>AVERAGEIFS('作业明细'!$I$8:$I$2197,'作业明细'!$B$8:$B$2197,A189)</f>
        <v>1.66</v>
      </c>
      <c r="G189" s="16">
        <f>SUMIFS('作业明细'!$H$8:$H$2197,'作业明细'!$B$8:$B$2197,A189)</f>
        <v>51.83</v>
      </c>
      <c r="H189" s="25">
        <f>D189/G189</f>
        <v>1255.62415589427</v>
      </c>
    </row>
    <row r="190">
      <c r="A190" s="32" t="n">
        <v>45840</v>
      </c>
      <c r="B190" s="20">
        <f>SUMIFS('作业明细'!$G$8:$G$2197,'作业明细'!$B$8:$B$2197,A190,'作业明细'!$C$8:$C$2197,"进港")</f>
        <v>64207</v>
      </c>
      <c r="C190" s="20">
        <f>SUMIFS('作业明细'!$G$8:$G$2197,'作业明细'!$B$8:$B$2197,A190,'作业明细'!$C$8:$C$2197,"出港")</f>
        <v>33913</v>
      </c>
      <c r="D190" s="20">
        <f>SUM(B190:C190)</f>
        <v>98120</v>
      </c>
      <c r="E190" s="33">
        <f>COUNTIFS('作业明细'!$B$8:$B$2197,A190)</f>
        <v>6</v>
      </c>
      <c r="F190" s="14">
        <f>AVERAGEIFS('作业明细'!$I$8:$I$2197,'作业明细'!$B$8:$B$2197,A190)</f>
        <v>1.26</v>
      </c>
      <c r="G190" s="14">
        <f>SUMIFS('作业明细'!$H$8:$H$2197,'作业明细'!$B$8:$B$2197,A190)</f>
        <v>78.09</v>
      </c>
      <c r="H190" s="20">
        <f>D190/G190</f>
        <v>1256.49891151236</v>
      </c>
    </row>
    <row r="191">
      <c r="A191" s="34" t="n">
        <v>45841</v>
      </c>
      <c r="B191" s="25">
        <f>SUMIFS('作业明细'!$G$8:$G$2197,'作业明细'!$B$8:$B$2197,A191,'作业明细'!$C$8:$C$2197,"进港")</f>
        <v>51339</v>
      </c>
      <c r="C191" s="25">
        <f>SUMIFS('作业明细'!$G$8:$G$2197,'作业明细'!$B$8:$B$2197,A191,'作业明细'!$C$8:$C$2197,"出港")</f>
        <v>14833</v>
      </c>
      <c r="D191" s="25">
        <f>SUM(B191:C191)</f>
        <v>66172</v>
      </c>
      <c r="E191" s="35">
        <f>COUNTIFS('作业明细'!$B$8:$B$2197,A191)</f>
        <v>6</v>
      </c>
      <c r="F191" s="16">
        <f>AVERAGEIFS('作业明细'!$I$8:$I$2197,'作业明细'!$B$8:$B$2197,A191)</f>
        <v>4.225</v>
      </c>
      <c r="G191" s="16">
        <f>SUMIFS('作业明细'!$H$8:$H$2197,'作业明细'!$B$8:$B$2197,A191)</f>
        <v>62.33</v>
      </c>
      <c r="H191" s="25">
        <f>D191/G191</f>
        <v>1061.63965987486</v>
      </c>
    </row>
    <row r="192">
      <c r="A192" s="32" t="n">
        <v>45842</v>
      </c>
      <c r="B192" s="20">
        <f>SUMIFS('作业明细'!$G$8:$G$2197,'作业明细'!$B$8:$B$2197,A192,'作业明细'!$C$8:$C$2197,"进港")</f>
        <v>69665</v>
      </c>
      <c r="C192" s="20">
        <f>SUMIFS('作业明细'!$G$8:$G$2197,'作业明细'!$B$8:$B$2197,A192,'作业明细'!$C$8:$C$2197,"出港")</f>
        <v>0</v>
      </c>
      <c r="D192" s="20">
        <f>SUM(B192:C192)</f>
        <v>69665</v>
      </c>
      <c r="E192" s="33">
        <f>COUNTIFS('作业明细'!$B$8:$B$2197,A192)</f>
        <v>6</v>
      </c>
      <c r="F192" s="14">
        <f>AVERAGEIFS('作业明细'!$I$8:$I$2197,'作业明细'!$B$8:$B$2197,A192)</f>
        <v>2.77333333333333</v>
      </c>
      <c r="G192" s="14">
        <f>SUMIFS('作业明细'!$H$8:$H$2197,'作业明细'!$B$8:$B$2197,A192)</f>
        <v>65.51</v>
      </c>
      <c r="H192" s="20">
        <f>D192/G192</f>
        <v>1063.42543123187</v>
      </c>
    </row>
    <row r="193">
      <c r="A193" s="34" t="n">
        <v>45843</v>
      </c>
      <c r="B193" s="25">
        <f>SUMIFS('作业明细'!$G$8:$G$2197,'作业明细'!$B$8:$B$2197,A193,'作业明细'!$C$8:$C$2197,"进港")</f>
        <v>59017</v>
      </c>
      <c r="C193" s="25">
        <f>SUMIFS('作业明细'!$G$8:$G$2197,'作业明细'!$B$8:$B$2197,A193,'作业明细'!$C$8:$C$2197,"出港")</f>
        <v>27405</v>
      </c>
      <c r="D193" s="25">
        <f>SUM(B193:C193)</f>
        <v>86422</v>
      </c>
      <c r="E193" s="35">
        <f>COUNTIFS('作业明细'!$B$8:$B$2197,A193)</f>
        <v>6</v>
      </c>
      <c r="F193" s="16">
        <f>AVERAGEIFS('作业明细'!$I$8:$I$2197,'作业明细'!$B$8:$B$2197,A193)</f>
        <v>1.62333333333333</v>
      </c>
      <c r="G193" s="16">
        <f>SUMIFS('作业明细'!$H$8:$H$2197,'作业明细'!$B$8:$B$2197,A193)</f>
        <v>71.16</v>
      </c>
      <c r="H193" s="25">
        <f>D193/G193</f>
        <v>1214.47442383361</v>
      </c>
    </row>
    <row r="194">
      <c r="A194" s="32" t="n">
        <v>45844</v>
      </c>
      <c r="B194" s="20">
        <f>SUMIFS('作业明细'!$G$8:$G$2197,'作业明细'!$B$8:$B$2197,A194,'作业明细'!$C$8:$C$2197,"进港")</f>
        <v>51830</v>
      </c>
      <c r="C194" s="20">
        <f>SUMIFS('作业明细'!$G$8:$G$2197,'作业明细'!$B$8:$B$2197,A194,'作业明细'!$C$8:$C$2197,"出港")</f>
        <v>28304</v>
      </c>
      <c r="D194" s="20">
        <f>SUM(B194:C194)</f>
        <v>80134</v>
      </c>
      <c r="E194" s="33">
        <f>COUNTIFS('作业明细'!$B$8:$B$2197,A194)</f>
        <v>6</v>
      </c>
      <c r="F194" s="14">
        <f>AVERAGEIFS('作业明细'!$I$8:$I$2197,'作业明细'!$B$8:$B$2197,A194)</f>
        <v>2.41</v>
      </c>
      <c r="G194" s="14">
        <f>SUMIFS('作业明细'!$H$8:$H$2197,'作业明细'!$B$8:$B$2197,A194)</f>
        <v>66.78</v>
      </c>
      <c r="H194" s="20">
        <f>D194/G194</f>
        <v>1199.97005091345</v>
      </c>
    </row>
    <row r="195">
      <c r="A195" s="34" t="n">
        <v>45845</v>
      </c>
      <c r="B195" s="25">
        <f>SUMIFS('作业明细'!$G$8:$G$2197,'作业明细'!$B$8:$B$2197,A195,'作业明细'!$C$8:$C$2197,"进港")</f>
        <v>85176</v>
      </c>
      <c r="C195" s="25">
        <f>SUMIFS('作业明细'!$G$8:$G$2197,'作业明细'!$B$8:$B$2197,A195,'作业明细'!$C$8:$C$2197,"出港")</f>
        <v>11218</v>
      </c>
      <c r="D195" s="25">
        <f>SUM(B195:C195)</f>
        <v>96394</v>
      </c>
      <c r="E195" s="35">
        <f>COUNTIFS('作业明细'!$B$8:$B$2197,A195)</f>
        <v>6</v>
      </c>
      <c r="F195" s="16">
        <f>AVERAGEIFS('作业明细'!$I$8:$I$2197,'作业明细'!$B$8:$B$2197,A195)</f>
        <v>2.585</v>
      </c>
      <c r="G195" s="16">
        <f>SUMIFS('作业明细'!$H$8:$H$2197,'作业明细'!$B$8:$B$2197,A195)</f>
        <v>76.95</v>
      </c>
      <c r="H195" s="25">
        <f>D195/G195</f>
        <v>1252.68356075374</v>
      </c>
    </row>
    <row r="196">
      <c r="A196" s="32" t="n">
        <v>45846</v>
      </c>
      <c r="B196" s="20">
        <f>SUMIFS('作业明细'!$G$8:$G$2197,'作业明细'!$B$8:$B$2197,A196,'作业明细'!$C$8:$C$2197,"进港")</f>
        <v>69334</v>
      </c>
      <c r="C196" s="20">
        <f>SUMIFS('作业明细'!$G$8:$G$2197,'作业明细'!$B$8:$B$2197,A196,'作业明细'!$C$8:$C$2197,"出港")</f>
        <v>17711</v>
      </c>
      <c r="D196" s="20">
        <f>SUM(B196:C196)</f>
        <v>87045</v>
      </c>
      <c r="E196" s="33">
        <f>COUNTIFS('作业明细'!$B$8:$B$2197,A196)</f>
        <v>6</v>
      </c>
      <c r="F196" s="14">
        <f>AVERAGEIFS('作业明细'!$I$8:$I$2197,'作业明细'!$B$8:$B$2197,A196)</f>
        <v>3.45</v>
      </c>
      <c r="G196" s="14">
        <f>SUMIFS('作业明细'!$H$8:$H$2197,'作业明细'!$B$8:$B$2197,A196)</f>
        <v>70.78</v>
      </c>
      <c r="H196" s="20">
        <f>D196/G196</f>
        <v>1229.7965526985</v>
      </c>
    </row>
    <row r="197">
      <c r="A197" s="34" t="n">
        <v>45847</v>
      </c>
      <c r="B197" s="25">
        <f>SUMIFS('作业明细'!$G$8:$G$2197,'作业明细'!$B$8:$B$2197,A197,'作业明细'!$C$8:$C$2197,"进港")</f>
        <v>39544</v>
      </c>
      <c r="C197" s="25">
        <f>SUMIFS('作业明细'!$G$8:$G$2197,'作业明细'!$B$8:$B$2197,A197,'作业明细'!$C$8:$C$2197,"出港")</f>
        <v>30134</v>
      </c>
      <c r="D197" s="25">
        <f>SUM(B197:C197)</f>
        <v>69678</v>
      </c>
      <c r="E197" s="35">
        <f>COUNTIFS('作业明细'!$B$8:$B$2197,A197)</f>
        <v>6</v>
      </c>
      <c r="F197" s="16">
        <f>AVERAGEIFS('作业明细'!$I$8:$I$2197,'作业明细'!$B$8:$B$2197,A197)</f>
        <v>3.00166666666667</v>
      </c>
      <c r="G197" s="16">
        <f>SUMIFS('作业明细'!$H$8:$H$2197,'作业明细'!$B$8:$B$2197,A197)</f>
        <v>57.23</v>
      </c>
      <c r="H197" s="25">
        <f>D197/G197</f>
        <v>1217.50829984274</v>
      </c>
    </row>
    <row r="198">
      <c r="A198" s="32" t="n">
        <v>45848</v>
      </c>
      <c r="B198" s="20">
        <f>SUMIFS('作业明细'!$G$8:$G$2197,'作业明细'!$B$8:$B$2197,A198,'作业明细'!$C$8:$C$2197,"进港")</f>
        <v>40039</v>
      </c>
      <c r="C198" s="20">
        <f>SUMIFS('作业明细'!$G$8:$G$2197,'作业明细'!$B$8:$B$2197,A198,'作业明细'!$C$8:$C$2197,"出港")</f>
        <v>17841</v>
      </c>
      <c r="D198" s="20">
        <f>SUM(B198:C198)</f>
        <v>57880</v>
      </c>
      <c r="E198" s="33">
        <f>COUNTIFS('作业明细'!$B$8:$B$2197,A198)</f>
        <v>6</v>
      </c>
      <c r="F198" s="14">
        <f>AVERAGEIFS('作业明细'!$I$8:$I$2197,'作业明细'!$B$8:$B$2197,A198)</f>
        <v>2.63333333333333</v>
      </c>
      <c r="G198" s="14">
        <f>SUMIFS('作业明细'!$H$8:$H$2197,'作业明细'!$B$8:$B$2197,A198)</f>
        <v>55.51</v>
      </c>
      <c r="H198" s="20">
        <f>D198/G198</f>
        <v>1042.69500990812</v>
      </c>
    </row>
    <row r="199">
      <c r="A199" s="34" t="n">
        <v>45849</v>
      </c>
      <c r="B199" s="25">
        <f>SUMIFS('作业明细'!$G$8:$G$2197,'作业明细'!$B$8:$B$2197,A199,'作业明细'!$C$8:$C$2197,"进港")</f>
        <v>44729</v>
      </c>
      <c r="C199" s="25">
        <f>SUMIFS('作业明细'!$G$8:$G$2197,'作业明细'!$B$8:$B$2197,A199,'作业明细'!$C$8:$C$2197,"出港")</f>
        <v>23795</v>
      </c>
      <c r="D199" s="25">
        <f>SUM(B199:C199)</f>
        <v>68524</v>
      </c>
      <c r="E199" s="35">
        <f>COUNTIFS('作业明细'!$B$8:$B$2197,A199)</f>
        <v>6</v>
      </c>
      <c r="F199" s="16">
        <f>AVERAGEIFS('作业明细'!$I$8:$I$2197,'作业明细'!$B$8:$B$2197,A199)</f>
        <v>2.82</v>
      </c>
      <c r="G199" s="16">
        <f>SUMIFS('作业明细'!$H$8:$H$2197,'作业明细'!$B$8:$B$2197,A199)</f>
        <v>56.82</v>
      </c>
      <c r="H199" s="25">
        <f>D199/G199</f>
        <v>1205.98380851813</v>
      </c>
    </row>
    <row r="200">
      <c r="A200" s="32" t="n">
        <v>45850</v>
      </c>
      <c r="B200" s="20">
        <f>SUMIFS('作业明细'!$G$8:$G$2197,'作业明细'!$B$8:$B$2197,A200,'作业明细'!$C$8:$C$2197,"进港")</f>
        <v>33286</v>
      </c>
      <c r="C200" s="20">
        <f>SUMIFS('作业明细'!$G$8:$G$2197,'作业明细'!$B$8:$B$2197,A200,'作业明细'!$C$8:$C$2197,"出港")</f>
        <v>35284</v>
      </c>
      <c r="D200" s="20">
        <f>SUM(B200:C200)</f>
        <v>68570</v>
      </c>
      <c r="E200" s="33">
        <f>COUNTIFS('作业明细'!$B$8:$B$2197,A200)</f>
        <v>6</v>
      </c>
      <c r="F200" s="14">
        <f>AVERAGEIFS('作业明细'!$I$8:$I$2197,'作业明细'!$B$8:$B$2197,A200)</f>
        <v>2.71333333333333</v>
      </c>
      <c r="G200" s="14">
        <f>SUMIFS('作业明细'!$H$8:$H$2197,'作业明细'!$B$8:$B$2197,A200)</f>
        <v>65.76</v>
      </c>
      <c r="H200" s="20">
        <f>D200/G200</f>
        <v>1042.73114355231</v>
      </c>
    </row>
    <row r="201">
      <c r="A201" s="34" t="n">
        <v>45851</v>
      </c>
      <c r="B201" s="25">
        <f>SUMIFS('作业明细'!$G$8:$G$2197,'作业明细'!$B$8:$B$2197,A201,'作业明细'!$C$8:$C$2197,"进港")</f>
        <v>33860</v>
      </c>
      <c r="C201" s="25">
        <f>SUMIFS('作业明细'!$G$8:$G$2197,'作业明细'!$B$8:$B$2197,A201,'作业明细'!$C$8:$C$2197,"出港")</f>
        <v>31965</v>
      </c>
      <c r="D201" s="25">
        <f>SUM(B201:C201)</f>
        <v>65825</v>
      </c>
      <c r="E201" s="35">
        <f>COUNTIFS('作业明细'!$B$8:$B$2197,A201)</f>
        <v>6</v>
      </c>
      <c r="F201" s="16">
        <f>AVERAGEIFS('作业明细'!$I$8:$I$2197,'作业明细'!$B$8:$B$2197,A201)</f>
        <v>3.835</v>
      </c>
      <c r="G201" s="16">
        <f>SUMIFS('作业明细'!$H$8:$H$2197,'作业明细'!$B$8:$B$2197,A201)</f>
        <v>54.1</v>
      </c>
      <c r="H201" s="25">
        <f>D201/G201</f>
        <v>1216.72828096118</v>
      </c>
    </row>
    <row r="202">
      <c r="A202" s="32" t="n">
        <v>45852</v>
      </c>
      <c r="B202" s="20">
        <f>SUMIFS('作业明细'!$G$8:$G$2197,'作业明细'!$B$8:$B$2197,A202,'作业明细'!$C$8:$C$2197,"进港")</f>
        <v>71947</v>
      </c>
      <c r="C202" s="20">
        <f>SUMIFS('作业明细'!$G$8:$G$2197,'作业明细'!$B$8:$B$2197,A202,'作业明细'!$C$8:$C$2197,"出港")</f>
        <v>11371</v>
      </c>
      <c r="D202" s="20">
        <f>SUM(B202:C202)</f>
        <v>83318</v>
      </c>
      <c r="E202" s="33">
        <f>COUNTIFS('作业明细'!$B$8:$B$2197,A202)</f>
        <v>6</v>
      </c>
      <c r="F202" s="14">
        <f>AVERAGEIFS('作业明细'!$I$8:$I$2197,'作业明细'!$B$8:$B$2197,A202)</f>
        <v>1.63</v>
      </c>
      <c r="G202" s="14">
        <f>SUMIFS('作业明细'!$H$8:$H$2197,'作业明细'!$B$8:$B$2197,A202)</f>
        <v>72.9</v>
      </c>
      <c r="H202" s="20">
        <f>D202/G202</f>
        <v>1142.90809327846</v>
      </c>
    </row>
    <row r="203">
      <c r="A203" s="34" t="n">
        <v>45853</v>
      </c>
      <c r="B203" s="25">
        <f>SUMIFS('作业明细'!$G$8:$G$2197,'作业明细'!$B$8:$B$2197,A203,'作业明细'!$C$8:$C$2197,"进港")</f>
        <v>35338</v>
      </c>
      <c r="C203" s="25">
        <f>SUMIFS('作业明细'!$G$8:$G$2197,'作业明细'!$B$8:$B$2197,A203,'作业明细'!$C$8:$C$2197,"出港")</f>
        <v>47143</v>
      </c>
      <c r="D203" s="25">
        <f>SUM(B203:C203)</f>
        <v>82481</v>
      </c>
      <c r="E203" s="35">
        <f>COUNTIFS('作业明细'!$B$8:$B$2197,A203)</f>
        <v>6</v>
      </c>
      <c r="F203" s="16">
        <f>AVERAGEIFS('作业明细'!$I$8:$I$2197,'作业明细'!$B$8:$B$2197,A203)</f>
        <v>1.41</v>
      </c>
      <c r="G203" s="16">
        <f>SUMIFS('作业明细'!$H$8:$H$2197,'作业明细'!$B$8:$B$2197,A203)</f>
        <v>68.75</v>
      </c>
      <c r="H203" s="25">
        <f>D203/G203</f>
        <v>1199.72363636364</v>
      </c>
    </row>
    <row r="204">
      <c r="A204" s="32" t="n">
        <v>45854</v>
      </c>
      <c r="B204" s="20">
        <f>SUMIFS('作业明细'!$G$8:$G$2197,'作业明细'!$B$8:$B$2197,A204,'作业明细'!$C$8:$C$2197,"进港")</f>
        <v>49464</v>
      </c>
      <c r="C204" s="20">
        <f>SUMIFS('作业明细'!$G$8:$G$2197,'作业明细'!$B$8:$B$2197,A204,'作业明细'!$C$8:$C$2197,"出港")</f>
        <v>27139</v>
      </c>
      <c r="D204" s="20">
        <f>SUM(B204:C204)</f>
        <v>76603</v>
      </c>
      <c r="E204" s="33">
        <f>COUNTIFS('作业明细'!$B$8:$B$2197,A204)</f>
        <v>6</v>
      </c>
      <c r="F204" s="14">
        <f>AVERAGEIFS('作业明细'!$I$8:$I$2197,'作业明细'!$B$8:$B$2197,A204)</f>
        <v>3.625</v>
      </c>
      <c r="G204" s="14">
        <f>SUMIFS('作业明细'!$H$8:$H$2197,'作业明细'!$B$8:$B$2197,A204)</f>
        <v>63.37</v>
      </c>
      <c r="H204" s="20">
        <f>D204/G204</f>
        <v>1208.82120877387</v>
      </c>
    </row>
    <row r="205">
      <c r="A205" s="34" t="n">
        <v>45855</v>
      </c>
      <c r="B205" s="25">
        <f>SUMIFS('作业明细'!$G$8:$G$2197,'作业明细'!$B$8:$B$2197,A205,'作业明细'!$C$8:$C$2197,"进港")</f>
        <v>31281</v>
      </c>
      <c r="C205" s="25">
        <f>SUMIFS('作业明细'!$G$8:$G$2197,'作业明细'!$B$8:$B$2197,A205,'作业明细'!$C$8:$C$2197,"出港")</f>
        <v>55313</v>
      </c>
      <c r="D205" s="25">
        <f>SUM(B205:C205)</f>
        <v>86594</v>
      </c>
      <c r="E205" s="35">
        <f>COUNTIFS('作业明细'!$B$8:$B$2197,A205)</f>
        <v>6</v>
      </c>
      <c r="F205" s="16">
        <f>AVERAGEIFS('作业明细'!$I$8:$I$2197,'作业明细'!$B$8:$B$2197,A205)</f>
        <v>2.915</v>
      </c>
      <c r="G205" s="16">
        <f>SUMIFS('作业明细'!$H$8:$H$2197,'作业明细'!$B$8:$B$2197,A205)</f>
        <v>76.78</v>
      </c>
      <c r="H205" s="25">
        <f>D205/G205</f>
        <v>1127.81974472519</v>
      </c>
    </row>
    <row r="206">
      <c r="A206" s="32" t="n">
        <v>45856</v>
      </c>
      <c r="B206" s="20">
        <f>SUMIFS('作业明细'!$G$8:$G$2197,'作业明细'!$B$8:$B$2197,A206,'作业明细'!$C$8:$C$2197,"进港")</f>
        <v>41964</v>
      </c>
      <c r="C206" s="20">
        <f>SUMIFS('作业明细'!$G$8:$G$2197,'作业明细'!$B$8:$B$2197,A206,'作业明细'!$C$8:$C$2197,"出港")</f>
        <v>50869</v>
      </c>
      <c r="D206" s="20">
        <f>SUM(B206:C206)</f>
        <v>92833</v>
      </c>
      <c r="E206" s="33">
        <f>COUNTIFS('作业明细'!$B$8:$B$2197,A206)</f>
        <v>6</v>
      </c>
      <c r="F206" s="14">
        <f>AVERAGEIFS('作业明细'!$I$8:$I$2197,'作业明细'!$B$8:$B$2197,A206)</f>
        <v>2.335</v>
      </c>
      <c r="G206" s="14">
        <f>SUMIFS('作业明细'!$H$8:$H$2197,'作业明细'!$B$8:$B$2197,A206)</f>
        <v>77.48</v>
      </c>
      <c r="H206" s="20">
        <f>D206/G206</f>
        <v>1198.15436241611</v>
      </c>
    </row>
    <row r="207">
      <c r="A207" s="34" t="n">
        <v>45857</v>
      </c>
      <c r="B207" s="25">
        <f>SUMIFS('作业明细'!$G$8:$G$2197,'作业明细'!$B$8:$B$2197,A207,'作业明细'!$C$8:$C$2197,"进港")</f>
        <v>8921</v>
      </c>
      <c r="C207" s="25">
        <f>SUMIFS('作业明细'!$G$8:$G$2197,'作业明细'!$B$8:$B$2197,A207,'作业明细'!$C$8:$C$2197,"出港")</f>
        <v>63133</v>
      </c>
      <c r="D207" s="25">
        <f>SUM(B207:C207)</f>
        <v>72054</v>
      </c>
      <c r="E207" s="35">
        <f>COUNTIFS('作业明细'!$B$8:$B$2197,A207)</f>
        <v>6</v>
      </c>
      <c r="F207" s="16">
        <f>AVERAGEIFS('作业明细'!$I$8:$I$2197,'作业明细'!$B$8:$B$2197,A207)</f>
        <v>1.38166666666667</v>
      </c>
      <c r="G207" s="16">
        <f>SUMIFS('作业明细'!$H$8:$H$2197,'作业明细'!$B$8:$B$2197,A207)</f>
        <v>65.21</v>
      </c>
      <c r="H207" s="25">
        <f>D207/G207</f>
        <v>1104.95322803251</v>
      </c>
    </row>
    <row r="208">
      <c r="A208" s="32" t="n">
        <v>45858</v>
      </c>
      <c r="B208" s="20">
        <f>SUMIFS('作业明细'!$G$8:$G$2197,'作业明细'!$B$8:$B$2197,A208,'作业明细'!$C$8:$C$2197,"进港")</f>
        <v>73411</v>
      </c>
      <c r="C208" s="20">
        <f>SUMIFS('作业明细'!$G$8:$G$2197,'作业明细'!$B$8:$B$2197,A208,'作业明细'!$C$8:$C$2197,"出港")</f>
        <v>5489</v>
      </c>
      <c r="D208" s="20">
        <f>SUM(B208:C208)</f>
        <v>78900</v>
      </c>
      <c r="E208" s="33">
        <f>COUNTIFS('作业明细'!$B$8:$B$2197,A208)</f>
        <v>6</v>
      </c>
      <c r="F208" s="14">
        <f>AVERAGEIFS('作业明细'!$I$8:$I$2197,'作业明细'!$B$8:$B$2197,A208)</f>
        <v>1.78833333333333</v>
      </c>
      <c r="G208" s="14">
        <f>SUMIFS('作业明细'!$H$8:$H$2197,'作业明细'!$B$8:$B$2197,A208)</f>
        <v>61.53</v>
      </c>
      <c r="H208" s="20">
        <f>D208/G208</f>
        <v>1282.30131643101</v>
      </c>
    </row>
    <row r="209">
      <c r="A209" s="34" t="n">
        <v>45859</v>
      </c>
      <c r="B209" s="25">
        <f>SUMIFS('作业明细'!$G$8:$G$2197,'作业明细'!$B$8:$B$2197,A209,'作业明细'!$C$8:$C$2197,"进港")</f>
        <v>67254</v>
      </c>
      <c r="C209" s="25">
        <f>SUMIFS('作业明细'!$G$8:$G$2197,'作业明细'!$B$8:$B$2197,A209,'作业明细'!$C$8:$C$2197,"出港")</f>
        <v>16057</v>
      </c>
      <c r="D209" s="25">
        <f>SUM(B209:C209)</f>
        <v>83311</v>
      </c>
      <c r="E209" s="35">
        <f>COUNTIFS('作业明细'!$B$8:$B$2197,A209)</f>
        <v>6</v>
      </c>
      <c r="F209" s="16">
        <f>AVERAGEIFS('作业明细'!$I$8:$I$2197,'作业明细'!$B$8:$B$2197,A209)</f>
        <v>2.77833333333333</v>
      </c>
      <c r="G209" s="16">
        <f>SUMIFS('作业明细'!$H$8:$H$2197,'作业明细'!$B$8:$B$2197,A209)</f>
        <v>72.88</v>
      </c>
      <c r="H209" s="25">
        <f>D209/G209</f>
        <v>1143.12568605928</v>
      </c>
    </row>
    <row r="210">
      <c r="A210" s="32" t="n">
        <v>45860</v>
      </c>
      <c r="B210" s="20">
        <f>SUMIFS('作业明细'!$G$8:$G$2197,'作业明细'!$B$8:$B$2197,A210,'作业明细'!$C$8:$C$2197,"进港")</f>
        <v>54137</v>
      </c>
      <c r="C210" s="20">
        <f>SUMIFS('作业明细'!$G$8:$G$2197,'作业明细'!$B$8:$B$2197,A210,'作业明细'!$C$8:$C$2197,"出港")</f>
        <v>2560</v>
      </c>
      <c r="D210" s="20">
        <f>SUM(B210:C210)</f>
        <v>56697</v>
      </c>
      <c r="E210" s="33">
        <f>COUNTIFS('作业明细'!$B$8:$B$2197,A210)</f>
        <v>6</v>
      </c>
      <c r="F210" s="14">
        <f>AVERAGEIFS('作业明细'!$I$8:$I$2197,'作业明细'!$B$8:$B$2197,A210)</f>
        <v>9.16</v>
      </c>
      <c r="G210" s="14">
        <f>SUMIFS('作业明细'!$H$8:$H$2197,'作业明细'!$B$8:$B$2197,A210)</f>
        <v>47.07</v>
      </c>
      <c r="H210" s="20">
        <f>D210/G210</f>
        <v>1204.52517527087</v>
      </c>
    </row>
    <row r="211">
      <c r="A211" s="34" t="n">
        <v>45861</v>
      </c>
      <c r="B211" s="25">
        <f>SUMIFS('作业明细'!$G$8:$G$2197,'作业明细'!$B$8:$B$2197,A211,'作业明细'!$C$8:$C$2197,"进港")</f>
        <v>40113</v>
      </c>
      <c r="C211" s="25">
        <f>SUMIFS('作业明细'!$G$8:$G$2197,'作业明细'!$B$8:$B$2197,A211,'作业明细'!$C$8:$C$2197,"出港")</f>
        <v>17780</v>
      </c>
      <c r="D211" s="25">
        <f>SUM(B211:C211)</f>
        <v>57893</v>
      </c>
      <c r="E211" s="35">
        <f>COUNTIFS('作业明细'!$B$8:$B$2197,A211)</f>
        <v>6</v>
      </c>
      <c r="F211" s="16">
        <f>AVERAGEIFS('作业明细'!$I$8:$I$2197,'作业明细'!$B$8:$B$2197,A211)</f>
        <v>9.65166666666667</v>
      </c>
      <c r="G211" s="16">
        <f>SUMIFS('作业明细'!$H$8:$H$2197,'作业明细'!$B$8:$B$2197,A211)</f>
        <v>52.06</v>
      </c>
      <c r="H211" s="25">
        <f>D211/G211</f>
        <v>1112.04379562044</v>
      </c>
    </row>
    <row r="212">
      <c r="A212" s="32" t="n">
        <v>45862</v>
      </c>
      <c r="B212" s="20">
        <f>SUMIFS('作业明细'!$G$8:$G$2197,'作业明细'!$B$8:$B$2197,A212,'作业明细'!$C$8:$C$2197,"进港")</f>
        <v>38887</v>
      </c>
      <c r="C212" s="20">
        <f>SUMIFS('作业明细'!$G$8:$G$2197,'作业明细'!$B$8:$B$2197,A212,'作业明细'!$C$8:$C$2197,"出港")</f>
        <v>9826</v>
      </c>
      <c r="D212" s="20">
        <f>SUM(B212:C212)</f>
        <v>48713</v>
      </c>
      <c r="E212" s="33">
        <f>COUNTIFS('作业明细'!$B$8:$B$2197,A212)</f>
        <v>6</v>
      </c>
      <c r="F212" s="14">
        <f>AVERAGEIFS('作业明细'!$I$8:$I$2197,'作业明细'!$B$8:$B$2197,A212)</f>
        <v>9.11833333333333</v>
      </c>
      <c r="G212" s="14">
        <f>SUMIFS('作业明细'!$H$8:$H$2197,'作业明细'!$B$8:$B$2197,A212)</f>
        <v>40.83</v>
      </c>
      <c r="H212" s="20">
        <f>D212/G212</f>
        <v>1193.06882194465</v>
      </c>
    </row>
    <row r="213">
      <c r="A213" s="34" t="n">
        <v>45863</v>
      </c>
      <c r="B213" s="25">
        <f>SUMIFS('作业明细'!$G$8:$G$2197,'作业明细'!$B$8:$B$2197,A213,'作业明细'!$C$8:$C$2197,"进港")</f>
        <v>43519</v>
      </c>
      <c r="C213" s="25">
        <f>SUMIFS('作业明细'!$G$8:$G$2197,'作业明细'!$B$8:$B$2197,A213,'作业明细'!$C$8:$C$2197,"出港")</f>
        <v>14343</v>
      </c>
      <c r="D213" s="25">
        <f>SUM(B213:C213)</f>
        <v>57862</v>
      </c>
      <c r="E213" s="35">
        <f>COUNTIFS('作业明细'!$B$8:$B$2197,A213)</f>
        <v>6</v>
      </c>
      <c r="F213" s="16">
        <f>AVERAGEIFS('作业明细'!$I$8:$I$2197,'作业明细'!$B$8:$B$2197,A213)</f>
        <v>10.205</v>
      </c>
      <c r="G213" s="16">
        <f>SUMIFS('作业明细'!$H$8:$H$2197,'作业明细'!$B$8:$B$2197,A213)</f>
        <v>52.48</v>
      </c>
      <c r="H213" s="25">
        <f>D213/G213</f>
        <v>1102.55335365854</v>
      </c>
    </row>
    <row r="214">
      <c r="A214" s="32" t="n">
        <v>45864</v>
      </c>
      <c r="B214" s="20">
        <f>SUMIFS('作业明细'!$G$8:$G$2197,'作业明细'!$B$8:$B$2197,A214,'作业明细'!$C$8:$C$2197,"进港")</f>
        <v>23146</v>
      </c>
      <c r="C214" s="20">
        <f>SUMIFS('作业明细'!$G$8:$G$2197,'作业明细'!$B$8:$B$2197,A214,'作业明细'!$C$8:$C$2197,"出港")</f>
        <v>29610</v>
      </c>
      <c r="D214" s="20">
        <f>SUM(B214:C214)</f>
        <v>52756</v>
      </c>
      <c r="E214" s="33">
        <f>COUNTIFS('作业明细'!$B$8:$B$2197,A214)</f>
        <v>6</v>
      </c>
      <c r="F214" s="14">
        <f>AVERAGEIFS('作业明细'!$I$8:$I$2197,'作业明细'!$B$8:$B$2197,A214)</f>
        <v>11.2433333333333</v>
      </c>
      <c r="G214" s="14">
        <f>SUMIFS('作业明细'!$H$8:$H$2197,'作业明细'!$B$8:$B$2197,A214)</f>
        <v>47.43</v>
      </c>
      <c r="H214" s="20">
        <f>D214/G214</f>
        <v>1112.29179843981</v>
      </c>
    </row>
    <row r="215">
      <c r="A215" s="34" t="n">
        <v>45865</v>
      </c>
      <c r="B215" s="25">
        <f>SUMIFS('作业明细'!$G$8:$G$2197,'作业明细'!$B$8:$B$2197,A215,'作业明细'!$C$8:$C$2197,"进港")</f>
        <v>31492</v>
      </c>
      <c r="C215" s="25">
        <f>SUMIFS('作业明细'!$G$8:$G$2197,'作业明细'!$B$8:$B$2197,A215,'作业明细'!$C$8:$C$2197,"出港")</f>
        <v>8551</v>
      </c>
      <c r="D215" s="25">
        <f>SUM(B215:C215)</f>
        <v>40043</v>
      </c>
      <c r="E215" s="35">
        <f>COUNTIFS('作业明细'!$B$8:$B$2197,A215)</f>
        <v>6</v>
      </c>
      <c r="F215" s="16">
        <f>AVERAGEIFS('作业明细'!$I$8:$I$2197,'作业明细'!$B$8:$B$2197,A215)</f>
        <v>11.4333333333333</v>
      </c>
      <c r="G215" s="16">
        <f>SUMIFS('作业明细'!$H$8:$H$2197,'作业明细'!$B$8:$B$2197,A215)</f>
        <v>36.64</v>
      </c>
      <c r="H215" s="25">
        <f>D215/G215</f>
        <v>1092.87663755459</v>
      </c>
    </row>
    <row r="216">
      <c r="A216" s="32" t="n">
        <v>45866</v>
      </c>
      <c r="B216" s="20">
        <f>SUMIFS('作业明细'!$G$8:$G$2197,'作业明细'!$B$8:$B$2197,A216,'作业明细'!$C$8:$C$2197,"进港")</f>
        <v>58920</v>
      </c>
      <c r="C216" s="20">
        <f>SUMIFS('作业明细'!$G$8:$G$2197,'作业明细'!$B$8:$B$2197,A216,'作业明细'!$C$8:$C$2197,"出港")</f>
        <v>30470</v>
      </c>
      <c r="D216" s="20">
        <f>SUM(B216:C216)</f>
        <v>89390</v>
      </c>
      <c r="E216" s="33">
        <f>COUNTIFS('作业明细'!$B$8:$B$2197,A216)</f>
        <v>6</v>
      </c>
      <c r="F216" s="14">
        <f>AVERAGEIFS('作业明细'!$I$8:$I$2197,'作业明细'!$B$8:$B$2197,A216)</f>
        <v>1.59833333333333</v>
      </c>
      <c r="G216" s="14">
        <f>SUMIFS('作业明细'!$H$8:$H$2197,'作业明细'!$B$8:$B$2197,A216)</f>
        <v>75.33</v>
      </c>
      <c r="H216" s="20">
        <f>D216/G216</f>
        <v>1186.6454267888</v>
      </c>
    </row>
    <row r="217">
      <c r="A217" s="34" t="n">
        <v>45867</v>
      </c>
      <c r="B217" s="25">
        <f>SUMIFS('作业明细'!$G$8:$G$2197,'作业明细'!$B$8:$B$2197,A217,'作业明细'!$C$8:$C$2197,"进港")</f>
        <v>79498</v>
      </c>
      <c r="C217" s="25">
        <f>SUMIFS('作业明细'!$G$8:$G$2197,'作业明细'!$B$8:$B$2197,A217,'作业明细'!$C$8:$C$2197,"出港")</f>
        <v>25531</v>
      </c>
      <c r="D217" s="25">
        <f>SUM(B217:C217)</f>
        <v>105029</v>
      </c>
      <c r="E217" s="35">
        <f>COUNTIFS('作业明细'!$B$8:$B$2197,A217)</f>
        <v>6</v>
      </c>
      <c r="F217" s="16">
        <f>AVERAGEIFS('作业明细'!$I$8:$I$2197,'作业明细'!$B$8:$B$2197,A217)</f>
        <v>3.07</v>
      </c>
      <c r="G217" s="16">
        <f>SUMIFS('作业明细'!$H$8:$H$2197,'作业明细'!$B$8:$B$2197,A217)</f>
        <v>94.1</v>
      </c>
      <c r="H217" s="25">
        <f>D217/G217</f>
        <v>1116.14240170032</v>
      </c>
    </row>
    <row r="218">
      <c r="A218" s="32" t="n">
        <v>45868</v>
      </c>
      <c r="B218" s="20">
        <f>SUMIFS('作业明细'!$G$8:$G$2197,'作业明细'!$B$8:$B$2197,A218,'作业明细'!$C$8:$C$2197,"进港")</f>
        <v>31082</v>
      </c>
      <c r="C218" s="20">
        <f>SUMIFS('作业明细'!$G$8:$G$2197,'作业明细'!$B$8:$B$2197,A218,'作业明细'!$C$8:$C$2197,"出港")</f>
        <v>52653</v>
      </c>
      <c r="D218" s="20">
        <f>SUM(B218:C218)</f>
        <v>83735</v>
      </c>
      <c r="E218" s="33">
        <f>COUNTIFS('作业明细'!$B$8:$B$2197,A218)</f>
        <v>6</v>
      </c>
      <c r="F218" s="14">
        <f>AVERAGEIFS('作业明细'!$I$8:$I$2197,'作业明细'!$B$8:$B$2197,A218)</f>
        <v>2.72666666666667</v>
      </c>
      <c r="G218" s="14">
        <f>SUMIFS('作业明细'!$H$8:$H$2197,'作业明细'!$B$8:$B$2197,A218)</f>
        <v>71.66</v>
      </c>
      <c r="H218" s="20">
        <f>D218/G218</f>
        <v>1168.50404688808</v>
      </c>
    </row>
    <row r="219">
      <c r="A219" s="34" t="n">
        <v>45869</v>
      </c>
      <c r="B219" s="25">
        <f>SUMIFS('作业明细'!$G$8:$G$2197,'作业明细'!$B$8:$B$2197,A219,'作业明细'!$C$8:$C$2197,"进港")</f>
        <v>77078</v>
      </c>
      <c r="C219" s="25">
        <f>SUMIFS('作业明细'!$G$8:$G$2197,'作业明细'!$B$8:$B$2197,A219,'作业明细'!$C$8:$C$2197,"出港")</f>
        <v>5716</v>
      </c>
      <c r="D219" s="25">
        <f>SUM(B219:C219)</f>
        <v>82794</v>
      </c>
      <c r="E219" s="35">
        <f>COUNTIFS('作业明细'!$B$8:$B$2197,A219)</f>
        <v>6</v>
      </c>
      <c r="F219" s="16">
        <f>AVERAGEIFS('作业明细'!$I$8:$I$2197,'作业明细'!$B$8:$B$2197,A219)</f>
        <v>1.25833333333333</v>
      </c>
      <c r="G219" s="16">
        <f>SUMIFS('作业明细'!$H$8:$H$2197,'作业明细'!$B$8:$B$2197,A219)</f>
        <v>67.11</v>
      </c>
      <c r="H219" s="25">
        <f>D219/G219</f>
        <v>1233.70585605722</v>
      </c>
    </row>
    <row r="220">
      <c r="A220" s="32" t="n">
        <v>45870</v>
      </c>
      <c r="B220" s="20">
        <f>SUMIFS('作业明细'!$G$8:$G$2197,'作业明细'!$B$8:$B$2197,A220,'作业明细'!$C$8:$C$2197,"进港")</f>
        <v>53511</v>
      </c>
      <c r="C220" s="20">
        <f>SUMIFS('作业明细'!$G$8:$G$2197,'作业明细'!$B$8:$B$2197,A220,'作业明细'!$C$8:$C$2197,"出港")</f>
        <v>11998</v>
      </c>
      <c r="D220" s="20">
        <f>SUM(B220:C220)</f>
        <v>65509</v>
      </c>
      <c r="E220" s="33">
        <f>COUNTIFS('作业明细'!$B$8:$B$2197,A220)</f>
        <v>6</v>
      </c>
      <c r="F220" s="14">
        <f>AVERAGEIFS('作业明细'!$I$8:$I$2197,'作业明细'!$B$8:$B$2197,A220)</f>
        <v>2.76833333333333</v>
      </c>
      <c r="G220" s="14">
        <f>SUMIFS('作业明细'!$H$8:$H$2197,'作业明细'!$B$8:$B$2197,A220)</f>
        <v>55.56</v>
      </c>
      <c r="H220" s="20">
        <f>D220/G220</f>
        <v>1179.06767458603</v>
      </c>
    </row>
    <row r="221">
      <c r="A221" s="34" t="n">
        <v>45871</v>
      </c>
      <c r="B221" s="25">
        <f>SUMIFS('作业明细'!$G$8:$G$2197,'作业明细'!$B$8:$B$2197,A221,'作业明细'!$C$8:$C$2197,"进港")</f>
        <v>56205</v>
      </c>
      <c r="C221" s="25">
        <f>SUMIFS('作业明细'!$G$8:$G$2197,'作业明细'!$B$8:$B$2197,A221,'作业明细'!$C$8:$C$2197,"出港")</f>
        <v>24152</v>
      </c>
      <c r="D221" s="25">
        <f>SUM(B221:C221)</f>
        <v>80357</v>
      </c>
      <c r="E221" s="35">
        <f>COUNTIFS('作业明细'!$B$8:$B$2197,A221)</f>
        <v>6</v>
      </c>
      <c r="F221" s="16">
        <f>AVERAGEIFS('作业明细'!$I$8:$I$2197,'作业明细'!$B$8:$B$2197,A221)</f>
        <v>1.81333333333333</v>
      </c>
      <c r="G221" s="16">
        <f>SUMIFS('作业明细'!$H$8:$H$2197,'作业明细'!$B$8:$B$2197,A221)</f>
        <v>68.55</v>
      </c>
      <c r="H221" s="25">
        <f>D221/G221</f>
        <v>1172.23924142961</v>
      </c>
    </row>
    <row r="222">
      <c r="A222" s="32" t="n">
        <v>45872</v>
      </c>
      <c r="B222" s="20">
        <f>SUMIFS('作业明细'!$G$8:$G$2197,'作业明细'!$B$8:$B$2197,A222,'作业明细'!$C$8:$C$2197,"进港")</f>
        <v>58794</v>
      </c>
      <c r="C222" s="20">
        <f>SUMIFS('作业明细'!$G$8:$G$2197,'作业明细'!$B$8:$B$2197,A222,'作业明细'!$C$8:$C$2197,"出港")</f>
        <v>19035</v>
      </c>
      <c r="D222" s="20">
        <f>SUM(B222:C222)</f>
        <v>77829</v>
      </c>
      <c r="E222" s="33">
        <f>COUNTIFS('作业明细'!$B$8:$B$2197,A222)</f>
        <v>6</v>
      </c>
      <c r="F222" s="14">
        <f>AVERAGEIFS('作业明细'!$I$8:$I$2197,'作业明细'!$B$8:$B$2197,A222)</f>
        <v>2.50666666666667</v>
      </c>
      <c r="G222" s="14">
        <f>SUMIFS('作业明细'!$H$8:$H$2197,'作业明细'!$B$8:$B$2197,A222)</f>
        <v>68.44</v>
      </c>
      <c r="H222" s="20">
        <f>D222/G222</f>
        <v>1137.18585622443</v>
      </c>
    </row>
    <row r="223">
      <c r="A223" s="34" t="n">
        <v>45873</v>
      </c>
      <c r="B223" s="25">
        <f>SUMIFS('作业明细'!$G$8:$G$2197,'作业明细'!$B$8:$B$2197,A223,'作业明细'!$C$8:$C$2197,"进港")</f>
        <v>45401</v>
      </c>
      <c r="C223" s="25">
        <f>SUMIFS('作业明细'!$G$8:$G$2197,'作业明细'!$B$8:$B$2197,A223,'作业明细'!$C$8:$C$2197,"出港")</f>
        <v>42536</v>
      </c>
      <c r="D223" s="25">
        <f>SUM(B223:C223)</f>
        <v>87937</v>
      </c>
      <c r="E223" s="35">
        <f>COUNTIFS('作业明细'!$B$8:$B$2197,A223)</f>
        <v>6</v>
      </c>
      <c r="F223" s="16">
        <f>AVERAGEIFS('作业明细'!$I$8:$I$2197,'作业明细'!$B$8:$B$2197,A223)</f>
        <v>2.615</v>
      </c>
      <c r="G223" s="16">
        <f>SUMIFS('作业明细'!$H$8:$H$2197,'作业明细'!$B$8:$B$2197,A223)</f>
        <v>76.3</v>
      </c>
      <c r="H223" s="25">
        <f>D223/G223</f>
        <v>1152.51638269987</v>
      </c>
    </row>
    <row r="224">
      <c r="A224" s="32" t="n">
        <v>45874</v>
      </c>
      <c r="B224" s="20">
        <f>SUMIFS('作业明细'!$G$8:$G$2197,'作业明细'!$B$8:$B$2197,A224,'作业明细'!$C$8:$C$2197,"进港")</f>
        <v>48174</v>
      </c>
      <c r="C224" s="20">
        <f>SUMIFS('作业明细'!$G$8:$G$2197,'作业明细'!$B$8:$B$2197,A224,'作业明细'!$C$8:$C$2197,"出港")</f>
        <v>15659</v>
      </c>
      <c r="D224" s="20">
        <f>SUM(B224:C224)</f>
        <v>63833</v>
      </c>
      <c r="E224" s="33">
        <f>COUNTIFS('作业明细'!$B$8:$B$2197,A224)</f>
        <v>6</v>
      </c>
      <c r="F224" s="14">
        <f>AVERAGEIFS('作业明细'!$I$8:$I$2197,'作业明细'!$B$8:$B$2197,A224)</f>
        <v>3.07333333333333</v>
      </c>
      <c r="G224" s="14">
        <f>SUMIFS('作业明细'!$H$8:$H$2197,'作业明细'!$B$8:$B$2197,A224)</f>
        <v>57.58</v>
      </c>
      <c r="H224" s="20">
        <f>D224/G224</f>
        <v>1108.59673497742</v>
      </c>
    </row>
    <row r="225">
      <c r="A225" s="34" t="n">
        <v>45875</v>
      </c>
      <c r="B225" s="25">
        <f>SUMIFS('作业明细'!$G$8:$G$2197,'作业明细'!$B$8:$B$2197,A225,'作业明细'!$C$8:$C$2197,"进港")</f>
        <v>56255</v>
      </c>
      <c r="C225" s="25">
        <f>SUMIFS('作业明细'!$G$8:$G$2197,'作业明细'!$B$8:$B$2197,A225,'作业明细'!$C$8:$C$2197,"出港")</f>
        <v>16047</v>
      </c>
      <c r="D225" s="25">
        <f>SUM(B225:C225)</f>
        <v>72302</v>
      </c>
      <c r="E225" s="35">
        <f>COUNTIFS('作业明细'!$B$8:$B$2197,A225)</f>
        <v>6</v>
      </c>
      <c r="F225" s="16">
        <f>AVERAGEIFS('作业明细'!$I$8:$I$2197,'作业明细'!$B$8:$B$2197,A225)</f>
        <v>2.855</v>
      </c>
      <c r="G225" s="16">
        <f>SUMIFS('作业明细'!$H$8:$H$2197,'作业明细'!$B$8:$B$2197,A225)</f>
        <v>67.22</v>
      </c>
      <c r="H225" s="25">
        <f>D225/G225</f>
        <v>1075.60249925617</v>
      </c>
    </row>
    <row r="226">
      <c r="A226" s="32" t="n">
        <v>45876</v>
      </c>
      <c r="B226" s="20">
        <f>SUMIFS('作业明细'!$G$8:$G$2197,'作业明细'!$B$8:$B$2197,A226,'作业明细'!$C$8:$C$2197,"进港")</f>
        <v>30525</v>
      </c>
      <c r="C226" s="20">
        <f>SUMIFS('作业明细'!$G$8:$G$2197,'作业明细'!$B$8:$B$2197,A226,'作业明细'!$C$8:$C$2197,"出港")</f>
        <v>42364</v>
      </c>
      <c r="D226" s="20">
        <f>SUM(B226:C226)</f>
        <v>72889</v>
      </c>
      <c r="E226" s="33">
        <f>COUNTIFS('作业明细'!$B$8:$B$2197,A226)</f>
        <v>6</v>
      </c>
      <c r="F226" s="14">
        <f>AVERAGEIFS('作业明细'!$I$8:$I$2197,'作业明细'!$B$8:$B$2197,A226)</f>
        <v>2.975</v>
      </c>
      <c r="G226" s="14">
        <f>SUMIFS('作业明细'!$H$8:$H$2197,'作业明细'!$B$8:$B$2197,A226)</f>
        <v>65.05</v>
      </c>
      <c r="H226" s="20">
        <f>D226/G226</f>
        <v>1120.50730207533</v>
      </c>
    </row>
    <row r="227">
      <c r="A227" s="34" t="n">
        <v>45877</v>
      </c>
      <c r="B227" s="25">
        <f>SUMIFS('作业明细'!$G$8:$G$2197,'作业明细'!$B$8:$B$2197,A227,'作业明细'!$C$8:$C$2197,"进港")</f>
        <v>52043</v>
      </c>
      <c r="C227" s="25">
        <f>SUMIFS('作业明细'!$G$8:$G$2197,'作业明细'!$B$8:$B$2197,A227,'作业明细'!$C$8:$C$2197,"出港")</f>
        <v>26267</v>
      </c>
      <c r="D227" s="25">
        <f>SUM(B227:C227)</f>
        <v>78310</v>
      </c>
      <c r="E227" s="35">
        <f>COUNTIFS('作业明细'!$B$8:$B$2197,A227)</f>
        <v>6</v>
      </c>
      <c r="F227" s="16">
        <f>AVERAGEIFS('作业明细'!$I$8:$I$2197,'作业明细'!$B$8:$B$2197,A227)</f>
        <v>2.6</v>
      </c>
      <c r="G227" s="16">
        <f>SUMIFS('作业明细'!$H$8:$H$2197,'作业明细'!$B$8:$B$2197,A227)</f>
        <v>65.62</v>
      </c>
      <c r="H227" s="25">
        <f>D227/G227</f>
        <v>1193.38616275526</v>
      </c>
    </row>
    <row r="228">
      <c r="A228" s="32" t="n">
        <v>45878</v>
      </c>
      <c r="B228" s="20">
        <f>SUMIFS('作业明细'!$G$8:$G$2197,'作业明细'!$B$8:$B$2197,A228,'作业明细'!$C$8:$C$2197,"进港")</f>
        <v>41484</v>
      </c>
      <c r="C228" s="20">
        <f>SUMIFS('作业明细'!$G$8:$G$2197,'作业明细'!$B$8:$B$2197,A228,'作业明细'!$C$8:$C$2197,"出港")</f>
        <v>41526</v>
      </c>
      <c r="D228" s="20">
        <f>SUM(B228:C228)</f>
        <v>83010</v>
      </c>
      <c r="E228" s="33">
        <f>COUNTIFS('作业明细'!$B$8:$B$2197,A228)</f>
        <v>6</v>
      </c>
      <c r="F228" s="14">
        <f>AVERAGEIFS('作业明细'!$I$8:$I$2197,'作业明细'!$B$8:$B$2197,A228)</f>
        <v>2.98333333333333</v>
      </c>
      <c r="G228" s="14">
        <f>SUMIFS('作业明细'!$H$8:$H$2197,'作业明细'!$B$8:$B$2197,A228)</f>
        <v>64.79</v>
      </c>
      <c r="H228" s="20">
        <f>D228/G228</f>
        <v>1281.21623707362</v>
      </c>
    </row>
    <row r="229">
      <c r="A229" s="34" t="n">
        <v>45879</v>
      </c>
      <c r="B229" s="25">
        <f>SUMIFS('作业明细'!$G$8:$G$2197,'作业明细'!$B$8:$B$2197,A229,'作业明细'!$C$8:$C$2197,"进港")</f>
        <v>60713</v>
      </c>
      <c r="C229" s="25">
        <f>SUMIFS('作业明细'!$G$8:$G$2197,'作业明细'!$B$8:$B$2197,A229,'作业明细'!$C$8:$C$2197,"出港")</f>
        <v>4320</v>
      </c>
      <c r="D229" s="25">
        <f>SUM(B229:C229)</f>
        <v>65033</v>
      </c>
      <c r="E229" s="35">
        <f>COUNTIFS('作业明细'!$B$8:$B$2197,A229)</f>
        <v>6</v>
      </c>
      <c r="F229" s="16">
        <f>AVERAGEIFS('作业明细'!$I$8:$I$2197,'作业明细'!$B$8:$B$2197,A229)</f>
        <v>2.66666666666667</v>
      </c>
      <c r="G229" s="16">
        <f>SUMIFS('作业明细'!$H$8:$H$2197,'作业明细'!$B$8:$B$2197,A229)</f>
        <v>56.75</v>
      </c>
      <c r="H229" s="25">
        <f>D229/G229</f>
        <v>1145.95594713656</v>
      </c>
    </row>
    <row r="230">
      <c r="A230" s="32" t="n">
        <v>45880</v>
      </c>
      <c r="B230" s="20">
        <f>SUMIFS('作业明细'!$G$8:$G$2197,'作业明细'!$B$8:$B$2197,A230,'作业明细'!$C$8:$C$2197,"进港")</f>
        <v>58255</v>
      </c>
      <c r="C230" s="20">
        <f>SUMIFS('作业明细'!$G$8:$G$2197,'作业明细'!$B$8:$B$2197,A230,'作业明细'!$C$8:$C$2197,"出港")</f>
        <v>25249</v>
      </c>
      <c r="D230" s="20">
        <f>SUM(B230:C230)</f>
        <v>83504</v>
      </c>
      <c r="E230" s="33">
        <f>COUNTIFS('作业明细'!$B$8:$B$2197,A230)</f>
        <v>6</v>
      </c>
      <c r="F230" s="14">
        <f>AVERAGEIFS('作业明细'!$I$8:$I$2197,'作业明细'!$B$8:$B$2197,A230)</f>
        <v>1.29666666666667</v>
      </c>
      <c r="G230" s="14">
        <f>SUMIFS('作业明细'!$H$8:$H$2197,'作业明细'!$B$8:$B$2197,A230)</f>
        <v>68.83</v>
      </c>
      <c r="H230" s="20">
        <f>D230/G230</f>
        <v>1213.19192212698</v>
      </c>
    </row>
    <row r="231">
      <c r="A231" s="34" t="n">
        <v>45881</v>
      </c>
      <c r="B231" s="25">
        <f>SUMIFS('作业明细'!$G$8:$G$2197,'作业明细'!$B$8:$B$2197,A231,'作业明细'!$C$8:$C$2197,"进港")</f>
        <v>0</v>
      </c>
      <c r="C231" s="25">
        <f>SUMIFS('作业明细'!$G$8:$G$2197,'作业明细'!$B$8:$B$2197,A231,'作业明细'!$C$8:$C$2197,"出港")</f>
        <v>91732</v>
      </c>
      <c r="D231" s="25">
        <f>SUM(B231:C231)</f>
        <v>91732</v>
      </c>
      <c r="E231" s="35">
        <f>COUNTIFS('作业明细'!$B$8:$B$2197,A231)</f>
        <v>6</v>
      </c>
      <c r="F231" s="16">
        <f>AVERAGEIFS('作业明细'!$I$8:$I$2197,'作业明细'!$B$8:$B$2197,A231)</f>
        <v>1.53833333333333</v>
      </c>
      <c r="G231" s="16">
        <f>SUMIFS('作业明细'!$H$8:$H$2197,'作业明细'!$B$8:$B$2197,A231)</f>
        <v>81.01</v>
      </c>
      <c r="H231" s="25">
        <f>D231/G231</f>
        <v>1132.35403036662</v>
      </c>
    </row>
    <row r="232">
      <c r="A232" s="32" t="n">
        <v>45882</v>
      </c>
      <c r="B232" s="20">
        <f>SUMIFS('作业明细'!$G$8:$G$2197,'作业明细'!$B$8:$B$2197,A232,'作业明细'!$C$8:$C$2197,"进港")</f>
        <v>32075</v>
      </c>
      <c r="C232" s="20">
        <f>SUMIFS('作业明细'!$G$8:$G$2197,'作业明细'!$B$8:$B$2197,A232,'作业明细'!$C$8:$C$2197,"出港")</f>
        <v>51211</v>
      </c>
      <c r="D232" s="20">
        <f>SUM(B232:C232)</f>
        <v>83286</v>
      </c>
      <c r="E232" s="33">
        <f>COUNTIFS('作业明细'!$B$8:$B$2197,A232)</f>
        <v>6</v>
      </c>
      <c r="F232" s="14">
        <f>AVERAGEIFS('作业明细'!$I$8:$I$2197,'作业明细'!$B$8:$B$2197,A232)</f>
        <v>3.06333333333333</v>
      </c>
      <c r="G232" s="14">
        <f>SUMIFS('作业明细'!$H$8:$H$2197,'作业明细'!$B$8:$B$2197,A232)</f>
        <v>77.44</v>
      </c>
      <c r="H232" s="20">
        <f>D232/G232</f>
        <v>1075.49070247934</v>
      </c>
    </row>
    <row r="233">
      <c r="A233" s="34" t="n">
        <v>45883</v>
      </c>
      <c r="B233" s="25">
        <f>SUMIFS('作业明细'!$G$8:$G$2197,'作业明细'!$B$8:$B$2197,A233,'作业明细'!$C$8:$C$2197,"进港")</f>
        <v>32479</v>
      </c>
      <c r="C233" s="25">
        <f>SUMIFS('作业明细'!$G$8:$G$2197,'作业明细'!$B$8:$B$2197,A233,'作业明细'!$C$8:$C$2197,"出港")</f>
        <v>81558</v>
      </c>
      <c r="D233" s="25">
        <f>SUM(B233:C233)</f>
        <v>114037</v>
      </c>
      <c r="E233" s="35">
        <f>COUNTIFS('作业明细'!$B$8:$B$2197,A233)</f>
        <v>6</v>
      </c>
      <c r="F233" s="16">
        <f>AVERAGEIFS('作业明细'!$I$8:$I$2197,'作业明细'!$B$8:$B$2197,A233)</f>
        <v>2.39333333333333</v>
      </c>
      <c r="G233" s="16">
        <f>SUMIFS('作业明细'!$H$8:$H$2197,'作业明细'!$B$8:$B$2197,A233)</f>
        <v>100.18</v>
      </c>
      <c r="H233" s="25">
        <f>D233/G233</f>
        <v>1138.32102216011</v>
      </c>
    </row>
    <row r="234">
      <c r="A234" s="32" t="n">
        <v>45884</v>
      </c>
      <c r="B234" s="20">
        <f>SUMIFS('作业明细'!$G$8:$G$2197,'作业明细'!$B$8:$B$2197,A234,'作业明细'!$C$8:$C$2197,"进港")</f>
        <v>57590</v>
      </c>
      <c r="C234" s="20">
        <f>SUMIFS('作业明细'!$G$8:$G$2197,'作业明细'!$B$8:$B$2197,A234,'作业明细'!$C$8:$C$2197,"出港")</f>
        <v>22821</v>
      </c>
      <c r="D234" s="20">
        <f>SUM(B234:C234)</f>
        <v>80411</v>
      </c>
      <c r="E234" s="33">
        <f>COUNTIFS('作业明细'!$B$8:$B$2197,A234)</f>
        <v>6</v>
      </c>
      <c r="F234" s="14">
        <f>AVERAGEIFS('作业明细'!$I$8:$I$2197,'作业明细'!$B$8:$B$2197,A234)</f>
        <v>2.21166666666667</v>
      </c>
      <c r="G234" s="14">
        <f>SUMIFS('作业明细'!$H$8:$H$2197,'作业明细'!$B$8:$B$2197,A234)</f>
        <v>69.68</v>
      </c>
      <c r="H234" s="20">
        <f>D234/G234</f>
        <v>1154.00401836969</v>
      </c>
    </row>
    <row r="235">
      <c r="A235" s="34" t="n">
        <v>45885</v>
      </c>
      <c r="B235" s="25">
        <f>SUMIFS('作业明细'!$G$8:$G$2197,'作业明细'!$B$8:$B$2197,A235,'作业明细'!$C$8:$C$2197,"进港")</f>
        <v>46988</v>
      </c>
      <c r="C235" s="25">
        <f>SUMIFS('作业明细'!$G$8:$G$2197,'作业明细'!$B$8:$B$2197,A235,'作业明细'!$C$8:$C$2197,"出港")</f>
        <v>34399</v>
      </c>
      <c r="D235" s="25">
        <f>SUM(B235:C235)</f>
        <v>81387</v>
      </c>
      <c r="E235" s="35">
        <f>COUNTIFS('作业明细'!$B$8:$B$2197,A235)</f>
        <v>6</v>
      </c>
      <c r="F235" s="16">
        <f>AVERAGEIFS('作业明细'!$I$8:$I$2197,'作业明细'!$B$8:$B$2197,A235)</f>
        <v>2.97333333333333</v>
      </c>
      <c r="G235" s="16">
        <f>SUMIFS('作业明细'!$H$8:$H$2197,'作业明细'!$B$8:$B$2197,A235)</f>
        <v>66.19</v>
      </c>
      <c r="H235" s="25">
        <f>D235/G235</f>
        <v>1229.59661580299</v>
      </c>
    </row>
    <row r="236">
      <c r="A236" s="32" t="n">
        <v>45886</v>
      </c>
      <c r="B236" s="20">
        <f>SUMIFS('作业明细'!$G$8:$G$2197,'作业明细'!$B$8:$B$2197,A236,'作业明细'!$C$8:$C$2197,"进港")</f>
        <v>23665</v>
      </c>
      <c r="C236" s="20">
        <f>SUMIFS('作业明细'!$G$8:$G$2197,'作业明细'!$B$8:$B$2197,A236,'作业明细'!$C$8:$C$2197,"出港")</f>
        <v>43839</v>
      </c>
      <c r="D236" s="20">
        <f>SUM(B236:C236)</f>
        <v>67504</v>
      </c>
      <c r="E236" s="33">
        <f>COUNTIFS('作业明细'!$B$8:$B$2197,A236)</f>
        <v>6</v>
      </c>
      <c r="F236" s="14">
        <f>AVERAGEIFS('作业明细'!$I$8:$I$2197,'作业明细'!$B$8:$B$2197,A236)</f>
        <v>2.56666666666667</v>
      </c>
      <c r="G236" s="14">
        <f>SUMIFS('作业明细'!$H$8:$H$2197,'作业明细'!$B$8:$B$2197,A236)</f>
        <v>59.3</v>
      </c>
      <c r="H236" s="20">
        <f>D236/G236</f>
        <v>1138.34738617201</v>
      </c>
    </row>
    <row r="237">
      <c r="A237" s="34" t="n">
        <v>45887</v>
      </c>
      <c r="B237" s="25">
        <f>SUMIFS('作业明细'!$G$8:$G$2197,'作业明细'!$B$8:$B$2197,A237,'作业明细'!$C$8:$C$2197,"进港")</f>
        <v>45604</v>
      </c>
      <c r="C237" s="25">
        <f>SUMIFS('作业明细'!$G$8:$G$2197,'作业明细'!$B$8:$B$2197,A237,'作业明细'!$C$8:$C$2197,"出港")</f>
        <v>50494</v>
      </c>
      <c r="D237" s="25">
        <f>SUM(B237:C237)</f>
        <v>96098</v>
      </c>
      <c r="E237" s="35">
        <f>COUNTIFS('作业明细'!$B$8:$B$2197,A237)</f>
        <v>6</v>
      </c>
      <c r="F237" s="16">
        <f>AVERAGEIFS('作业明细'!$I$8:$I$2197,'作业明细'!$B$8:$B$2197,A237)</f>
        <v>1.295</v>
      </c>
      <c r="G237" s="16">
        <f>SUMIFS('作业明细'!$H$8:$H$2197,'作业明细'!$B$8:$B$2197,A237)</f>
        <v>74.75</v>
      </c>
      <c r="H237" s="25">
        <f>D237/G237</f>
        <v>1285.59197324415</v>
      </c>
    </row>
    <row r="238">
      <c r="A238" s="32" t="n">
        <v>45888</v>
      </c>
      <c r="B238" s="20">
        <f>SUMIFS('作业明细'!$G$8:$G$2197,'作业明细'!$B$8:$B$2197,A238,'作业明细'!$C$8:$C$2197,"进港")</f>
        <v>15531</v>
      </c>
      <c r="C238" s="20">
        <f>SUMIFS('作业明细'!$G$8:$G$2197,'作业明细'!$B$8:$B$2197,A238,'作业明细'!$C$8:$C$2197,"出港")</f>
        <v>63398</v>
      </c>
      <c r="D238" s="20">
        <f>SUM(B238:C238)</f>
        <v>78929</v>
      </c>
      <c r="E238" s="33">
        <f>COUNTIFS('作业明细'!$B$8:$B$2197,A238)</f>
        <v>6</v>
      </c>
      <c r="F238" s="14">
        <f>AVERAGEIFS('作业明细'!$I$8:$I$2197,'作业明细'!$B$8:$B$2197,A238)</f>
        <v>2.585</v>
      </c>
      <c r="G238" s="14">
        <f>SUMIFS('作业明细'!$H$8:$H$2197,'作业明细'!$B$8:$B$2197,A238)</f>
        <v>67.5</v>
      </c>
      <c r="H238" s="20">
        <f>D238/G238</f>
        <v>1169.31851851852</v>
      </c>
    </row>
    <row r="239">
      <c r="A239" s="34" t="n">
        <v>45889</v>
      </c>
      <c r="B239" s="25">
        <f>SUMIFS('作业明细'!$G$8:$G$2197,'作业明细'!$B$8:$B$2197,A239,'作业明细'!$C$8:$C$2197,"进港")</f>
        <v>59075</v>
      </c>
      <c r="C239" s="25">
        <f>SUMIFS('作业明细'!$G$8:$G$2197,'作业明细'!$B$8:$B$2197,A239,'作业明细'!$C$8:$C$2197,"出港")</f>
        <v>19535</v>
      </c>
      <c r="D239" s="25">
        <f>SUM(B239:C239)</f>
        <v>78610</v>
      </c>
      <c r="E239" s="35">
        <f>COUNTIFS('作业明细'!$B$8:$B$2197,A239)</f>
        <v>6</v>
      </c>
      <c r="F239" s="16">
        <f>AVERAGEIFS('作业明细'!$I$8:$I$2197,'作业明细'!$B$8:$B$2197,A239)</f>
        <v>1.545</v>
      </c>
      <c r="G239" s="16">
        <f>SUMIFS('作业明细'!$H$8:$H$2197,'作业明细'!$B$8:$B$2197,A239)</f>
        <v>67.99</v>
      </c>
      <c r="H239" s="25">
        <f>D239/G239</f>
        <v>1156.19944109428</v>
      </c>
    </row>
    <row r="240">
      <c r="A240" s="32" t="n">
        <v>45890</v>
      </c>
      <c r="B240" s="20">
        <f>SUMIFS('作业明细'!$G$8:$G$2197,'作业明细'!$B$8:$B$2197,A240,'作业明细'!$C$8:$C$2197,"进港")</f>
        <v>47918</v>
      </c>
      <c r="C240" s="20">
        <f>SUMIFS('作业明细'!$G$8:$G$2197,'作业明细'!$B$8:$B$2197,A240,'作业明细'!$C$8:$C$2197,"出港")</f>
        <v>36301</v>
      </c>
      <c r="D240" s="20">
        <f>SUM(B240:C240)</f>
        <v>84219</v>
      </c>
      <c r="E240" s="33">
        <f>COUNTIFS('作业明细'!$B$8:$B$2197,A240)</f>
        <v>6</v>
      </c>
      <c r="F240" s="14">
        <f>AVERAGEIFS('作业明细'!$I$8:$I$2197,'作业明细'!$B$8:$B$2197,A240)</f>
        <v>2.38333333333333</v>
      </c>
      <c r="G240" s="14">
        <f>SUMIFS('作业明细'!$H$8:$H$2197,'作业明细'!$B$8:$B$2197,A240)</f>
        <v>69.34</v>
      </c>
      <c r="H240" s="20">
        <f>D240/G240</f>
        <v>1214.58032881454</v>
      </c>
    </row>
    <row r="241">
      <c r="A241" s="34" t="n">
        <v>45891</v>
      </c>
      <c r="B241" s="25">
        <f>SUMIFS('作业明细'!$G$8:$G$2197,'作业明细'!$B$8:$B$2197,A241,'作业明细'!$C$8:$C$2197,"进港")</f>
        <v>59235</v>
      </c>
      <c r="C241" s="25">
        <f>SUMIFS('作业明细'!$G$8:$G$2197,'作业明细'!$B$8:$B$2197,A241,'作业明细'!$C$8:$C$2197,"出港")</f>
        <v>16955</v>
      </c>
      <c r="D241" s="25">
        <f>SUM(B241:C241)</f>
        <v>76190</v>
      </c>
      <c r="E241" s="35">
        <f>COUNTIFS('作业明细'!$B$8:$B$2197,A241)</f>
        <v>6</v>
      </c>
      <c r="F241" s="16">
        <f>AVERAGEIFS('作业明细'!$I$8:$I$2197,'作业明细'!$B$8:$B$2197,A241)</f>
        <v>1.335</v>
      </c>
      <c r="G241" s="16">
        <f>SUMIFS('作业明细'!$H$8:$H$2197,'作业明细'!$B$8:$B$2197,A241)</f>
        <v>63.89</v>
      </c>
      <c r="H241" s="25">
        <f>D241/G241</f>
        <v>1192.5183909845</v>
      </c>
    </row>
    <row r="242">
      <c r="A242" s="32" t="n">
        <v>45892</v>
      </c>
      <c r="B242" s="20">
        <f>SUMIFS('作业明细'!$G$8:$G$2197,'作业明细'!$B$8:$B$2197,A242,'作业明细'!$C$8:$C$2197,"进港")</f>
        <v>49322</v>
      </c>
      <c r="C242" s="20">
        <f>SUMIFS('作业明细'!$G$8:$G$2197,'作业明细'!$B$8:$B$2197,A242,'作业明细'!$C$8:$C$2197,"出港")</f>
        <v>30346</v>
      </c>
      <c r="D242" s="20">
        <f>SUM(B242:C242)</f>
        <v>79668</v>
      </c>
      <c r="E242" s="33">
        <f>COUNTIFS('作业明细'!$B$8:$B$2197,A242)</f>
        <v>6</v>
      </c>
      <c r="F242" s="14">
        <f>AVERAGEIFS('作业明细'!$I$8:$I$2197,'作业明细'!$B$8:$B$2197,A242)</f>
        <v>2.54</v>
      </c>
      <c r="G242" s="14">
        <f>SUMIFS('作业明细'!$H$8:$H$2197,'作业明细'!$B$8:$B$2197,A242)</f>
        <v>64.57</v>
      </c>
      <c r="H242" s="20">
        <f>D242/G242</f>
        <v>1233.82375716277</v>
      </c>
    </row>
    <row r="243">
      <c r="A243" s="34" t="n">
        <v>45893</v>
      </c>
      <c r="B243" s="25">
        <f>SUMIFS('作业明细'!$G$8:$G$2197,'作业明细'!$B$8:$B$2197,A243,'作业明细'!$C$8:$C$2197,"进港")</f>
        <v>39968</v>
      </c>
      <c r="C243" s="25">
        <f>SUMIFS('作业明细'!$G$8:$G$2197,'作业明细'!$B$8:$B$2197,A243,'作业明细'!$C$8:$C$2197,"出港")</f>
        <v>66790</v>
      </c>
      <c r="D243" s="25">
        <f>SUM(B243:C243)</f>
        <v>106758</v>
      </c>
      <c r="E243" s="35">
        <f>COUNTIFS('作业明细'!$B$8:$B$2197,A243)</f>
        <v>6</v>
      </c>
      <c r="F243" s="16">
        <f>AVERAGEIFS('作业明细'!$I$8:$I$2197,'作业明细'!$B$8:$B$2197,A243)</f>
        <v>2.42166666666667</v>
      </c>
      <c r="G243" s="16">
        <f>SUMIFS('作业明细'!$H$8:$H$2197,'作业明细'!$B$8:$B$2197,A243)</f>
        <v>83.35</v>
      </c>
      <c r="H243" s="25">
        <f>D243/G243</f>
        <v>1280.83983203359</v>
      </c>
    </row>
    <row r="244">
      <c r="A244" s="32" t="n">
        <v>45894</v>
      </c>
      <c r="B244" s="20">
        <f>SUMIFS('作业明细'!$G$8:$G$2197,'作业明细'!$B$8:$B$2197,A244,'作业明细'!$C$8:$C$2197,"进港")</f>
        <v>43971</v>
      </c>
      <c r="C244" s="20">
        <f>SUMIFS('作业明细'!$G$8:$G$2197,'作业明细'!$B$8:$B$2197,A244,'作业明细'!$C$8:$C$2197,"出港")</f>
        <v>51470</v>
      </c>
      <c r="D244" s="20">
        <f>SUM(B244:C244)</f>
        <v>95441</v>
      </c>
      <c r="E244" s="33">
        <f>COUNTIFS('作业明细'!$B$8:$B$2197,A244)</f>
        <v>6</v>
      </c>
      <c r="F244" s="14">
        <f>AVERAGEIFS('作业明细'!$I$8:$I$2197,'作业明细'!$B$8:$B$2197,A244)</f>
        <v>2.67833333333333</v>
      </c>
      <c r="G244" s="14">
        <f>SUMIFS('作业明细'!$H$8:$H$2197,'作业明细'!$B$8:$B$2197,A244)</f>
        <v>79.97</v>
      </c>
      <c r="H244" s="20">
        <f>D244/G244</f>
        <v>1193.46004751782</v>
      </c>
    </row>
    <row r="245">
      <c r="A245" s="34" t="n">
        <v>45895</v>
      </c>
      <c r="B245" s="25">
        <f>SUMIFS('作业明细'!$G$8:$G$2197,'作业明细'!$B$8:$B$2197,A245,'作业明细'!$C$8:$C$2197,"进港")</f>
        <v>35508</v>
      </c>
      <c r="C245" s="25">
        <f>SUMIFS('作业明细'!$G$8:$G$2197,'作业明细'!$B$8:$B$2197,A245,'作业明细'!$C$8:$C$2197,"出港")</f>
        <v>53633</v>
      </c>
      <c r="D245" s="25">
        <f>SUM(B245:C245)</f>
        <v>89141</v>
      </c>
      <c r="E245" s="35">
        <f>COUNTIFS('作业明细'!$B$8:$B$2197,A245)</f>
        <v>6</v>
      </c>
      <c r="F245" s="16">
        <f>AVERAGEIFS('作业明细'!$I$8:$I$2197,'作业明细'!$B$8:$B$2197,A245)</f>
        <v>1.57166666666667</v>
      </c>
      <c r="G245" s="16">
        <f>SUMIFS('作业明细'!$H$8:$H$2197,'作业明细'!$B$8:$B$2197,A245)</f>
        <v>73.79</v>
      </c>
      <c r="H245" s="25">
        <f>D245/G245</f>
        <v>1208.03631928446</v>
      </c>
    </row>
    <row r="246">
      <c r="A246" s="32" t="n">
        <v>45896</v>
      </c>
      <c r="B246" s="20">
        <f>SUMIFS('作业明细'!$G$8:$G$2197,'作业明细'!$B$8:$B$2197,A246,'作业明细'!$C$8:$C$2197,"进港")</f>
        <v>51726</v>
      </c>
      <c r="C246" s="20">
        <f>SUMIFS('作业明细'!$G$8:$G$2197,'作业明细'!$B$8:$B$2197,A246,'作业明细'!$C$8:$C$2197,"出港")</f>
        <v>33729</v>
      </c>
      <c r="D246" s="20">
        <f>SUM(B246:C246)</f>
        <v>85455</v>
      </c>
      <c r="E246" s="33">
        <f>COUNTIFS('作业明细'!$B$8:$B$2197,A246)</f>
        <v>6</v>
      </c>
      <c r="F246" s="14">
        <f>AVERAGEIFS('作业明细'!$I$8:$I$2197,'作业明细'!$B$8:$B$2197,A246)</f>
        <v>2.36833333333333</v>
      </c>
      <c r="G246" s="14">
        <f>SUMIFS('作业明细'!$H$8:$H$2197,'作业明细'!$B$8:$B$2197,A246)</f>
        <v>73.96</v>
      </c>
      <c r="H246" s="20">
        <f>D246/G246</f>
        <v>1155.42184964846</v>
      </c>
    </row>
    <row r="247">
      <c r="A247" s="34" t="n">
        <v>45897</v>
      </c>
      <c r="B247" s="25">
        <f>SUMIFS('作业明细'!$G$8:$G$2197,'作业明细'!$B$8:$B$2197,A247,'作业明细'!$C$8:$C$2197,"进港")</f>
        <v>41760</v>
      </c>
      <c r="C247" s="25">
        <f>SUMIFS('作业明细'!$G$8:$G$2197,'作业明细'!$B$8:$B$2197,A247,'作业明细'!$C$8:$C$2197,"出港")</f>
        <v>49752</v>
      </c>
      <c r="D247" s="25">
        <f>SUM(B247:C247)</f>
        <v>91512</v>
      </c>
      <c r="E247" s="35">
        <f>COUNTIFS('作业明细'!$B$8:$B$2197,A247)</f>
        <v>6</v>
      </c>
      <c r="F247" s="16">
        <f>AVERAGEIFS('作业明细'!$I$8:$I$2197,'作业明细'!$B$8:$B$2197,A247)</f>
        <v>3.28833333333333</v>
      </c>
      <c r="G247" s="16">
        <f>SUMIFS('作业明细'!$H$8:$H$2197,'作业明细'!$B$8:$B$2197,A247)</f>
        <v>83.25</v>
      </c>
      <c r="H247" s="25">
        <f>D247/G247</f>
        <v>1099.24324324324</v>
      </c>
    </row>
    <row r="248">
      <c r="A248" s="32" t="n">
        <v>45898</v>
      </c>
      <c r="B248" s="20">
        <f>SUMIFS('作业明细'!$G$8:$G$2197,'作业明细'!$B$8:$B$2197,A248,'作业明细'!$C$8:$C$2197,"进港")</f>
        <v>53592</v>
      </c>
      <c r="C248" s="20">
        <f>SUMIFS('作业明细'!$G$8:$G$2197,'作业明细'!$B$8:$B$2197,A248,'作业明细'!$C$8:$C$2197,"出港")</f>
        <v>29994</v>
      </c>
      <c r="D248" s="20">
        <f>SUM(B248:C248)</f>
        <v>83586</v>
      </c>
      <c r="E248" s="33">
        <f>COUNTIFS('作业明细'!$B$8:$B$2197,A248)</f>
        <v>6</v>
      </c>
      <c r="F248" s="14">
        <f>AVERAGEIFS('作业明细'!$I$8:$I$2197,'作业明细'!$B$8:$B$2197,A248)</f>
        <v>1.345</v>
      </c>
      <c r="G248" s="14">
        <f>SUMIFS('作业明细'!$H$8:$H$2197,'作业明细'!$B$8:$B$2197,A248)</f>
        <v>75.34</v>
      </c>
      <c r="H248" s="20">
        <f>D248/G248</f>
        <v>1109.45049110698</v>
      </c>
    </row>
    <row r="249">
      <c r="A249" s="34" t="n">
        <v>45899</v>
      </c>
      <c r="B249" s="25">
        <f>SUMIFS('作业明细'!$G$8:$G$2197,'作业明细'!$B$8:$B$2197,A249,'作业明细'!$C$8:$C$2197,"进港")</f>
        <v>22076</v>
      </c>
      <c r="C249" s="25">
        <f>SUMIFS('作业明细'!$G$8:$G$2197,'作业明细'!$B$8:$B$2197,A249,'作业明细'!$C$8:$C$2197,"出港")</f>
        <v>59829</v>
      </c>
      <c r="D249" s="25">
        <f>SUM(B249:C249)</f>
        <v>81905</v>
      </c>
      <c r="E249" s="35">
        <f>COUNTIFS('作业明细'!$B$8:$B$2197,A249)</f>
        <v>6</v>
      </c>
      <c r="F249" s="16">
        <f>AVERAGEIFS('作业明细'!$I$8:$I$2197,'作业明细'!$B$8:$B$2197,A249)</f>
        <v>2.26833333333333</v>
      </c>
      <c r="G249" s="16">
        <f>SUMIFS('作业明细'!$H$8:$H$2197,'作业明细'!$B$8:$B$2197,A249)</f>
        <v>70.14</v>
      </c>
      <c r="H249" s="25">
        <f>D249/G249</f>
        <v>1167.73595665811</v>
      </c>
    </row>
    <row r="250">
      <c r="A250" s="32" t="n">
        <v>45900</v>
      </c>
      <c r="B250" s="20">
        <f>SUMIFS('作业明细'!$G$8:$G$2197,'作业明细'!$B$8:$B$2197,A250,'作业明细'!$C$8:$C$2197,"进港")</f>
        <v>66171</v>
      </c>
      <c r="C250" s="20">
        <f>SUMIFS('作业明细'!$G$8:$G$2197,'作业明细'!$B$8:$B$2197,A250,'作业明细'!$C$8:$C$2197,"出港")</f>
        <v>8593</v>
      </c>
      <c r="D250" s="20">
        <f>SUM(B250:C250)</f>
        <v>74764</v>
      </c>
      <c r="E250" s="33">
        <f>COUNTIFS('作业明细'!$B$8:$B$2197,A250)</f>
        <v>6</v>
      </c>
      <c r="F250" s="14">
        <f>AVERAGEIFS('作业明细'!$I$8:$I$2197,'作业明细'!$B$8:$B$2197,A250)</f>
        <v>2.55666666666667</v>
      </c>
      <c r="G250" s="14">
        <f>SUMIFS('作业明细'!$H$8:$H$2197,'作业明细'!$B$8:$B$2197,A250)</f>
        <v>62.54</v>
      </c>
      <c r="H250" s="20">
        <f>D250/G250</f>
        <v>1195.45890629997</v>
      </c>
    </row>
    <row r="251">
      <c r="A251" s="34" t="n">
        <v>45901</v>
      </c>
      <c r="B251" s="25">
        <f>SUMIFS('作业明细'!$G$8:$G$2197,'作业明细'!$B$8:$B$2197,A251,'作业明细'!$C$8:$C$2197,"进港")</f>
        <v>23641</v>
      </c>
      <c r="C251" s="25">
        <f>SUMIFS('作业明细'!$G$8:$G$2197,'作业明细'!$B$8:$B$2197,A251,'作业明细'!$C$8:$C$2197,"出港")</f>
        <v>40999</v>
      </c>
      <c r="D251" s="25">
        <f>SUM(B251:C251)</f>
        <v>64640</v>
      </c>
      <c r="E251" s="35">
        <f>COUNTIFS('作业明细'!$B$8:$B$2197,A251)</f>
        <v>6</v>
      </c>
      <c r="F251" s="16">
        <f>AVERAGEIFS('作业明细'!$I$8:$I$2197,'作业明细'!$B$8:$B$2197,A251)</f>
        <v>2.49166666666667</v>
      </c>
      <c r="G251" s="16">
        <f>SUMIFS('作业明细'!$H$8:$H$2197,'作业明细'!$B$8:$B$2197,A251)</f>
        <v>59.02</v>
      </c>
      <c r="H251" s="25">
        <f>D251/G251</f>
        <v>1095.22195865808</v>
      </c>
    </row>
    <row r="252">
      <c r="A252" s="32" t="n">
        <v>45902</v>
      </c>
      <c r="B252" s="20">
        <f>SUMIFS('作业明细'!$G$8:$G$2197,'作业明细'!$B$8:$B$2197,A252,'作业明细'!$C$8:$C$2197,"进港")</f>
        <v>42629</v>
      </c>
      <c r="C252" s="20">
        <f>SUMIFS('作业明细'!$G$8:$G$2197,'作业明细'!$B$8:$B$2197,A252,'作业明细'!$C$8:$C$2197,"出港")</f>
        <v>29148</v>
      </c>
      <c r="D252" s="20">
        <f>SUM(B252:C252)</f>
        <v>71777</v>
      </c>
      <c r="E252" s="33">
        <f>COUNTIFS('作业明细'!$B$8:$B$2197,A252)</f>
        <v>6</v>
      </c>
      <c r="F252" s="14">
        <f>AVERAGEIFS('作业明细'!$I$8:$I$2197,'作业明细'!$B$8:$B$2197,A252)</f>
        <v>1.80666666666667</v>
      </c>
      <c r="G252" s="14">
        <f>SUMIFS('作业明细'!$H$8:$H$2197,'作业明细'!$B$8:$B$2197,A252)</f>
        <v>61.99</v>
      </c>
      <c r="H252" s="20">
        <f>D252/G252</f>
        <v>1157.88030327472</v>
      </c>
    </row>
    <row r="253">
      <c r="A253" s="34" t="n">
        <v>45903</v>
      </c>
      <c r="B253" s="25">
        <f>SUMIFS('作业明细'!$G$8:$G$2197,'作业明细'!$B$8:$B$2197,A253,'作业明细'!$C$8:$C$2197,"进港")</f>
        <v>65032</v>
      </c>
      <c r="C253" s="25">
        <f>SUMIFS('作业明细'!$G$8:$G$2197,'作业明细'!$B$8:$B$2197,A253,'作业明细'!$C$8:$C$2197,"出港")</f>
        <v>3955</v>
      </c>
      <c r="D253" s="25">
        <f>SUM(B253:C253)</f>
        <v>68987</v>
      </c>
      <c r="E253" s="35">
        <f>COUNTIFS('作业明细'!$B$8:$B$2197,A253)</f>
        <v>6</v>
      </c>
      <c r="F253" s="16">
        <f>AVERAGEIFS('作业明细'!$I$8:$I$2197,'作业明细'!$B$8:$B$2197,A253)</f>
        <v>3.235</v>
      </c>
      <c r="G253" s="16">
        <f>SUMIFS('作业明细'!$H$8:$H$2197,'作业明细'!$B$8:$B$2197,A253)</f>
        <v>59.39</v>
      </c>
      <c r="H253" s="25">
        <f>D253/G253</f>
        <v>1161.59286075097</v>
      </c>
    </row>
    <row r="254">
      <c r="A254" s="32" t="n">
        <v>45904</v>
      </c>
      <c r="B254" s="20">
        <f>SUMIFS('作业明细'!$G$8:$G$2197,'作业明细'!$B$8:$B$2197,A254,'作业明细'!$C$8:$C$2197,"进港")</f>
        <v>68906</v>
      </c>
      <c r="C254" s="20">
        <f>SUMIFS('作业明细'!$G$8:$G$2197,'作业明细'!$B$8:$B$2197,A254,'作业明细'!$C$8:$C$2197,"出港")</f>
        <v>21145</v>
      </c>
      <c r="D254" s="20">
        <f>SUM(B254:C254)</f>
        <v>90051</v>
      </c>
      <c r="E254" s="33">
        <f>COUNTIFS('作业明细'!$B$8:$B$2197,A254)</f>
        <v>6</v>
      </c>
      <c r="F254" s="14">
        <f>AVERAGEIFS('作业明细'!$I$8:$I$2197,'作业明细'!$B$8:$B$2197,A254)</f>
        <v>4.03833333333333</v>
      </c>
      <c r="G254" s="14">
        <f>SUMIFS('作业明细'!$H$8:$H$2197,'作业明细'!$B$8:$B$2197,A254)</f>
        <v>78.91</v>
      </c>
      <c r="H254" s="20">
        <f>D254/G254</f>
        <v>1141.18616144975</v>
      </c>
    </row>
    <row r="255">
      <c r="A255" s="34" t="n">
        <v>45905</v>
      </c>
      <c r="B255" s="25">
        <f>SUMIFS('作业明细'!$G$8:$G$2197,'作业明细'!$B$8:$B$2197,A255,'作业明细'!$C$8:$C$2197,"进港")</f>
        <v>51903</v>
      </c>
      <c r="C255" s="25">
        <f>SUMIFS('作业明细'!$G$8:$G$2197,'作业明细'!$B$8:$B$2197,A255,'作业明细'!$C$8:$C$2197,"出港")</f>
        <v>42264</v>
      </c>
      <c r="D255" s="25">
        <f>SUM(B255:C255)</f>
        <v>94167</v>
      </c>
      <c r="E255" s="35">
        <f>COUNTIFS('作业明细'!$B$8:$B$2197,A255)</f>
        <v>6</v>
      </c>
      <c r="F255" s="16">
        <f>AVERAGEIFS('作业明细'!$I$8:$I$2197,'作业明细'!$B$8:$B$2197,A255)</f>
        <v>1.39833333333333</v>
      </c>
      <c r="G255" s="16">
        <f>SUMIFS('作业明细'!$H$8:$H$2197,'作业明细'!$B$8:$B$2197,A255)</f>
        <v>83.94</v>
      </c>
      <c r="H255" s="25">
        <f>D255/G255</f>
        <v>1121.83702644746</v>
      </c>
    </row>
    <row r="256">
      <c r="A256" s="32" t="n">
        <v>45906</v>
      </c>
      <c r="B256" s="20">
        <f>SUMIFS('作业明细'!$G$8:$G$2197,'作业明细'!$B$8:$B$2197,A256,'作业明细'!$C$8:$C$2197,"进港")</f>
        <v>72029</v>
      </c>
      <c r="C256" s="20">
        <f>SUMIFS('作业明细'!$G$8:$G$2197,'作业明细'!$B$8:$B$2197,A256,'作业明细'!$C$8:$C$2197,"出港")</f>
        <v>37204</v>
      </c>
      <c r="D256" s="20">
        <f>SUM(B256:C256)</f>
        <v>109233</v>
      </c>
      <c r="E256" s="33">
        <f>COUNTIFS('作业明细'!$B$8:$B$2197,A256)</f>
        <v>6</v>
      </c>
      <c r="F256" s="14">
        <f>AVERAGEIFS('作业明细'!$I$8:$I$2197,'作业明细'!$B$8:$B$2197,A256)</f>
        <v>3.03666666666667</v>
      </c>
      <c r="G256" s="14">
        <f>SUMIFS('作业明细'!$H$8:$H$2197,'作业明细'!$B$8:$B$2197,A256)</f>
        <v>85.74</v>
      </c>
      <c r="H256" s="20">
        <f>D256/G256</f>
        <v>1274.00279916025</v>
      </c>
    </row>
    <row r="257">
      <c r="A257" s="34" t="n">
        <v>45907</v>
      </c>
      <c r="B257" s="25">
        <f>SUMIFS('作业明细'!$G$8:$G$2197,'作业明细'!$B$8:$B$2197,A257,'作业明细'!$C$8:$C$2197,"进港")</f>
        <v>69832</v>
      </c>
      <c r="C257" s="25">
        <f>SUMIFS('作业明细'!$G$8:$G$2197,'作业明细'!$B$8:$B$2197,A257,'作业明细'!$C$8:$C$2197,"出港")</f>
        <v>28488</v>
      </c>
      <c r="D257" s="25">
        <f>SUM(B257:C257)</f>
        <v>98320</v>
      </c>
      <c r="E257" s="35">
        <f>COUNTIFS('作业明细'!$B$8:$B$2197,A257)</f>
        <v>6</v>
      </c>
      <c r="F257" s="16">
        <f>AVERAGEIFS('作业明细'!$I$8:$I$2197,'作业明细'!$B$8:$B$2197,A257)</f>
        <v>2.425</v>
      </c>
      <c r="G257" s="16">
        <f>SUMIFS('作业明细'!$H$8:$H$2197,'作业明细'!$B$8:$B$2197,A257)</f>
        <v>79.9</v>
      </c>
      <c r="H257" s="25">
        <f>D257/G257</f>
        <v>1230.53817271589</v>
      </c>
    </row>
    <row r="258">
      <c r="A258" s="32" t="n">
        <v>45908</v>
      </c>
      <c r="B258" s="20">
        <f>SUMIFS('作业明细'!$G$8:$G$2197,'作业明细'!$B$8:$B$2197,A258,'作业明细'!$C$8:$C$2197,"进港")</f>
        <v>70642</v>
      </c>
      <c r="C258" s="20">
        <f>SUMIFS('作业明细'!$G$8:$G$2197,'作业明细'!$B$8:$B$2197,A258,'作业明细'!$C$8:$C$2197,"出港")</f>
        <v>14269</v>
      </c>
      <c r="D258" s="20">
        <f>SUM(B258:C258)</f>
        <v>84911</v>
      </c>
      <c r="E258" s="33">
        <f>COUNTIFS('作业明细'!$B$8:$B$2197,A258)</f>
        <v>6</v>
      </c>
      <c r="F258" s="14">
        <f>AVERAGEIFS('作业明细'!$I$8:$I$2197,'作业明细'!$B$8:$B$2197,A258)</f>
        <v>2.225</v>
      </c>
      <c r="G258" s="14">
        <f>SUMIFS('作业明细'!$H$8:$H$2197,'作业明细'!$B$8:$B$2197,A258)</f>
        <v>76.19</v>
      </c>
      <c r="H258" s="20">
        <f>D258/G258</f>
        <v>1114.463840399</v>
      </c>
    </row>
    <row r="259">
      <c r="A259" s="34" t="n">
        <v>45909</v>
      </c>
      <c r="B259" s="25">
        <f>SUMIFS('作业明细'!$G$8:$G$2197,'作业明细'!$B$8:$B$2197,A259,'作业明细'!$C$8:$C$2197,"进港")</f>
        <v>63800</v>
      </c>
      <c r="C259" s="25">
        <f>SUMIFS('作业明细'!$G$8:$G$2197,'作业明细'!$B$8:$B$2197,A259,'作业明细'!$C$8:$C$2197,"出港")</f>
        <v>23542</v>
      </c>
      <c r="D259" s="25">
        <f>SUM(B259:C259)</f>
        <v>87342</v>
      </c>
      <c r="E259" s="35">
        <f>COUNTIFS('作业明细'!$B$8:$B$2197,A259)</f>
        <v>6</v>
      </c>
      <c r="F259" s="16">
        <f>AVERAGEIFS('作业明细'!$I$8:$I$2197,'作业明细'!$B$8:$B$2197,A259)</f>
        <v>1.51333333333333</v>
      </c>
      <c r="G259" s="16">
        <f>SUMIFS('作业明细'!$H$8:$H$2197,'作业明细'!$B$8:$B$2197,A259)</f>
        <v>74.71</v>
      </c>
      <c r="H259" s="25">
        <f>D259/G259</f>
        <v>1169.08044438496</v>
      </c>
    </row>
    <row r="260">
      <c r="A260" s="32" t="n">
        <v>45910</v>
      </c>
      <c r="B260" s="20">
        <f>SUMIFS('作业明细'!$G$8:$G$2197,'作业明细'!$B$8:$B$2197,A260,'作业明细'!$C$8:$C$2197,"进港")</f>
        <v>49810</v>
      </c>
      <c r="C260" s="20">
        <f>SUMIFS('作业明细'!$G$8:$G$2197,'作业明细'!$B$8:$B$2197,A260,'作业明细'!$C$8:$C$2197,"出港")</f>
        <v>35352</v>
      </c>
      <c r="D260" s="20">
        <f>SUM(B260:C260)</f>
        <v>85162</v>
      </c>
      <c r="E260" s="33">
        <f>COUNTIFS('作业明细'!$B$8:$B$2197,A260)</f>
        <v>6</v>
      </c>
      <c r="F260" s="14">
        <f>AVERAGEIFS('作业明细'!$I$8:$I$2197,'作业明细'!$B$8:$B$2197,A260)</f>
        <v>3.36666666666667</v>
      </c>
      <c r="G260" s="14">
        <f>SUMIFS('作业明细'!$H$8:$H$2197,'作业明细'!$B$8:$B$2197,A260)</f>
        <v>76.06</v>
      </c>
      <c r="H260" s="20">
        <f>D260/G260</f>
        <v>1119.66868261899</v>
      </c>
    </row>
    <row r="261">
      <c r="A261" s="34" t="n">
        <v>45911</v>
      </c>
      <c r="B261" s="25">
        <f>SUMIFS('作业明细'!$G$8:$G$2197,'作业明细'!$B$8:$B$2197,A261,'作业明细'!$C$8:$C$2197,"进港")</f>
        <v>75347</v>
      </c>
      <c r="C261" s="25">
        <f>SUMIFS('作业明细'!$G$8:$G$2197,'作业明细'!$B$8:$B$2197,A261,'作业明细'!$C$8:$C$2197,"出港")</f>
        <v>10668</v>
      </c>
      <c r="D261" s="25">
        <f>SUM(B261:C261)</f>
        <v>86015</v>
      </c>
      <c r="E261" s="35">
        <f>COUNTIFS('作业明细'!$B$8:$B$2197,A261)</f>
        <v>6</v>
      </c>
      <c r="F261" s="16">
        <f>AVERAGEIFS('作业明细'!$I$8:$I$2197,'作业明细'!$B$8:$B$2197,A261)</f>
        <v>2.12333333333333</v>
      </c>
      <c r="G261" s="16">
        <f>SUMIFS('作业明细'!$H$8:$H$2197,'作业明细'!$B$8:$B$2197,A261)</f>
        <v>71.4</v>
      </c>
      <c r="H261" s="25">
        <f>D261/G261</f>
        <v>1204.6918767507</v>
      </c>
    </row>
    <row r="262">
      <c r="A262" s="32" t="n">
        <v>45912</v>
      </c>
      <c r="B262" s="20">
        <f>SUMIFS('作业明细'!$G$8:$G$2197,'作业明细'!$B$8:$B$2197,A262,'作业明细'!$C$8:$C$2197,"进港")</f>
        <v>60261</v>
      </c>
      <c r="C262" s="20">
        <f>SUMIFS('作业明细'!$G$8:$G$2197,'作业明细'!$B$8:$B$2197,A262,'作业明细'!$C$8:$C$2197,"出港")</f>
        <v>29964</v>
      </c>
      <c r="D262" s="20">
        <f>SUM(B262:C262)</f>
        <v>90225</v>
      </c>
      <c r="E262" s="33">
        <f>COUNTIFS('作业明细'!$B$8:$B$2197,A262)</f>
        <v>6</v>
      </c>
      <c r="F262" s="14">
        <f>AVERAGEIFS('作业明细'!$I$8:$I$2197,'作业明细'!$B$8:$B$2197,A262)</f>
        <v>1.68</v>
      </c>
      <c r="G262" s="14">
        <f>SUMIFS('作业明细'!$H$8:$H$2197,'作业明细'!$B$8:$B$2197,A262)</f>
        <v>74.36</v>
      </c>
      <c r="H262" s="20">
        <f>D262/G262</f>
        <v>1213.35395373857</v>
      </c>
    </row>
    <row r="263">
      <c r="A263" s="34" t="n">
        <v>45913</v>
      </c>
      <c r="B263" s="25">
        <f>SUMIFS('作业明细'!$G$8:$G$2197,'作业明细'!$B$8:$B$2197,A263,'作业明细'!$C$8:$C$2197,"进港")</f>
        <v>32960</v>
      </c>
      <c r="C263" s="25">
        <f>SUMIFS('作业明细'!$G$8:$G$2197,'作业明细'!$B$8:$B$2197,A263,'作业明细'!$C$8:$C$2197,"出港")</f>
        <v>37889</v>
      </c>
      <c r="D263" s="25">
        <f>SUM(B263:C263)</f>
        <v>70849</v>
      </c>
      <c r="E263" s="35">
        <f>COUNTIFS('作业明细'!$B$8:$B$2197,A263)</f>
        <v>6</v>
      </c>
      <c r="F263" s="16">
        <f>AVERAGEIFS('作业明细'!$I$8:$I$2197,'作业明细'!$B$8:$B$2197,A263)</f>
        <v>2.945</v>
      </c>
      <c r="G263" s="16">
        <f>SUMIFS('作业明细'!$H$8:$H$2197,'作业明细'!$B$8:$B$2197,A263)</f>
        <v>59.6</v>
      </c>
      <c r="H263" s="25">
        <f>D263/G263</f>
        <v>1188.74161073826</v>
      </c>
    </row>
    <row r="264">
      <c r="A264" s="32" t="n">
        <v>45914</v>
      </c>
      <c r="B264" s="20">
        <f>SUMIFS('作业明细'!$G$8:$G$2197,'作业明细'!$B$8:$B$2197,A264,'作业明细'!$C$8:$C$2197,"进港")</f>
        <v>47564</v>
      </c>
      <c r="C264" s="20">
        <f>SUMIFS('作业明细'!$G$8:$G$2197,'作业明细'!$B$8:$B$2197,A264,'作业明细'!$C$8:$C$2197,"出港")</f>
        <v>25352</v>
      </c>
      <c r="D264" s="20">
        <f>SUM(B264:C264)</f>
        <v>72916</v>
      </c>
      <c r="E264" s="33">
        <f>COUNTIFS('作业明细'!$B$8:$B$2197,A264)</f>
        <v>6</v>
      </c>
      <c r="F264" s="14">
        <f>AVERAGEIFS('作业明细'!$I$8:$I$2197,'作业明细'!$B$8:$B$2197,A264)</f>
        <v>2.06333333333333</v>
      </c>
      <c r="G264" s="14">
        <f>SUMIFS('作业明细'!$H$8:$H$2197,'作业明细'!$B$8:$B$2197,A264)</f>
        <v>62.58</v>
      </c>
      <c r="H264" s="20">
        <f>D264/G264</f>
        <v>1165.16458932566</v>
      </c>
    </row>
    <row r="265">
      <c r="A265" s="34" t="n">
        <v>45915</v>
      </c>
      <c r="B265" s="25">
        <f>SUMIFS('作业明细'!$G$8:$G$2197,'作业明细'!$B$8:$B$2197,A265,'作业明细'!$C$8:$C$2197,"进港")</f>
        <v>41452</v>
      </c>
      <c r="C265" s="25">
        <f>SUMIFS('作业明细'!$G$8:$G$2197,'作业明细'!$B$8:$B$2197,A265,'作业明细'!$C$8:$C$2197,"出港")</f>
        <v>27573</v>
      </c>
      <c r="D265" s="25">
        <f>SUM(B265:C265)</f>
        <v>69025</v>
      </c>
      <c r="E265" s="35">
        <f>COUNTIFS('作业明细'!$B$8:$B$2197,A265)</f>
        <v>6</v>
      </c>
      <c r="F265" s="16">
        <f>AVERAGEIFS('作业明细'!$I$8:$I$2197,'作业明细'!$B$8:$B$2197,A265)</f>
        <v>2.91166666666667</v>
      </c>
      <c r="G265" s="16">
        <f>SUMIFS('作业明细'!$H$8:$H$2197,'作业明细'!$B$8:$B$2197,A265)</f>
        <v>58.41</v>
      </c>
      <c r="H265" s="25">
        <f>D265/G265</f>
        <v>1181.73258003766</v>
      </c>
    </row>
    <row r="266">
      <c r="A266" s="32" t="n">
        <v>45916</v>
      </c>
      <c r="B266" s="20">
        <f>SUMIFS('作业明细'!$G$8:$G$2197,'作业明细'!$B$8:$B$2197,A266,'作业明细'!$C$8:$C$2197,"进港")</f>
        <v>95676</v>
      </c>
      <c r="C266" s="20">
        <f>SUMIFS('作业明细'!$G$8:$G$2197,'作业明细'!$B$8:$B$2197,A266,'作业明细'!$C$8:$C$2197,"出港")</f>
        <v>22666</v>
      </c>
      <c r="D266" s="20">
        <f>SUM(B266:C266)</f>
        <v>118342</v>
      </c>
      <c r="E266" s="33">
        <f>COUNTIFS('作业明细'!$B$8:$B$2197,A266)</f>
        <v>6</v>
      </c>
      <c r="F266" s="14">
        <f>AVERAGEIFS('作业明细'!$I$8:$I$2197,'作业明细'!$B$8:$B$2197,A266)</f>
        <v>4.88666666666667</v>
      </c>
      <c r="G266" s="14">
        <f>SUMIFS('作业明细'!$H$8:$H$2197,'作业明细'!$B$8:$B$2197,A266)</f>
        <v>98.92</v>
      </c>
      <c r="H266" s="20">
        <f>D266/G266</f>
        <v>1196.34047715326</v>
      </c>
    </row>
    <row r="267">
      <c r="A267" s="34" t="n">
        <v>45917</v>
      </c>
      <c r="B267" s="25">
        <f>SUMIFS('作业明细'!$G$8:$G$2197,'作业明细'!$B$8:$B$2197,A267,'作业明细'!$C$8:$C$2197,"进港")</f>
        <v>93440</v>
      </c>
      <c r="C267" s="25">
        <f>SUMIFS('作业明细'!$G$8:$G$2197,'作业明细'!$B$8:$B$2197,A267,'作业明细'!$C$8:$C$2197,"出港")</f>
        <v>5736</v>
      </c>
      <c r="D267" s="25">
        <f>SUM(B267:C267)</f>
        <v>99176</v>
      </c>
      <c r="E267" s="35">
        <f>COUNTIFS('作业明细'!$B$8:$B$2197,A267)</f>
        <v>6</v>
      </c>
      <c r="F267" s="16">
        <f>AVERAGEIFS('作业明细'!$I$8:$I$2197,'作业明细'!$B$8:$B$2197,A267)</f>
        <v>3.97333333333333</v>
      </c>
      <c r="G267" s="16">
        <f>SUMIFS('作业明细'!$H$8:$H$2197,'作业明细'!$B$8:$B$2197,A267)</f>
        <v>78.33</v>
      </c>
      <c r="H267" s="25">
        <f>D267/G267</f>
        <v>1266.13047363718</v>
      </c>
    </row>
    <row r="268">
      <c r="A268" s="32" t="n">
        <v>45918</v>
      </c>
      <c r="B268" s="20">
        <f>SUMIFS('作业明细'!$G$8:$G$2197,'作业明细'!$B$8:$B$2197,A268,'作业明细'!$C$8:$C$2197,"进港")</f>
        <v>44904</v>
      </c>
      <c r="C268" s="20">
        <f>SUMIFS('作业明细'!$G$8:$G$2197,'作业明细'!$B$8:$B$2197,A268,'作业明细'!$C$8:$C$2197,"出港")</f>
        <v>66505</v>
      </c>
      <c r="D268" s="20">
        <f>SUM(B268:C268)</f>
        <v>111409</v>
      </c>
      <c r="E268" s="33">
        <f>COUNTIFS('作业明细'!$B$8:$B$2197,A268)</f>
        <v>6</v>
      </c>
      <c r="F268" s="14">
        <f>AVERAGEIFS('作业明细'!$I$8:$I$2197,'作业明细'!$B$8:$B$2197,A268)</f>
        <v>4.77833333333333</v>
      </c>
      <c r="G268" s="14">
        <f>SUMIFS('作业明细'!$H$8:$H$2197,'作业明细'!$B$8:$B$2197,A268)</f>
        <v>94.7</v>
      </c>
      <c r="H268" s="20">
        <f>D268/G268</f>
        <v>1176.4413938754</v>
      </c>
    </row>
    <row r="269">
      <c r="A269" s="34" t="n">
        <v>45919</v>
      </c>
      <c r="B269" s="25">
        <f>SUMIFS('作业明细'!$G$8:$G$2197,'作业明细'!$B$8:$B$2197,A269,'作业明细'!$C$8:$C$2197,"进港")</f>
        <v>50539</v>
      </c>
      <c r="C269" s="25">
        <f>SUMIFS('作业明细'!$G$8:$G$2197,'作业明细'!$B$8:$B$2197,A269,'作业明细'!$C$8:$C$2197,"出港")</f>
        <v>37275</v>
      </c>
      <c r="D269" s="25">
        <f>SUM(B269:C269)</f>
        <v>87814</v>
      </c>
      <c r="E269" s="35">
        <f>COUNTIFS('作业明细'!$B$8:$B$2197,A269)</f>
        <v>6</v>
      </c>
      <c r="F269" s="16">
        <f>AVERAGEIFS('作业明细'!$I$8:$I$2197,'作业明细'!$B$8:$B$2197,A269)</f>
        <v>4.97</v>
      </c>
      <c r="G269" s="16">
        <f>SUMIFS('作业明细'!$H$8:$H$2197,'作业明细'!$B$8:$B$2197,A269)</f>
        <v>81.22</v>
      </c>
      <c r="H269" s="25">
        <f>D269/G269</f>
        <v>1081.18689977838</v>
      </c>
    </row>
    <row r="270">
      <c r="A270" s="32" t="n">
        <v>45920</v>
      </c>
      <c r="B270" s="20">
        <f>SUMIFS('作业明细'!$G$8:$G$2197,'作业明细'!$B$8:$B$2197,A270,'作业明细'!$C$8:$C$2197,"进港")</f>
        <v>86557</v>
      </c>
      <c r="C270" s="20">
        <f>SUMIFS('作业明细'!$G$8:$G$2197,'作业明细'!$B$8:$B$2197,A270,'作业明细'!$C$8:$C$2197,"出港")</f>
        <v>30728</v>
      </c>
      <c r="D270" s="20">
        <f>SUM(B270:C270)</f>
        <v>117285</v>
      </c>
      <c r="E270" s="33">
        <f>COUNTIFS('作业明细'!$B$8:$B$2197,A270)</f>
        <v>6</v>
      </c>
      <c r="F270" s="14">
        <f>AVERAGEIFS('作业明细'!$I$8:$I$2197,'作业明细'!$B$8:$B$2197,A270)</f>
        <v>4.48</v>
      </c>
      <c r="G270" s="14">
        <f>SUMIFS('作业明细'!$H$8:$H$2197,'作业明细'!$B$8:$B$2197,A270)</f>
        <v>110.72</v>
      </c>
      <c r="H270" s="20">
        <f>D270/G270</f>
        <v>1059.29371387283</v>
      </c>
    </row>
    <row r="271">
      <c r="A271" s="34" t="n">
        <v>45921</v>
      </c>
      <c r="B271" s="25">
        <f>SUMIFS('作业明细'!$G$8:$G$2197,'作业明细'!$B$8:$B$2197,A271,'作业明细'!$C$8:$C$2197,"进港")</f>
        <v>108873</v>
      </c>
      <c r="C271" s="25">
        <f>SUMIFS('作业明细'!$G$8:$G$2197,'作业明细'!$B$8:$B$2197,A271,'作业明细'!$C$8:$C$2197,"出港")</f>
        <v>0</v>
      </c>
      <c r="D271" s="25">
        <f>SUM(B271:C271)</f>
        <v>108873</v>
      </c>
      <c r="E271" s="35">
        <f>COUNTIFS('作业明细'!$B$8:$B$2197,A271)</f>
        <v>6</v>
      </c>
      <c r="F271" s="16">
        <f>AVERAGEIFS('作业明细'!$I$8:$I$2197,'作业明细'!$B$8:$B$2197,A271)</f>
        <v>3.895</v>
      </c>
      <c r="G271" s="16">
        <f>SUMIFS('作业明细'!$H$8:$H$2197,'作业明细'!$B$8:$B$2197,A271)</f>
        <v>99.19</v>
      </c>
      <c r="H271" s="25">
        <f>D271/G271</f>
        <v>1097.62072789596</v>
      </c>
    </row>
    <row r="272">
      <c r="A272" s="32" t="n">
        <v>45922</v>
      </c>
      <c r="B272" s="20">
        <f>SUMIFS('作业明细'!$G$8:$G$2197,'作业明细'!$B$8:$B$2197,A272,'作业明细'!$C$8:$C$2197,"进港")</f>
        <v>78417</v>
      </c>
      <c r="C272" s="20">
        <f>SUMIFS('作业明细'!$G$8:$G$2197,'作业明细'!$B$8:$B$2197,A272,'作业明细'!$C$8:$C$2197,"出港")</f>
        <v>28706</v>
      </c>
      <c r="D272" s="20">
        <f>SUM(B272:C272)</f>
        <v>107123</v>
      </c>
      <c r="E272" s="33">
        <f>COUNTIFS('作业明细'!$B$8:$B$2197,A272)</f>
        <v>6</v>
      </c>
      <c r="F272" s="14">
        <f>AVERAGEIFS('作业明细'!$I$8:$I$2197,'作业明细'!$B$8:$B$2197,A272)</f>
        <v>4.19</v>
      </c>
      <c r="G272" s="14">
        <f>SUMIFS('作业明细'!$H$8:$H$2197,'作业明细'!$B$8:$B$2197,A272)</f>
        <v>95.78</v>
      </c>
      <c r="H272" s="20">
        <f>D272/G272</f>
        <v>1118.42764669033</v>
      </c>
    </row>
    <row r="273">
      <c r="A273" s="34" t="n">
        <v>45923</v>
      </c>
      <c r="B273" s="25">
        <f>SUMIFS('作业明细'!$G$8:$G$2197,'作业明细'!$B$8:$B$2197,A273,'作业明细'!$C$8:$C$2197,"进港")</f>
        <v>67105</v>
      </c>
      <c r="C273" s="25">
        <f>SUMIFS('作业明细'!$G$8:$G$2197,'作业明细'!$B$8:$B$2197,A273,'作业明细'!$C$8:$C$2197,"出港")</f>
        <v>35250</v>
      </c>
      <c r="D273" s="25">
        <f>SUM(B273:C273)</f>
        <v>102355</v>
      </c>
      <c r="E273" s="35">
        <f>COUNTIFS('作业明细'!$B$8:$B$2197,A273)</f>
        <v>6</v>
      </c>
      <c r="F273" s="16">
        <f>AVERAGEIFS('作业明细'!$I$8:$I$2197,'作业明细'!$B$8:$B$2197,A273)</f>
        <v>4.96833333333333</v>
      </c>
      <c r="G273" s="16">
        <f>SUMIFS('作业明细'!$H$8:$H$2197,'作业明细'!$B$8:$B$2197,A273)</f>
        <v>87.21</v>
      </c>
      <c r="H273" s="25">
        <f>D273/G273</f>
        <v>1173.66127737645</v>
      </c>
    </row>
    <row r="274">
      <c r="A274" s="32" t="n">
        <v>45924</v>
      </c>
      <c r="B274" s="20">
        <f>SUMIFS('作业明细'!$G$8:$G$2197,'作业明细'!$B$8:$B$2197,A274,'作业明细'!$C$8:$C$2197,"进港")</f>
        <v>71554</v>
      </c>
      <c r="C274" s="20">
        <f>SUMIFS('作业明细'!$G$8:$G$2197,'作业明细'!$B$8:$B$2197,A274,'作业明细'!$C$8:$C$2197,"出港")</f>
        <v>55565</v>
      </c>
      <c r="D274" s="20">
        <f>SUM(B274:C274)</f>
        <v>127119</v>
      </c>
      <c r="E274" s="33">
        <f>COUNTIFS('作业明细'!$B$8:$B$2197,A274)</f>
        <v>6</v>
      </c>
      <c r="F274" s="14">
        <f>AVERAGEIFS('作业明细'!$I$8:$I$2197,'作业明细'!$B$8:$B$2197,A274)</f>
        <v>4.01666666666667</v>
      </c>
      <c r="G274" s="14">
        <f>SUMIFS('作业明细'!$H$8:$H$2197,'作业明细'!$B$8:$B$2197,A274)</f>
        <v>105.06</v>
      </c>
      <c r="H274" s="20">
        <f>D274/G274</f>
        <v>1209.96573386636</v>
      </c>
    </row>
    <row r="275">
      <c r="A275" s="34" t="n">
        <v>45925</v>
      </c>
      <c r="B275" s="25">
        <f>SUMIFS('作业明细'!$G$8:$G$2197,'作业明细'!$B$8:$B$2197,A275,'作业明细'!$C$8:$C$2197,"进港")</f>
        <v>71127</v>
      </c>
      <c r="C275" s="25">
        <f>SUMIFS('作业明细'!$G$8:$G$2197,'作业明细'!$B$8:$B$2197,A275,'作业明细'!$C$8:$C$2197,"出港")</f>
        <v>13477</v>
      </c>
      <c r="D275" s="25">
        <f>SUM(B275:C275)</f>
        <v>84604</v>
      </c>
      <c r="E275" s="35">
        <f>COUNTIFS('作业明细'!$B$8:$B$2197,A275)</f>
        <v>6</v>
      </c>
      <c r="F275" s="16">
        <f>AVERAGEIFS('作业明细'!$I$8:$I$2197,'作业明细'!$B$8:$B$2197,A275)</f>
        <v>2.65166666666667</v>
      </c>
      <c r="G275" s="16">
        <f>SUMIFS('作业明细'!$H$8:$H$2197,'作业明细'!$B$8:$B$2197,A275)</f>
        <v>70.25</v>
      </c>
      <c r="H275" s="25">
        <f>D275/G275</f>
        <v>1204.32740213523</v>
      </c>
    </row>
    <row r="276">
      <c r="A276" s="32" t="n">
        <v>45926</v>
      </c>
      <c r="B276" s="20">
        <f>SUMIFS('作业明细'!$G$8:$G$2197,'作业明细'!$B$8:$B$2197,A276,'作业明细'!$C$8:$C$2197,"进港")</f>
        <v>73112</v>
      </c>
      <c r="C276" s="20">
        <f>SUMIFS('作业明细'!$G$8:$G$2197,'作业明细'!$B$8:$B$2197,A276,'作业明细'!$C$8:$C$2197,"出港")</f>
        <v>10515</v>
      </c>
      <c r="D276" s="20">
        <f>SUM(B276:C276)</f>
        <v>83627</v>
      </c>
      <c r="E276" s="33">
        <f>COUNTIFS('作业明细'!$B$8:$B$2197,A276)</f>
        <v>6</v>
      </c>
      <c r="F276" s="14">
        <f>AVERAGEIFS('作业明细'!$I$8:$I$2197,'作业明细'!$B$8:$B$2197,A276)</f>
        <v>2.98333333333333</v>
      </c>
      <c r="G276" s="14">
        <f>SUMIFS('作业明细'!$H$8:$H$2197,'作业明细'!$B$8:$B$2197,A276)</f>
        <v>66.56</v>
      </c>
      <c r="H276" s="20">
        <f>D276/G276</f>
        <v>1256.41526442308</v>
      </c>
    </row>
    <row r="277">
      <c r="A277" s="34" t="n">
        <v>45927</v>
      </c>
      <c r="B277" s="25">
        <f>SUMIFS('作业明细'!$G$8:$G$2197,'作业明细'!$B$8:$B$2197,A277,'作业明细'!$C$8:$C$2197,"进港")</f>
        <v>77203</v>
      </c>
      <c r="C277" s="25">
        <f>SUMIFS('作业明细'!$G$8:$G$2197,'作业明细'!$B$8:$B$2197,A277,'作业明细'!$C$8:$C$2197,"出港")</f>
        <v>2970</v>
      </c>
      <c r="D277" s="25">
        <f>SUM(B277:C277)</f>
        <v>80173</v>
      </c>
      <c r="E277" s="35">
        <f>COUNTIFS('作业明细'!$B$8:$B$2197,A277)</f>
        <v>6</v>
      </c>
      <c r="F277" s="16">
        <f>AVERAGEIFS('作业明细'!$I$8:$I$2197,'作业明细'!$B$8:$B$2197,A277)</f>
        <v>2.695</v>
      </c>
      <c r="G277" s="16">
        <f>SUMIFS('作业明细'!$H$8:$H$2197,'作业明细'!$B$8:$B$2197,A277)</f>
        <v>65.64</v>
      </c>
      <c r="H277" s="25">
        <f>D277/G277</f>
        <v>1221.40463132236</v>
      </c>
    </row>
    <row r="278">
      <c r="A278" s="32" t="n">
        <v>45928</v>
      </c>
      <c r="B278" s="20">
        <f>SUMIFS('作业明细'!$G$8:$G$2197,'作业明细'!$B$8:$B$2197,A278,'作业明细'!$C$8:$C$2197,"进港")</f>
        <v>59244</v>
      </c>
      <c r="C278" s="20">
        <f>SUMIFS('作业明细'!$G$8:$G$2197,'作业明细'!$B$8:$B$2197,A278,'作业明细'!$C$8:$C$2197,"出港")</f>
        <v>14893</v>
      </c>
      <c r="D278" s="20">
        <f>SUM(B278:C278)</f>
        <v>74137</v>
      </c>
      <c r="E278" s="33">
        <f>COUNTIFS('作业明细'!$B$8:$B$2197,A278)</f>
        <v>6</v>
      </c>
      <c r="F278" s="14">
        <f>AVERAGEIFS('作业明细'!$I$8:$I$2197,'作业明细'!$B$8:$B$2197,A278)</f>
        <v>2.83833333333333</v>
      </c>
      <c r="G278" s="14">
        <f>SUMIFS('作业明细'!$H$8:$H$2197,'作业明细'!$B$8:$B$2197,A278)</f>
        <v>64.67</v>
      </c>
      <c r="H278" s="20">
        <f>D278/G278</f>
        <v>1146.38936137313</v>
      </c>
    </row>
    <row r="279">
      <c r="A279" s="34" t="n">
        <v>45929</v>
      </c>
      <c r="B279" s="25">
        <f>SUMIFS('作业明细'!$G$8:$G$2197,'作业明细'!$B$8:$B$2197,A279,'作业明细'!$C$8:$C$2197,"进港")</f>
        <v>49393</v>
      </c>
      <c r="C279" s="25">
        <f>SUMIFS('作业明细'!$G$8:$G$2197,'作业明细'!$B$8:$B$2197,A279,'作业明细'!$C$8:$C$2197,"出港")</f>
        <v>25079</v>
      </c>
      <c r="D279" s="25">
        <f>SUM(B279:C279)</f>
        <v>74472</v>
      </c>
      <c r="E279" s="35">
        <f>COUNTIFS('作业明细'!$B$8:$B$2197,A279)</f>
        <v>6</v>
      </c>
      <c r="F279" s="16">
        <f>AVERAGEIFS('作业明细'!$I$8:$I$2197,'作业明细'!$B$8:$B$2197,A279)</f>
        <v>2.36166666666667</v>
      </c>
      <c r="G279" s="16">
        <f>SUMIFS('作业明细'!$H$8:$H$2197,'作业明细'!$B$8:$B$2197,A279)</f>
        <v>63.54</v>
      </c>
      <c r="H279" s="25">
        <f>D279/G279</f>
        <v>1172.04910292729</v>
      </c>
    </row>
    <row r="280">
      <c r="A280" s="32" t="n">
        <v>45930</v>
      </c>
      <c r="B280" s="20">
        <f>SUMIFS('作业明细'!$G$8:$G$2197,'作业明细'!$B$8:$B$2197,A280,'作业明细'!$C$8:$C$2197,"进港")</f>
        <v>35508</v>
      </c>
      <c r="C280" s="20">
        <f>SUMIFS('作业明细'!$G$8:$G$2197,'作业明细'!$B$8:$B$2197,A280,'作业明细'!$C$8:$C$2197,"出港")</f>
        <v>49706</v>
      </c>
      <c r="D280" s="20">
        <f>SUM(B280:C280)</f>
        <v>85214</v>
      </c>
      <c r="E280" s="33">
        <f>COUNTIFS('作业明细'!$B$8:$B$2197,A280)</f>
        <v>6</v>
      </c>
      <c r="F280" s="14">
        <f>AVERAGEIFS('作业明细'!$I$8:$I$2197,'作业明细'!$B$8:$B$2197,A280)</f>
        <v>2.95166666666667</v>
      </c>
      <c r="G280" s="14">
        <f>SUMIFS('作业明细'!$H$8:$H$2197,'作业明细'!$B$8:$B$2197,A280)</f>
        <v>74.66</v>
      </c>
      <c r="H280" s="20">
        <f>D280/G280</f>
        <v>1141.36083578891</v>
      </c>
    </row>
    <row r="281">
      <c r="A281" s="34" t="n">
        <v>45931</v>
      </c>
      <c r="B281" s="25">
        <f>SUMIFS('作业明细'!$G$8:$G$2197,'作业明细'!$B$8:$B$2197,A281,'作业明细'!$C$8:$C$2197,"进港")</f>
        <v>75201</v>
      </c>
      <c r="C281" s="25">
        <f>SUMIFS('作业明细'!$G$8:$G$2197,'作业明细'!$B$8:$B$2197,A281,'作业明细'!$C$8:$C$2197,"出港")</f>
        <v>11867</v>
      </c>
      <c r="D281" s="25">
        <f>SUM(B281:C281)</f>
        <v>87068</v>
      </c>
      <c r="E281" s="35">
        <f>COUNTIFS('作业明细'!$B$8:$B$2197,A281)</f>
        <v>6</v>
      </c>
      <c r="F281" s="16">
        <f>AVERAGEIFS('作业明细'!$I$8:$I$2197,'作业明细'!$B$8:$B$2197,A281)</f>
        <v>2.27666666666667</v>
      </c>
      <c r="G281" s="16">
        <f>SUMIFS('作业明细'!$H$8:$H$2197,'作业明细'!$B$8:$B$2197,A281)</f>
        <v>66.22</v>
      </c>
      <c r="H281" s="25">
        <f>D281/G281</f>
        <v>1314.82935668982</v>
      </c>
    </row>
    <row r="282">
      <c r="A282" s="32" t="n">
        <v>45932</v>
      </c>
      <c r="B282" s="20">
        <f>SUMIFS('作业明细'!$G$8:$G$2197,'作业明细'!$B$8:$B$2197,A282,'作业明细'!$C$8:$C$2197,"进港")</f>
        <v>39033</v>
      </c>
      <c r="C282" s="20">
        <f>SUMIFS('作业明细'!$G$8:$G$2197,'作业明细'!$B$8:$B$2197,A282,'作业明细'!$C$8:$C$2197,"出港")</f>
        <v>42825</v>
      </c>
      <c r="D282" s="20">
        <f>SUM(B282:C282)</f>
        <v>81858</v>
      </c>
      <c r="E282" s="33">
        <f>COUNTIFS('作业明细'!$B$8:$B$2197,A282)</f>
        <v>6</v>
      </c>
      <c r="F282" s="14">
        <f>AVERAGEIFS('作业明细'!$I$8:$I$2197,'作业明细'!$B$8:$B$2197,A282)</f>
        <v>3.27833333333333</v>
      </c>
      <c r="G282" s="14">
        <f>SUMIFS('作业明细'!$H$8:$H$2197,'作业明细'!$B$8:$B$2197,A282)</f>
        <v>70.79</v>
      </c>
      <c r="H282" s="20">
        <f>D282/G282</f>
        <v>1156.34976691623</v>
      </c>
    </row>
    <row r="283">
      <c r="A283" s="34" t="n">
        <v>45933</v>
      </c>
      <c r="B283" s="25">
        <f>SUMIFS('作业明细'!$G$8:$G$2197,'作业明细'!$B$8:$B$2197,A283,'作业明细'!$C$8:$C$2197,"进港")</f>
        <v>63203</v>
      </c>
      <c r="C283" s="25">
        <f>SUMIFS('作业明细'!$G$8:$G$2197,'作业明细'!$B$8:$B$2197,A283,'作业明细'!$C$8:$C$2197,"出港")</f>
        <v>19809</v>
      </c>
      <c r="D283" s="25">
        <f>SUM(B283:C283)</f>
        <v>83012</v>
      </c>
      <c r="E283" s="35">
        <f>COUNTIFS('作业明细'!$B$8:$B$2197,A283)</f>
        <v>6</v>
      </c>
      <c r="F283" s="16">
        <f>AVERAGEIFS('作业明细'!$I$8:$I$2197,'作业明细'!$B$8:$B$2197,A283)</f>
        <v>2.31333333333333</v>
      </c>
      <c r="G283" s="16">
        <f>SUMIFS('作业明细'!$H$8:$H$2197,'作业明细'!$B$8:$B$2197,A283)</f>
        <v>67.37</v>
      </c>
      <c r="H283" s="25">
        <f>D283/G283</f>
        <v>1232.18049576963</v>
      </c>
    </row>
    <row r="284">
      <c r="A284" s="32" t="n">
        <v>45934</v>
      </c>
      <c r="B284" s="20">
        <f>SUMIFS('作业明细'!$G$8:$G$2197,'作业明细'!$B$8:$B$2197,A284,'作业明细'!$C$8:$C$2197,"进港")</f>
        <v>92242</v>
      </c>
      <c r="C284" s="20">
        <f>SUMIFS('作业明细'!$G$8:$G$2197,'作业明细'!$B$8:$B$2197,A284,'作业明细'!$C$8:$C$2197,"出港")</f>
        <v>6100</v>
      </c>
      <c r="D284" s="20">
        <f>SUM(B284:C284)</f>
        <v>98342</v>
      </c>
      <c r="E284" s="33">
        <f>COUNTIFS('作业明细'!$B$8:$B$2197,A284)</f>
        <v>6</v>
      </c>
      <c r="F284" s="14">
        <f>AVERAGEIFS('作业明细'!$I$8:$I$2197,'作业明细'!$B$8:$B$2197,A284)</f>
        <v>3.95666666666667</v>
      </c>
      <c r="G284" s="14">
        <f>SUMIFS('作业明细'!$H$8:$H$2197,'作业明细'!$B$8:$B$2197,A284)</f>
        <v>85.6</v>
      </c>
      <c r="H284" s="20">
        <f>D284/G284</f>
        <v>1148.85514018692</v>
      </c>
    </row>
    <row r="285">
      <c r="A285" s="34" t="n">
        <v>45935</v>
      </c>
      <c r="B285" s="25">
        <f>SUMIFS('作业明细'!$G$8:$G$2197,'作业明细'!$B$8:$B$2197,A285,'作业明细'!$C$8:$C$2197,"进港")</f>
        <v>62625</v>
      </c>
      <c r="C285" s="25">
        <f>SUMIFS('作业明细'!$G$8:$G$2197,'作业明细'!$B$8:$B$2197,A285,'作业明细'!$C$8:$C$2197,"出港")</f>
        <v>19451</v>
      </c>
      <c r="D285" s="25">
        <f>SUM(B285:C285)</f>
        <v>82076</v>
      </c>
      <c r="E285" s="35">
        <f>COUNTIFS('作业明细'!$B$8:$B$2197,A285)</f>
        <v>6</v>
      </c>
      <c r="F285" s="16">
        <f>AVERAGEIFS('作业明细'!$I$8:$I$2197,'作业明细'!$B$8:$B$2197,A285)</f>
        <v>2.60166666666667</v>
      </c>
      <c r="G285" s="16">
        <f>SUMIFS('作业明细'!$H$8:$H$2197,'作业明细'!$B$8:$B$2197,A285)</f>
        <v>74.46</v>
      </c>
      <c r="H285" s="25">
        <f>D285/G285</f>
        <v>1102.28310502283</v>
      </c>
    </row>
    <row r="286">
      <c r="A286" s="32" t="n">
        <v>45936</v>
      </c>
      <c r="B286" s="20">
        <f>SUMIFS('作业明细'!$G$8:$G$2197,'作业明细'!$B$8:$B$2197,A286,'作业明细'!$C$8:$C$2197,"进港")</f>
        <v>90447</v>
      </c>
      <c r="C286" s="20">
        <f>SUMIFS('作业明细'!$G$8:$G$2197,'作业明细'!$B$8:$B$2197,A286,'作业明细'!$C$8:$C$2197,"出港")</f>
        <v>3400</v>
      </c>
      <c r="D286" s="20">
        <f>SUM(B286:C286)</f>
        <v>93847</v>
      </c>
      <c r="E286" s="33">
        <f>COUNTIFS('作业明细'!$B$8:$B$2197,A286)</f>
        <v>6</v>
      </c>
      <c r="F286" s="14">
        <f>AVERAGEIFS('作业明细'!$I$8:$I$2197,'作业明细'!$B$8:$B$2197,A286)</f>
        <v>2.85166666666667</v>
      </c>
      <c r="G286" s="14">
        <f>SUMIFS('作业明细'!$H$8:$H$2197,'作业明细'!$B$8:$B$2197,A286)</f>
        <v>75.17</v>
      </c>
      <c r="H286" s="20">
        <f>D286/G286</f>
        <v>1248.46348277238</v>
      </c>
    </row>
    <row r="287">
      <c r="A287" s="34" t="n">
        <v>45937</v>
      </c>
      <c r="B287" s="25">
        <f>SUMIFS('作业明细'!$G$8:$G$2197,'作业明细'!$B$8:$B$2197,A287,'作业明细'!$C$8:$C$2197,"进港")</f>
        <v>64169</v>
      </c>
      <c r="C287" s="25">
        <f>SUMIFS('作业明细'!$G$8:$G$2197,'作业明细'!$B$8:$B$2197,A287,'作业明细'!$C$8:$C$2197,"出港")</f>
        <v>34556</v>
      </c>
      <c r="D287" s="25">
        <f>SUM(B287:C287)</f>
        <v>98725</v>
      </c>
      <c r="E287" s="35">
        <f>COUNTIFS('作业明细'!$B$8:$B$2197,A287)</f>
        <v>6</v>
      </c>
      <c r="F287" s="16">
        <f>AVERAGEIFS('作业明细'!$I$8:$I$2197,'作业明细'!$B$8:$B$2197,A287)</f>
        <v>2.005</v>
      </c>
      <c r="G287" s="16">
        <f>SUMIFS('作业明细'!$H$8:$H$2197,'作业明细'!$B$8:$B$2197,A287)</f>
        <v>93.74</v>
      </c>
      <c r="H287" s="25">
        <f>D287/G287</f>
        <v>1053.17900576061</v>
      </c>
    </row>
    <row r="288">
      <c r="A288" s="32" t="n">
        <v>45938</v>
      </c>
      <c r="B288" s="20">
        <f>SUMIFS('作业明细'!$G$8:$G$2197,'作业明细'!$B$8:$B$2197,A288,'作业明细'!$C$8:$C$2197,"进港")</f>
        <v>54844</v>
      </c>
      <c r="C288" s="20">
        <f>SUMIFS('作业明细'!$G$8:$G$2197,'作业明细'!$B$8:$B$2197,A288,'作业明细'!$C$8:$C$2197,"出港")</f>
        <v>21094</v>
      </c>
      <c r="D288" s="20">
        <f>SUM(B288:C288)</f>
        <v>75938</v>
      </c>
      <c r="E288" s="33">
        <f>COUNTIFS('作业明细'!$B$8:$B$2197,A288)</f>
        <v>6</v>
      </c>
      <c r="F288" s="14">
        <f>AVERAGEIFS('作业明细'!$I$8:$I$2197,'作业明细'!$B$8:$B$2197,A288)</f>
        <v>3.34</v>
      </c>
      <c r="G288" s="14">
        <f>SUMIFS('作业明细'!$H$8:$H$2197,'作业明细'!$B$8:$B$2197,A288)</f>
        <v>65.03</v>
      </c>
      <c r="H288" s="20">
        <f>D288/G288</f>
        <v>1167.73796709211</v>
      </c>
    </row>
    <row r="289">
      <c r="A289" s="34" t="n">
        <v>45939</v>
      </c>
      <c r="B289" s="25">
        <f>SUMIFS('作业明细'!$G$8:$G$2197,'作业明细'!$B$8:$B$2197,A289,'作业明细'!$C$8:$C$2197,"进港")</f>
        <v>63128</v>
      </c>
      <c r="C289" s="25">
        <f>SUMIFS('作业明细'!$G$8:$G$2197,'作业明细'!$B$8:$B$2197,A289,'作业明细'!$C$8:$C$2197,"出港")</f>
        <v>5030</v>
      </c>
      <c r="D289" s="25">
        <f>SUM(B289:C289)</f>
        <v>68158</v>
      </c>
      <c r="E289" s="35">
        <f>COUNTIFS('作业明细'!$B$8:$B$2197,A289)</f>
        <v>6</v>
      </c>
      <c r="F289" s="16">
        <f>AVERAGEIFS('作业明细'!$I$8:$I$2197,'作业明细'!$B$8:$B$2197,A289)</f>
        <v>2.26166666666667</v>
      </c>
      <c r="G289" s="16">
        <f>SUMIFS('作业明细'!$H$8:$H$2197,'作业明细'!$B$8:$B$2197,A289)</f>
        <v>56.6</v>
      </c>
      <c r="H289" s="25">
        <f>D289/G289</f>
        <v>1204.20494699647</v>
      </c>
    </row>
    <row r="290">
      <c r="A290" s="32" t="n">
        <v>45940</v>
      </c>
      <c r="B290" s="20">
        <f>SUMIFS('作业明细'!$G$8:$G$2197,'作业明细'!$B$8:$B$2197,A290,'作业明细'!$C$8:$C$2197,"进港")</f>
        <v>50420</v>
      </c>
      <c r="C290" s="20">
        <f>SUMIFS('作业明细'!$G$8:$G$2197,'作业明细'!$B$8:$B$2197,A290,'作业明细'!$C$8:$C$2197,"出港")</f>
        <v>6852</v>
      </c>
      <c r="D290" s="20">
        <f>SUM(B290:C290)</f>
        <v>57272</v>
      </c>
      <c r="E290" s="33">
        <f>COUNTIFS('作业明细'!$B$8:$B$2197,A290)</f>
        <v>6</v>
      </c>
      <c r="F290" s="14">
        <f>AVERAGEIFS('作业明细'!$I$8:$I$2197,'作业明细'!$B$8:$B$2197,A290)</f>
        <v>2.97833333333333</v>
      </c>
      <c r="G290" s="14">
        <f>SUMIFS('作业明细'!$H$8:$H$2197,'作业明细'!$B$8:$B$2197,A290)</f>
        <v>52.41</v>
      </c>
      <c r="H290" s="20">
        <f>D290/G290</f>
        <v>1092.76855561916</v>
      </c>
    </row>
    <row r="291">
      <c r="A291" s="34" t="n">
        <v>45941</v>
      </c>
      <c r="B291" s="25">
        <f>SUMIFS('作业明细'!$G$8:$G$2197,'作业明细'!$B$8:$B$2197,A291,'作业明细'!$C$8:$C$2197,"进港")</f>
        <v>30505</v>
      </c>
      <c r="C291" s="25">
        <f>SUMIFS('作业明细'!$G$8:$G$2197,'作业明细'!$B$8:$B$2197,A291,'作业明细'!$C$8:$C$2197,"出港")</f>
        <v>46171</v>
      </c>
      <c r="D291" s="25">
        <f>SUM(B291:C291)</f>
        <v>76676</v>
      </c>
      <c r="E291" s="35">
        <f>COUNTIFS('作业明细'!$B$8:$B$2197,A291)</f>
        <v>6</v>
      </c>
      <c r="F291" s="16">
        <f>AVERAGEIFS('作业明细'!$I$8:$I$2197,'作业明细'!$B$8:$B$2197,A291)</f>
        <v>2.635</v>
      </c>
      <c r="G291" s="16">
        <f>SUMIFS('作业明细'!$H$8:$H$2197,'作业明细'!$B$8:$B$2197,A291)</f>
        <v>66.13</v>
      </c>
      <c r="H291" s="25">
        <f>D291/G291</f>
        <v>1159.47376379858</v>
      </c>
    </row>
    <row r="292">
      <c r="A292" s="32" t="n">
        <v>45942</v>
      </c>
      <c r="B292" s="20">
        <f>SUMIFS('作业明细'!$G$8:$G$2197,'作业明细'!$B$8:$B$2197,A292,'作业明细'!$C$8:$C$2197,"进港")</f>
        <v>23356</v>
      </c>
      <c r="C292" s="20">
        <f>SUMIFS('作业明细'!$G$8:$G$2197,'作业明细'!$B$8:$B$2197,A292,'作业明细'!$C$8:$C$2197,"出港")</f>
        <v>54617</v>
      </c>
      <c r="D292" s="20">
        <f>SUM(B292:C292)</f>
        <v>77973</v>
      </c>
      <c r="E292" s="33">
        <f>COUNTIFS('作业明细'!$B$8:$B$2197,A292)</f>
        <v>6</v>
      </c>
      <c r="F292" s="14">
        <f>AVERAGEIFS('作业明细'!$I$8:$I$2197,'作业明细'!$B$8:$B$2197,A292)</f>
        <v>4.865</v>
      </c>
      <c r="G292" s="14">
        <f>SUMIFS('作业明细'!$H$8:$H$2197,'作业明细'!$B$8:$B$2197,A292)</f>
        <v>70.18</v>
      </c>
      <c r="H292" s="20">
        <f>D292/G292</f>
        <v>1111.04303220291</v>
      </c>
    </row>
    <row r="293">
      <c r="A293" s="34" t="n">
        <v>45943</v>
      </c>
      <c r="B293" s="25">
        <f>SUMIFS('作业明细'!$G$8:$G$2197,'作业明细'!$B$8:$B$2197,A293,'作业明细'!$C$8:$C$2197,"进港")</f>
        <v>55401</v>
      </c>
      <c r="C293" s="25">
        <f>SUMIFS('作业明细'!$G$8:$G$2197,'作业明细'!$B$8:$B$2197,A293,'作业明细'!$C$8:$C$2197,"出港")</f>
        <v>19192</v>
      </c>
      <c r="D293" s="25">
        <f>SUM(B293:C293)</f>
        <v>74593</v>
      </c>
      <c r="E293" s="35">
        <f>COUNTIFS('作业明细'!$B$8:$B$2197,A293)</f>
        <v>6</v>
      </c>
      <c r="F293" s="16">
        <f>AVERAGEIFS('作业明细'!$I$8:$I$2197,'作业明细'!$B$8:$B$2197,A293)</f>
        <v>2.56</v>
      </c>
      <c r="G293" s="16">
        <f>SUMIFS('作业明细'!$H$8:$H$2197,'作业明细'!$B$8:$B$2197,A293)</f>
        <v>66.56</v>
      </c>
      <c r="H293" s="25">
        <f>D293/G293</f>
        <v>1120.68810096154</v>
      </c>
    </row>
    <row r="294">
      <c r="A294" s="32" t="n">
        <v>45944</v>
      </c>
      <c r="B294" s="20">
        <f>SUMIFS('作业明细'!$G$8:$G$2197,'作业明细'!$B$8:$B$2197,A294,'作业明细'!$C$8:$C$2197,"进港")</f>
        <v>64125</v>
      </c>
      <c r="C294" s="20">
        <f>SUMIFS('作业明细'!$G$8:$G$2197,'作业明细'!$B$8:$B$2197,A294,'作业明细'!$C$8:$C$2197,"出港")</f>
        <v>10798</v>
      </c>
      <c r="D294" s="20">
        <f>SUM(B294:C294)</f>
        <v>74923</v>
      </c>
      <c r="E294" s="33">
        <f>COUNTIFS('作业明细'!$B$8:$B$2197,A294)</f>
        <v>6</v>
      </c>
      <c r="F294" s="14">
        <f>AVERAGEIFS('作业明细'!$I$8:$I$2197,'作业明细'!$B$8:$B$2197,A294)</f>
        <v>1.515</v>
      </c>
      <c r="G294" s="14">
        <f>SUMIFS('作业明细'!$H$8:$H$2197,'作业明细'!$B$8:$B$2197,A294)</f>
        <v>66.24</v>
      </c>
      <c r="H294" s="20">
        <f>D294/G294</f>
        <v>1131.08393719807</v>
      </c>
    </row>
    <row r="295">
      <c r="A295" s="34" t="n">
        <v>45945</v>
      </c>
      <c r="B295" s="25">
        <f>SUMIFS('作业明细'!$G$8:$G$2197,'作业明细'!$B$8:$B$2197,A295,'作业明细'!$C$8:$C$2197,"进港")</f>
        <v>58050</v>
      </c>
      <c r="C295" s="25">
        <f>SUMIFS('作业明细'!$G$8:$G$2197,'作业明细'!$B$8:$B$2197,A295,'作业明细'!$C$8:$C$2197,"出港")</f>
        <v>17516</v>
      </c>
      <c r="D295" s="25">
        <f>SUM(B295:C295)</f>
        <v>75566</v>
      </c>
      <c r="E295" s="35">
        <f>COUNTIFS('作业明细'!$B$8:$B$2197,A295)</f>
        <v>6</v>
      </c>
      <c r="F295" s="16">
        <f>AVERAGEIFS('作业明细'!$I$8:$I$2197,'作业明细'!$B$8:$B$2197,A295)</f>
        <v>2.53333333333333</v>
      </c>
      <c r="G295" s="16">
        <f>SUMIFS('作业明细'!$H$8:$H$2197,'作业明细'!$B$8:$B$2197,A295)</f>
        <v>62.55</v>
      </c>
      <c r="H295" s="25">
        <f>D295/G295</f>
        <v>1208.0895283773</v>
      </c>
    </row>
    <row r="296">
      <c r="A296" s="32" t="n">
        <v>45946</v>
      </c>
      <c r="B296" s="20">
        <f>SUMIFS('作业明细'!$G$8:$G$2197,'作业明细'!$B$8:$B$2197,A296,'作业明细'!$C$8:$C$2197,"进港")</f>
        <v>56372</v>
      </c>
      <c r="C296" s="20">
        <f>SUMIFS('作业明细'!$G$8:$G$2197,'作业明细'!$B$8:$B$2197,A296,'作业明细'!$C$8:$C$2197,"出港")</f>
        <v>42867</v>
      </c>
      <c r="D296" s="20">
        <f>SUM(B296:C296)</f>
        <v>99239</v>
      </c>
      <c r="E296" s="33">
        <f>COUNTIFS('作业明细'!$B$8:$B$2197,A296)</f>
        <v>6</v>
      </c>
      <c r="F296" s="14">
        <f>AVERAGEIFS('作业明细'!$I$8:$I$2197,'作业明细'!$B$8:$B$2197,A296)</f>
        <v>3.06</v>
      </c>
      <c r="G296" s="14">
        <f>SUMIFS('作业明细'!$H$8:$H$2197,'作业明细'!$B$8:$B$2197,A296)</f>
        <v>87.34</v>
      </c>
      <c r="H296" s="20">
        <f>D296/G296</f>
        <v>1136.23769177925</v>
      </c>
    </row>
    <row r="297">
      <c r="A297" s="34" t="n">
        <v>45947</v>
      </c>
      <c r="B297" s="25">
        <f>SUMIFS('作业明细'!$G$8:$G$2197,'作业明细'!$B$8:$B$2197,A297,'作业明细'!$C$8:$C$2197,"进港")</f>
        <v>66489</v>
      </c>
      <c r="C297" s="25">
        <f>SUMIFS('作业明细'!$G$8:$G$2197,'作业明细'!$B$8:$B$2197,A297,'作业明细'!$C$8:$C$2197,"出港")</f>
        <v>17476</v>
      </c>
      <c r="D297" s="25">
        <f>SUM(B297:C297)</f>
        <v>83965</v>
      </c>
      <c r="E297" s="35">
        <f>COUNTIFS('作业明细'!$B$8:$B$2197,A297)</f>
        <v>6</v>
      </c>
      <c r="F297" s="16">
        <f>AVERAGEIFS('作业明细'!$I$8:$I$2197,'作业明细'!$B$8:$B$2197,A297)</f>
        <v>2.995</v>
      </c>
      <c r="G297" s="16">
        <f>SUMIFS('作业明细'!$H$8:$H$2197,'作业明细'!$B$8:$B$2197,A297)</f>
        <v>67.83</v>
      </c>
      <c r="H297" s="25">
        <f>D297/G297</f>
        <v>1237.87409700722</v>
      </c>
    </row>
    <row r="298">
      <c r="A298" s="32" t="n">
        <v>45948</v>
      </c>
      <c r="B298" s="20">
        <f>SUMIFS('作业明细'!$G$8:$G$2197,'作业明细'!$B$8:$B$2197,A298,'作业明细'!$C$8:$C$2197,"进港")</f>
        <v>78666</v>
      </c>
      <c r="C298" s="20">
        <f>SUMIFS('作业明细'!$G$8:$G$2197,'作业明细'!$B$8:$B$2197,A298,'作业明细'!$C$8:$C$2197,"出港")</f>
        <v>19066</v>
      </c>
      <c r="D298" s="20">
        <f>SUM(B298:C298)</f>
        <v>97732</v>
      </c>
      <c r="E298" s="33">
        <f>COUNTIFS('作业明细'!$B$8:$B$2197,A298)</f>
        <v>6</v>
      </c>
      <c r="F298" s="14">
        <f>AVERAGEIFS('作业明细'!$I$8:$I$2197,'作业明细'!$B$8:$B$2197,A298)</f>
        <v>3.54166666666667</v>
      </c>
      <c r="G298" s="14">
        <f>SUMIFS('作业明细'!$H$8:$H$2197,'作业明细'!$B$8:$B$2197,A298)</f>
        <v>86.23</v>
      </c>
      <c r="H298" s="20">
        <f>D298/G298</f>
        <v>1133.38745216282</v>
      </c>
    </row>
    <row r="299">
      <c r="A299" s="34" t="n">
        <v>45949</v>
      </c>
      <c r="B299" s="25">
        <f>SUMIFS('作业明细'!$G$8:$G$2197,'作业明细'!$B$8:$B$2197,A299,'作业明细'!$C$8:$C$2197,"进港")</f>
        <v>48673</v>
      </c>
      <c r="C299" s="25">
        <f>SUMIFS('作业明细'!$G$8:$G$2197,'作业明细'!$B$8:$B$2197,A299,'作业明细'!$C$8:$C$2197,"出港")</f>
        <v>28341</v>
      </c>
      <c r="D299" s="25">
        <f>SUM(B299:C299)</f>
        <v>77014</v>
      </c>
      <c r="E299" s="35">
        <f>COUNTIFS('作业明细'!$B$8:$B$2197,A299)</f>
        <v>6</v>
      </c>
      <c r="F299" s="16">
        <f>AVERAGEIFS('作业明细'!$I$8:$I$2197,'作业明细'!$B$8:$B$2197,A299)</f>
        <v>3.24833333333333</v>
      </c>
      <c r="G299" s="16">
        <f>SUMIFS('作业明细'!$H$8:$H$2197,'作业明细'!$B$8:$B$2197,A299)</f>
        <v>68.39</v>
      </c>
      <c r="H299" s="25">
        <f>D299/G299</f>
        <v>1126.10030706244</v>
      </c>
    </row>
    <row r="300">
      <c r="A300" s="32" t="n">
        <v>45950</v>
      </c>
      <c r="B300" s="20">
        <f>SUMIFS('作业明细'!$G$8:$G$2197,'作业明细'!$B$8:$B$2197,A300,'作业明细'!$C$8:$C$2197,"进港")</f>
        <v>56692</v>
      </c>
      <c r="C300" s="20">
        <f>SUMIFS('作业明细'!$G$8:$G$2197,'作业明细'!$B$8:$B$2197,A300,'作业明细'!$C$8:$C$2197,"出港")</f>
        <v>28065</v>
      </c>
      <c r="D300" s="20">
        <f>SUM(B300:C300)</f>
        <v>84757</v>
      </c>
      <c r="E300" s="33">
        <f>COUNTIFS('作业明细'!$B$8:$B$2197,A300)</f>
        <v>6</v>
      </c>
      <c r="F300" s="14">
        <f>AVERAGEIFS('作业明细'!$I$8:$I$2197,'作业明细'!$B$8:$B$2197,A300)</f>
        <v>3.05</v>
      </c>
      <c r="G300" s="14">
        <f>SUMIFS('作业明细'!$H$8:$H$2197,'作业明细'!$B$8:$B$2197,A300)</f>
        <v>63.01</v>
      </c>
      <c r="H300" s="20">
        <f>D300/G300</f>
        <v>1345.13569274718</v>
      </c>
    </row>
    <row r="301">
      <c r="A301" s="34" t="n">
        <v>45951</v>
      </c>
      <c r="B301" s="25">
        <f>SUMIFS('作业明细'!$G$8:$G$2197,'作业明细'!$B$8:$B$2197,A301,'作业明细'!$C$8:$C$2197,"进港")</f>
        <v>54517</v>
      </c>
      <c r="C301" s="25">
        <f>SUMIFS('作业明细'!$G$8:$G$2197,'作业明细'!$B$8:$B$2197,A301,'作业明细'!$C$8:$C$2197,"出港")</f>
        <v>21287</v>
      </c>
      <c r="D301" s="25">
        <f>SUM(B301:C301)</f>
        <v>75804</v>
      </c>
      <c r="E301" s="35">
        <f>COUNTIFS('作业明细'!$B$8:$B$2197,A301)</f>
        <v>6</v>
      </c>
      <c r="F301" s="16">
        <f>AVERAGEIFS('作业明细'!$I$8:$I$2197,'作业明细'!$B$8:$B$2197,A301)</f>
        <v>2.315</v>
      </c>
      <c r="G301" s="16">
        <f>SUMIFS('作业明细'!$H$8:$H$2197,'作业明细'!$B$8:$B$2197,A301)</f>
        <v>64.91</v>
      </c>
      <c r="H301" s="25">
        <f>D301/G301</f>
        <v>1167.83238329995</v>
      </c>
    </row>
    <row r="302">
      <c r="A302" s="32" t="n">
        <v>45952</v>
      </c>
      <c r="B302" s="20">
        <f>SUMIFS('作业明细'!$G$8:$G$2197,'作业明细'!$B$8:$B$2197,A302,'作业明细'!$C$8:$C$2197,"进港")</f>
        <v>36521</v>
      </c>
      <c r="C302" s="20">
        <f>SUMIFS('作业明细'!$G$8:$G$2197,'作业明细'!$B$8:$B$2197,A302,'作业明细'!$C$8:$C$2197,"出港")</f>
        <v>31726</v>
      </c>
      <c r="D302" s="20">
        <f>SUM(B302:C302)</f>
        <v>68247</v>
      </c>
      <c r="E302" s="33">
        <f>COUNTIFS('作业明细'!$B$8:$B$2197,A302)</f>
        <v>6</v>
      </c>
      <c r="F302" s="14">
        <f>AVERAGEIFS('作业明细'!$I$8:$I$2197,'作业明细'!$B$8:$B$2197,A302)</f>
        <v>3.12666666666667</v>
      </c>
      <c r="G302" s="14">
        <f>SUMIFS('作业明细'!$H$8:$H$2197,'作业明细'!$B$8:$B$2197,A302)</f>
        <v>62.95</v>
      </c>
      <c r="H302" s="20">
        <f>D302/G302</f>
        <v>1084.1461477363</v>
      </c>
    </row>
    <row r="303">
      <c r="A303" s="34" t="n">
        <v>45953</v>
      </c>
      <c r="B303" s="25">
        <f>SUMIFS('作业明细'!$G$8:$G$2197,'作业明细'!$B$8:$B$2197,A303,'作业明细'!$C$8:$C$2197,"进港")</f>
        <v>38604</v>
      </c>
      <c r="C303" s="25">
        <f>SUMIFS('作业明细'!$G$8:$G$2197,'作业明细'!$B$8:$B$2197,A303,'作业明细'!$C$8:$C$2197,"出港")</f>
        <v>12446</v>
      </c>
      <c r="D303" s="25">
        <f>SUM(B303:C303)</f>
        <v>51050</v>
      </c>
      <c r="E303" s="35">
        <f>COUNTIFS('作业明细'!$B$8:$B$2197,A303)</f>
        <v>6</v>
      </c>
      <c r="F303" s="16">
        <f>AVERAGEIFS('作业明细'!$I$8:$I$2197,'作业明细'!$B$8:$B$2197,A303)</f>
        <v>2.62833333333333</v>
      </c>
      <c r="G303" s="16">
        <f>SUMIFS('作业明细'!$H$8:$H$2197,'作业明细'!$B$8:$B$2197,A303)</f>
        <v>45.21</v>
      </c>
      <c r="H303" s="25">
        <f>D303/G303</f>
        <v>1129.17496129175</v>
      </c>
    </row>
    <row r="304">
      <c r="A304" s="32" t="n">
        <v>45954</v>
      </c>
      <c r="B304" s="20">
        <f>SUMIFS('作业明细'!$G$8:$G$2197,'作业明细'!$B$8:$B$2197,A304,'作业明细'!$C$8:$C$2197,"进港")</f>
        <v>39011</v>
      </c>
      <c r="C304" s="20">
        <f>SUMIFS('作业明细'!$G$8:$G$2197,'作业明细'!$B$8:$B$2197,A304,'作业明细'!$C$8:$C$2197,"出港")</f>
        <v>34483</v>
      </c>
      <c r="D304" s="20">
        <f>SUM(B304:C304)</f>
        <v>73494</v>
      </c>
      <c r="E304" s="33">
        <f>COUNTIFS('作业明细'!$B$8:$B$2197,A304)</f>
        <v>6</v>
      </c>
      <c r="F304" s="14">
        <f>AVERAGEIFS('作业明细'!$I$8:$I$2197,'作业明细'!$B$8:$B$2197,A304)</f>
        <v>2.08666666666667</v>
      </c>
      <c r="G304" s="14">
        <f>SUMIFS('作业明细'!$H$8:$H$2197,'作业明细'!$B$8:$B$2197,A304)</f>
        <v>63.05</v>
      </c>
      <c r="H304" s="20">
        <f>D304/G304</f>
        <v>1165.64631245044</v>
      </c>
    </row>
    <row r="305">
      <c r="A305" s="34" t="n">
        <v>45955</v>
      </c>
      <c r="B305" s="25">
        <f>SUMIFS('作业明细'!$G$8:$G$2197,'作业明细'!$B$8:$B$2197,A305,'作业明细'!$C$8:$C$2197,"进港")</f>
        <v>41590</v>
      </c>
      <c r="C305" s="25">
        <f>SUMIFS('作业明细'!$G$8:$G$2197,'作业明细'!$B$8:$B$2197,A305,'作业明细'!$C$8:$C$2197,"出港")</f>
        <v>28398</v>
      </c>
      <c r="D305" s="25">
        <f>SUM(B305:C305)</f>
        <v>69988</v>
      </c>
      <c r="E305" s="35">
        <f>COUNTIFS('作业明细'!$B$8:$B$2197,A305)</f>
        <v>6</v>
      </c>
      <c r="F305" s="16">
        <f>AVERAGEIFS('作业明细'!$I$8:$I$2197,'作业明细'!$B$8:$B$2197,A305)</f>
        <v>2.11</v>
      </c>
      <c r="G305" s="16">
        <f>SUMIFS('作业明细'!$H$8:$H$2197,'作业明细'!$B$8:$B$2197,A305)</f>
        <v>61.76</v>
      </c>
      <c r="H305" s="25">
        <f>D305/G305</f>
        <v>1133.22538860104</v>
      </c>
    </row>
    <row r="306">
      <c r="A306" s="32" t="n">
        <v>45956</v>
      </c>
      <c r="B306" s="20">
        <f>SUMIFS('作业明细'!$G$8:$G$2197,'作业明细'!$B$8:$B$2197,A306,'作业明细'!$C$8:$C$2197,"进港")</f>
        <v>46532</v>
      </c>
      <c r="C306" s="20">
        <f>SUMIFS('作业明细'!$G$8:$G$2197,'作业明细'!$B$8:$B$2197,A306,'作业明细'!$C$8:$C$2197,"出港")</f>
        <v>26638</v>
      </c>
      <c r="D306" s="20">
        <f>SUM(B306:C306)</f>
        <v>73170</v>
      </c>
      <c r="E306" s="33">
        <f>COUNTIFS('作业明细'!$B$8:$B$2197,A306)</f>
        <v>6</v>
      </c>
      <c r="F306" s="14">
        <f>AVERAGEIFS('作业明细'!$I$8:$I$2197,'作业明细'!$B$8:$B$2197,A306)</f>
        <v>2.18333333333333</v>
      </c>
      <c r="G306" s="14">
        <f>SUMIFS('作业明细'!$H$8:$H$2197,'作业明细'!$B$8:$B$2197,A306)</f>
        <v>62.07</v>
      </c>
      <c r="H306" s="20">
        <f>D306/G306</f>
        <v>1178.83035282745</v>
      </c>
    </row>
    <row r="307">
      <c r="A307" s="34" t="n">
        <v>45957</v>
      </c>
      <c r="B307" s="25">
        <f>SUMIFS('作业明细'!$G$8:$G$2197,'作业明细'!$B$8:$B$2197,A307,'作业明细'!$C$8:$C$2197,"进港")</f>
        <v>38182</v>
      </c>
      <c r="C307" s="25">
        <f>SUMIFS('作业明细'!$G$8:$G$2197,'作业明细'!$B$8:$B$2197,A307,'作业明细'!$C$8:$C$2197,"出港")</f>
        <v>33746</v>
      </c>
      <c r="D307" s="25">
        <f>SUM(B307:C307)</f>
        <v>71928</v>
      </c>
      <c r="E307" s="35">
        <f>COUNTIFS('作业明细'!$B$8:$B$2197,A307)</f>
        <v>6</v>
      </c>
      <c r="F307" s="16">
        <f>AVERAGEIFS('作业明细'!$I$8:$I$2197,'作业明细'!$B$8:$B$2197,A307)</f>
        <v>3.64</v>
      </c>
      <c r="G307" s="16">
        <f>SUMIFS('作业明细'!$H$8:$H$2197,'作业明细'!$B$8:$B$2197,A307)</f>
        <v>65.05</v>
      </c>
      <c r="H307" s="25">
        <f>D307/G307</f>
        <v>1105.73405073021</v>
      </c>
    </row>
    <row r="308">
      <c r="A308" s="32" t="n">
        <v>45958</v>
      </c>
      <c r="B308" s="20">
        <f>SUMIFS('作业明细'!$G$8:$G$2197,'作业明细'!$B$8:$B$2197,A308,'作业明细'!$C$8:$C$2197,"进港")</f>
        <v>47877</v>
      </c>
      <c r="C308" s="20">
        <f>SUMIFS('作业明细'!$G$8:$G$2197,'作业明细'!$B$8:$B$2197,A308,'作业明细'!$C$8:$C$2197,"出港")</f>
        <v>27243</v>
      </c>
      <c r="D308" s="20">
        <f>SUM(B308:C308)</f>
        <v>75120</v>
      </c>
      <c r="E308" s="33">
        <f>COUNTIFS('作业明细'!$B$8:$B$2197,A308)</f>
        <v>6</v>
      </c>
      <c r="F308" s="14">
        <f>AVERAGEIFS('作业明细'!$I$8:$I$2197,'作业明细'!$B$8:$B$2197,A308)</f>
        <v>2.85666666666667</v>
      </c>
      <c r="G308" s="14">
        <f>SUMIFS('作业明细'!$H$8:$H$2197,'作业明细'!$B$8:$B$2197,A308)</f>
        <v>62.86</v>
      </c>
      <c r="H308" s="20">
        <f>D308/G308</f>
        <v>1195.03658924594</v>
      </c>
    </row>
    <row r="309">
      <c r="A309" s="34" t="n">
        <v>45959</v>
      </c>
      <c r="B309" s="25">
        <f>SUMIFS('作业明细'!$G$8:$G$2197,'作业明细'!$B$8:$B$2197,A309,'作业明细'!$C$8:$C$2197,"进港")</f>
        <v>38052</v>
      </c>
      <c r="C309" s="25">
        <f>SUMIFS('作业明细'!$G$8:$G$2197,'作业明细'!$B$8:$B$2197,A309,'作业明细'!$C$8:$C$2197,"出港")</f>
        <v>39800</v>
      </c>
      <c r="D309" s="25">
        <f>SUM(B309:C309)</f>
        <v>77852</v>
      </c>
      <c r="E309" s="35">
        <f>COUNTIFS('作业明细'!$B$8:$B$2197,A309)</f>
        <v>6</v>
      </c>
      <c r="F309" s="16">
        <f>AVERAGEIFS('作业明细'!$I$8:$I$2197,'作业明细'!$B$8:$B$2197,A309)</f>
        <v>3.015</v>
      </c>
      <c r="G309" s="16">
        <f>SUMIFS('作业明细'!$H$8:$H$2197,'作业明细'!$B$8:$B$2197,A309)</f>
        <v>71.51</v>
      </c>
      <c r="H309" s="25">
        <f>D309/G309</f>
        <v>1088.68689693749</v>
      </c>
    </row>
    <row r="310">
      <c r="A310" s="32" t="n">
        <v>45960</v>
      </c>
      <c r="B310" s="20">
        <f>SUMIFS('作业明细'!$G$8:$G$2197,'作业明细'!$B$8:$B$2197,A310,'作业明细'!$C$8:$C$2197,"进港")</f>
        <v>70018</v>
      </c>
      <c r="C310" s="20">
        <f>SUMIFS('作业明细'!$G$8:$G$2197,'作业明细'!$B$8:$B$2197,A310,'作业明细'!$C$8:$C$2197,"出港")</f>
        <v>6495</v>
      </c>
      <c r="D310" s="20">
        <f>SUM(B310:C310)</f>
        <v>76513</v>
      </c>
      <c r="E310" s="33">
        <f>COUNTIFS('作业明细'!$B$8:$B$2197,A310)</f>
        <v>6</v>
      </c>
      <c r="F310" s="14">
        <f>AVERAGEIFS('作业明细'!$I$8:$I$2197,'作业明细'!$B$8:$B$2197,A310)</f>
        <v>1.25833333333333</v>
      </c>
      <c r="G310" s="14">
        <f>SUMIFS('作业明细'!$H$8:$H$2197,'作业明细'!$B$8:$B$2197,A310)</f>
        <v>64.73</v>
      </c>
      <c r="H310" s="20">
        <f>D310/G310</f>
        <v>1182.03306040476</v>
      </c>
    </row>
    <row r="311">
      <c r="A311" s="34" t="n">
        <v>45961</v>
      </c>
      <c r="B311" s="25">
        <f>SUMIFS('作业明细'!$G$8:$G$2197,'作业明细'!$B$8:$B$2197,A311,'作业明细'!$C$8:$C$2197,"进港")</f>
        <v>55281</v>
      </c>
      <c r="C311" s="25">
        <f>SUMIFS('作业明细'!$G$8:$G$2197,'作业明细'!$B$8:$B$2197,A311,'作业明细'!$C$8:$C$2197,"出港")</f>
        <v>31027</v>
      </c>
      <c r="D311" s="25">
        <f>SUM(B311:C311)</f>
        <v>86308</v>
      </c>
      <c r="E311" s="35">
        <f>COUNTIFS('作业明细'!$B$8:$B$2197,A311)</f>
        <v>6</v>
      </c>
      <c r="F311" s="16">
        <f>AVERAGEIFS('作业明细'!$I$8:$I$2197,'作业明细'!$B$8:$B$2197,A311)</f>
        <v>1.205</v>
      </c>
      <c r="G311" s="16">
        <f>SUMIFS('作业明细'!$H$8:$H$2197,'作业明细'!$B$8:$B$2197,A311)</f>
        <v>76.49</v>
      </c>
      <c r="H311" s="25">
        <f>D311/G311</f>
        <v>1128.35664792783</v>
      </c>
    </row>
    <row r="312">
      <c r="A312" s="32" t="n">
        <v>45962</v>
      </c>
      <c r="B312" s="20">
        <f>SUMIFS('作业明细'!$G$8:$G$2197,'作业明细'!$B$8:$B$2197,A312,'作业明细'!$C$8:$C$2197,"进港")</f>
        <v>65886</v>
      </c>
      <c r="C312" s="20">
        <f>SUMIFS('作业明细'!$G$8:$G$2197,'作业明细'!$B$8:$B$2197,A312,'作业明细'!$C$8:$C$2197,"出港")</f>
        <v>4554</v>
      </c>
      <c r="D312" s="20">
        <f>SUM(B312:C312)</f>
        <v>70440</v>
      </c>
      <c r="E312" s="33">
        <f>COUNTIFS('作业明细'!$B$8:$B$2197,A312)</f>
        <v>6</v>
      </c>
      <c r="F312" s="14">
        <f>AVERAGEIFS('作业明细'!$I$8:$I$2197,'作业明细'!$B$8:$B$2197,A312)</f>
        <v>2.66166666666667</v>
      </c>
      <c r="G312" s="14">
        <f>SUMIFS('作业明细'!$H$8:$H$2197,'作业明细'!$B$8:$B$2197,A312)</f>
        <v>56.63</v>
      </c>
      <c r="H312" s="20">
        <f>D312/G312</f>
        <v>1243.86367649656</v>
      </c>
    </row>
    <row r="313">
      <c r="A313" s="34" t="n">
        <v>45963</v>
      </c>
      <c r="B313" s="25">
        <f>SUMIFS('作业明细'!$G$8:$G$2197,'作业明细'!$B$8:$B$2197,A313,'作业明细'!$C$8:$C$2197,"进港")</f>
        <v>27561</v>
      </c>
      <c r="C313" s="25">
        <f>SUMIFS('作业明细'!$G$8:$G$2197,'作业明细'!$B$8:$B$2197,A313,'作业明细'!$C$8:$C$2197,"出港")</f>
        <v>33354</v>
      </c>
      <c r="D313" s="25">
        <f>SUM(B313:C313)</f>
        <v>60915</v>
      </c>
      <c r="E313" s="35">
        <f>COUNTIFS('作业明细'!$B$8:$B$2197,A313)</f>
        <v>6</v>
      </c>
      <c r="F313" s="16">
        <f>AVERAGEIFS('作业明细'!$I$8:$I$2197,'作业明细'!$B$8:$B$2197,A313)</f>
        <v>2.68</v>
      </c>
      <c r="G313" s="16">
        <f>SUMIFS('作业明细'!$H$8:$H$2197,'作业明细'!$B$8:$B$2197,A313)</f>
        <v>50.2</v>
      </c>
      <c r="H313" s="25">
        <f>D313/G313</f>
        <v>1213.44621513944</v>
      </c>
    </row>
    <row r="314">
      <c r="A314" s="32" t="n">
        <v>45964</v>
      </c>
      <c r="B314" s="20">
        <f>SUMIFS('作业明细'!$G$8:$G$2197,'作业明细'!$B$8:$B$2197,A314,'作业明细'!$C$8:$C$2197,"进港")</f>
        <v>53906</v>
      </c>
      <c r="C314" s="20">
        <f>SUMIFS('作业明细'!$G$8:$G$2197,'作业明细'!$B$8:$B$2197,A314,'作业明细'!$C$8:$C$2197,"出港")</f>
        <v>8788</v>
      </c>
      <c r="D314" s="20">
        <f>SUM(B314:C314)</f>
        <v>62694</v>
      </c>
      <c r="E314" s="33">
        <f>COUNTIFS('作业明细'!$B$8:$B$2197,A314)</f>
        <v>6</v>
      </c>
      <c r="F314" s="14">
        <f>AVERAGEIFS('作业明细'!$I$8:$I$2197,'作业明细'!$B$8:$B$2197,A314)</f>
        <v>1.14333333333333</v>
      </c>
      <c r="G314" s="14">
        <f>SUMIFS('作业明细'!$H$8:$H$2197,'作业明细'!$B$8:$B$2197,A314)</f>
        <v>51.42</v>
      </c>
      <c r="H314" s="20">
        <f>D314/G314</f>
        <v>1219.25320886814</v>
      </c>
    </row>
    <row r="315">
      <c r="A315" s="34" t="n">
        <v>45965</v>
      </c>
      <c r="B315" s="25">
        <f>SUMIFS('作业明细'!$G$8:$G$2197,'作业明细'!$B$8:$B$2197,A315,'作业明细'!$C$8:$C$2197,"进港")</f>
        <v>39714</v>
      </c>
      <c r="C315" s="25">
        <f>SUMIFS('作业明细'!$G$8:$G$2197,'作业明细'!$B$8:$B$2197,A315,'作业明细'!$C$8:$C$2197,"出港")</f>
        <v>19807</v>
      </c>
      <c r="D315" s="25">
        <f>SUM(B315:C315)</f>
        <v>59521</v>
      </c>
      <c r="E315" s="35">
        <f>COUNTIFS('作业明细'!$B$8:$B$2197,A315)</f>
        <v>6</v>
      </c>
      <c r="F315" s="16">
        <f>AVERAGEIFS('作业明细'!$I$8:$I$2197,'作业明细'!$B$8:$B$2197,A315)</f>
        <v>2.24833333333333</v>
      </c>
      <c r="G315" s="16">
        <f>SUMIFS('作业明细'!$H$8:$H$2197,'作业明细'!$B$8:$B$2197,A315)</f>
        <v>47.67</v>
      </c>
      <c r="H315" s="25">
        <f>D315/G315</f>
        <v>1248.60499265786</v>
      </c>
    </row>
    <row r="316">
      <c r="A316" s="32" t="n">
        <v>45966</v>
      </c>
      <c r="B316" s="20">
        <f>SUMIFS('作业明细'!$G$8:$G$2197,'作业明细'!$B$8:$B$2197,A316,'作业明细'!$C$8:$C$2197,"进港")</f>
        <v>50723</v>
      </c>
      <c r="C316" s="20">
        <f>SUMIFS('作业明细'!$G$8:$G$2197,'作业明细'!$B$8:$B$2197,A316,'作业明细'!$C$8:$C$2197,"出港")</f>
        <v>28320</v>
      </c>
      <c r="D316" s="20">
        <f>SUM(B316:C316)</f>
        <v>79043</v>
      </c>
      <c r="E316" s="33">
        <f>COUNTIFS('作业明细'!$B$8:$B$2197,A316)</f>
        <v>6</v>
      </c>
      <c r="F316" s="14">
        <f>AVERAGEIFS('作业明细'!$I$8:$I$2197,'作业明细'!$B$8:$B$2197,A316)</f>
        <v>2.65</v>
      </c>
      <c r="G316" s="14">
        <f>SUMIFS('作业明细'!$H$8:$H$2197,'作业明细'!$B$8:$B$2197,A316)</f>
        <v>66.63</v>
      </c>
      <c r="H316" s="20">
        <f>D316/G316</f>
        <v>1186.29746360498</v>
      </c>
    </row>
    <row r="317">
      <c r="A317" s="34" t="n">
        <v>45967</v>
      </c>
      <c r="B317" s="25">
        <f>SUMIFS('作业明细'!$G$8:$G$2197,'作业明细'!$B$8:$B$2197,A317,'作业明细'!$C$8:$C$2197,"进港")</f>
        <v>52796</v>
      </c>
      <c r="C317" s="25">
        <f>SUMIFS('作业明细'!$G$8:$G$2197,'作业明细'!$B$8:$B$2197,A317,'作业明细'!$C$8:$C$2197,"出港")</f>
        <v>21026</v>
      </c>
      <c r="D317" s="25">
        <f>SUM(B317:C317)</f>
        <v>73822</v>
      </c>
      <c r="E317" s="35">
        <f>COUNTIFS('作业明细'!$B$8:$B$2197,A317)</f>
        <v>6</v>
      </c>
      <c r="F317" s="16">
        <f>AVERAGEIFS('作业明细'!$I$8:$I$2197,'作业明细'!$B$8:$B$2197,A317)</f>
        <v>1.985</v>
      </c>
      <c r="G317" s="16">
        <f>SUMIFS('作业明细'!$H$8:$H$2197,'作业明细'!$B$8:$B$2197,A317)</f>
        <v>64.8</v>
      </c>
      <c r="H317" s="25">
        <f>D317/G317</f>
        <v>1139.22839506173</v>
      </c>
    </row>
    <row r="318">
      <c r="A318" s="32" t="n">
        <v>45968</v>
      </c>
      <c r="B318" s="20">
        <f>SUMIFS('作业明细'!$G$8:$G$2197,'作业明细'!$B$8:$B$2197,A318,'作业明细'!$C$8:$C$2197,"进港")</f>
        <v>55849</v>
      </c>
      <c r="C318" s="20">
        <f>SUMIFS('作业明细'!$G$8:$G$2197,'作业明细'!$B$8:$B$2197,A318,'作业明细'!$C$8:$C$2197,"出港")</f>
        <v>17413</v>
      </c>
      <c r="D318" s="20">
        <f>SUM(B318:C318)</f>
        <v>73262</v>
      </c>
      <c r="E318" s="33">
        <f>COUNTIFS('作业明细'!$B$8:$B$2197,A318)</f>
        <v>6</v>
      </c>
      <c r="F318" s="14">
        <f>AVERAGEIFS('作业明细'!$I$8:$I$2197,'作业明细'!$B$8:$B$2197,A318)</f>
        <v>2.26333333333333</v>
      </c>
      <c r="G318" s="14">
        <f>SUMIFS('作业明细'!$H$8:$H$2197,'作业明细'!$B$8:$B$2197,A318)</f>
        <v>69.51</v>
      </c>
      <c r="H318" s="20">
        <f>D318/G318</f>
        <v>1053.9778449144</v>
      </c>
    </row>
    <row r="319">
      <c r="A319" s="34" t="n">
        <v>45969</v>
      </c>
      <c r="B319" s="25">
        <f>SUMIFS('作业明细'!$G$8:$G$2197,'作业明细'!$B$8:$B$2197,A319,'作业明细'!$C$8:$C$2197,"进港")</f>
        <v>43997</v>
      </c>
      <c r="C319" s="25">
        <f>SUMIFS('作业明细'!$G$8:$G$2197,'作业明细'!$B$8:$B$2197,A319,'作业明细'!$C$8:$C$2197,"出港")</f>
        <v>29365</v>
      </c>
      <c r="D319" s="25">
        <f>SUM(B319:C319)</f>
        <v>73362</v>
      </c>
      <c r="E319" s="35">
        <f>COUNTIFS('作业明细'!$B$8:$B$2197,A319)</f>
        <v>6</v>
      </c>
      <c r="F319" s="16">
        <f>AVERAGEIFS('作业明细'!$I$8:$I$2197,'作业明细'!$B$8:$B$2197,A319)</f>
        <v>3.195</v>
      </c>
      <c r="G319" s="16">
        <f>SUMIFS('作业明细'!$H$8:$H$2197,'作业明细'!$B$8:$B$2197,A319)</f>
        <v>66.04</v>
      </c>
      <c r="H319" s="25">
        <f>D319/G319</f>
        <v>1110.87219866747</v>
      </c>
    </row>
    <row r="320">
      <c r="A320" s="32" t="n">
        <v>45970</v>
      </c>
      <c r="B320" s="20">
        <f>SUMIFS('作业明细'!$G$8:$G$2197,'作业明细'!$B$8:$B$2197,A320,'作业明细'!$C$8:$C$2197,"进港")</f>
        <v>47374</v>
      </c>
      <c r="C320" s="20">
        <f>SUMIFS('作业明细'!$G$8:$G$2197,'作业明细'!$B$8:$B$2197,A320,'作业明细'!$C$8:$C$2197,"出港")</f>
        <v>29692</v>
      </c>
      <c r="D320" s="20">
        <f>SUM(B320:C320)</f>
        <v>77066</v>
      </c>
      <c r="E320" s="33">
        <f>COUNTIFS('作业明细'!$B$8:$B$2197,A320)</f>
        <v>6</v>
      </c>
      <c r="F320" s="14">
        <f>AVERAGEIFS('作业明细'!$I$8:$I$2197,'作业明细'!$B$8:$B$2197,A320)</f>
        <v>2.81</v>
      </c>
      <c r="G320" s="14">
        <f>SUMIFS('作业明细'!$H$8:$H$2197,'作业明细'!$B$8:$B$2197,A320)</f>
        <v>62.58</v>
      </c>
      <c r="H320" s="20">
        <f>D320/G320</f>
        <v>1231.47970597635</v>
      </c>
    </row>
    <row r="321">
      <c r="A321" s="34" t="n">
        <v>45971</v>
      </c>
      <c r="B321" s="25">
        <f>SUMIFS('作业明细'!$G$8:$G$2197,'作业明细'!$B$8:$B$2197,A321,'作业明细'!$C$8:$C$2197,"进港")</f>
        <v>65412</v>
      </c>
      <c r="C321" s="25">
        <f>SUMIFS('作业明细'!$G$8:$G$2197,'作业明细'!$B$8:$B$2197,A321,'作业明细'!$C$8:$C$2197,"出港")</f>
        <v>15317</v>
      </c>
      <c r="D321" s="25">
        <f>SUM(B321:C321)</f>
        <v>80729</v>
      </c>
      <c r="E321" s="35">
        <f>COUNTIFS('作业明细'!$B$8:$B$2197,A321)</f>
        <v>6</v>
      </c>
      <c r="F321" s="16">
        <f>AVERAGEIFS('作业明细'!$I$8:$I$2197,'作业明细'!$B$8:$B$2197,A321)</f>
        <v>2.925</v>
      </c>
      <c r="G321" s="16">
        <f>SUMIFS('作业明细'!$H$8:$H$2197,'作业明细'!$B$8:$B$2197,A321)</f>
        <v>69.74</v>
      </c>
      <c r="H321" s="25">
        <f>D321/G321</f>
        <v>1157.57097791798</v>
      </c>
    </row>
    <row r="322">
      <c r="A322" s="32" t="n">
        <v>45972</v>
      </c>
      <c r="B322" s="20">
        <f>SUMIFS('作业明细'!$G$8:$G$2197,'作业明细'!$B$8:$B$2197,A322,'作业明细'!$C$8:$C$2197,"进港")</f>
        <v>85803</v>
      </c>
      <c r="C322" s="20">
        <f>SUMIFS('作业明细'!$G$8:$G$2197,'作业明细'!$B$8:$B$2197,A322,'作业明细'!$C$8:$C$2197,"出港")</f>
        <v>4614</v>
      </c>
      <c r="D322" s="20">
        <f>SUM(B322:C322)</f>
        <v>90417</v>
      </c>
      <c r="E322" s="33">
        <f>COUNTIFS('作业明细'!$B$8:$B$2197,A322)</f>
        <v>6</v>
      </c>
      <c r="F322" s="14">
        <f>AVERAGEIFS('作业明细'!$I$8:$I$2197,'作业明细'!$B$8:$B$2197,A322)</f>
        <v>2.13166666666667</v>
      </c>
      <c r="G322" s="14">
        <f>SUMIFS('作业明细'!$H$8:$H$2197,'作业明细'!$B$8:$B$2197,A322)</f>
        <v>74.69</v>
      </c>
      <c r="H322" s="20">
        <f>D322/G322</f>
        <v>1210.56366314098</v>
      </c>
    </row>
    <row r="323">
      <c r="A323" s="34" t="n">
        <v>45973</v>
      </c>
      <c r="B323" s="25">
        <f>SUMIFS('作业明细'!$G$8:$G$2197,'作业明细'!$B$8:$B$2197,A323,'作业明细'!$C$8:$C$2197,"进港")</f>
        <v>39268</v>
      </c>
      <c r="C323" s="25">
        <f>SUMIFS('作业明细'!$G$8:$G$2197,'作业明细'!$B$8:$B$2197,A323,'作业明细'!$C$8:$C$2197,"出港")</f>
        <v>49703</v>
      </c>
      <c r="D323" s="25">
        <f>SUM(B323:C323)</f>
        <v>88971</v>
      </c>
      <c r="E323" s="35">
        <f>COUNTIFS('作业明细'!$B$8:$B$2197,A323)</f>
        <v>6</v>
      </c>
      <c r="F323" s="16">
        <f>AVERAGEIFS('作业明细'!$I$8:$I$2197,'作业明细'!$B$8:$B$2197,A323)</f>
        <v>1.94833333333333</v>
      </c>
      <c r="G323" s="16">
        <f>SUMIFS('作业明细'!$H$8:$H$2197,'作业明细'!$B$8:$B$2197,A323)</f>
        <v>75.76</v>
      </c>
      <c r="H323" s="25">
        <f>D323/G323</f>
        <v>1174.37961985216</v>
      </c>
    </row>
    <row r="324">
      <c r="A324" s="32" t="n">
        <v>45974</v>
      </c>
      <c r="B324" s="20">
        <f>SUMIFS('作业明细'!$G$8:$G$2197,'作业明细'!$B$8:$B$2197,A324,'作业明细'!$C$8:$C$2197,"进港")</f>
        <v>26416</v>
      </c>
      <c r="C324" s="20">
        <f>SUMIFS('作业明细'!$G$8:$G$2197,'作业明细'!$B$8:$B$2197,A324,'作业明细'!$C$8:$C$2197,"出港")</f>
        <v>54808</v>
      </c>
      <c r="D324" s="20">
        <f>SUM(B324:C324)</f>
        <v>81224</v>
      </c>
      <c r="E324" s="33">
        <f>COUNTIFS('作业明细'!$B$8:$B$2197,A324)</f>
        <v>6</v>
      </c>
      <c r="F324" s="14">
        <f>AVERAGEIFS('作业明细'!$I$8:$I$2197,'作业明细'!$B$8:$B$2197,A324)</f>
        <v>2.86833333333333</v>
      </c>
      <c r="G324" s="14">
        <f>SUMIFS('作业明细'!$H$8:$H$2197,'作业明细'!$B$8:$B$2197,A324)</f>
        <v>72.19</v>
      </c>
      <c r="H324" s="20">
        <f>D324/G324</f>
        <v>1125.14198642471</v>
      </c>
    </row>
    <row r="325">
      <c r="A325" s="34" t="n">
        <v>45975</v>
      </c>
      <c r="B325" s="25">
        <f>SUMIFS('作业明细'!$G$8:$G$2197,'作业明细'!$B$8:$B$2197,A325,'作业明细'!$C$8:$C$2197,"进港")</f>
        <v>42699</v>
      </c>
      <c r="C325" s="25">
        <f>SUMIFS('作业明细'!$G$8:$G$2197,'作业明细'!$B$8:$B$2197,A325,'作业明细'!$C$8:$C$2197,"出港")</f>
        <v>25507</v>
      </c>
      <c r="D325" s="25">
        <f>SUM(B325:C325)</f>
        <v>68206</v>
      </c>
      <c r="E325" s="35">
        <f>COUNTIFS('作业明细'!$B$8:$B$2197,A325)</f>
        <v>6</v>
      </c>
      <c r="F325" s="16">
        <f>AVERAGEIFS('作业明细'!$I$8:$I$2197,'作业明细'!$B$8:$B$2197,A325)</f>
        <v>1.58833333333333</v>
      </c>
      <c r="G325" s="16">
        <f>SUMIFS('作业明细'!$H$8:$H$2197,'作业明细'!$B$8:$B$2197,A325)</f>
        <v>59.15</v>
      </c>
      <c r="H325" s="25">
        <f>D325/G325</f>
        <v>1153.10228233305</v>
      </c>
    </row>
    <row r="326">
      <c r="A326" s="32" t="n">
        <v>45976</v>
      </c>
      <c r="B326" s="20">
        <f>SUMIFS('作业明细'!$G$8:$G$2197,'作业明细'!$B$8:$B$2197,A326,'作业明细'!$C$8:$C$2197,"进港")</f>
        <v>55403</v>
      </c>
      <c r="C326" s="20">
        <f>SUMIFS('作业明细'!$G$8:$G$2197,'作业明细'!$B$8:$B$2197,A326,'作业明细'!$C$8:$C$2197,"出港")</f>
        <v>10682</v>
      </c>
      <c r="D326" s="20">
        <f>SUM(B326:C326)</f>
        <v>66085</v>
      </c>
      <c r="E326" s="33">
        <f>COUNTIFS('作业明细'!$B$8:$B$2197,A326)</f>
        <v>6</v>
      </c>
      <c r="F326" s="14">
        <f>AVERAGEIFS('作业明细'!$I$8:$I$2197,'作业明细'!$B$8:$B$2197,A326)</f>
        <v>1.295</v>
      </c>
      <c r="G326" s="14">
        <f>SUMIFS('作业明细'!$H$8:$H$2197,'作业明细'!$B$8:$B$2197,A326)</f>
        <v>56.52</v>
      </c>
      <c r="H326" s="20">
        <f>D326/G326</f>
        <v>1169.23213021939</v>
      </c>
    </row>
    <row r="327">
      <c r="A327" s="34" t="n">
        <v>45977</v>
      </c>
      <c r="B327" s="25">
        <f>SUMIFS('作业明细'!$G$8:$G$2197,'作业明细'!$B$8:$B$2197,A327,'作业明细'!$C$8:$C$2197,"进港")</f>
        <v>47380</v>
      </c>
      <c r="C327" s="25">
        <f>SUMIFS('作业明细'!$G$8:$G$2197,'作业明细'!$B$8:$B$2197,A327,'作业明细'!$C$8:$C$2197,"出港")</f>
        <v>30251</v>
      </c>
      <c r="D327" s="25">
        <f>SUM(B327:C327)</f>
        <v>77631</v>
      </c>
      <c r="E327" s="35">
        <f>COUNTIFS('作业明细'!$B$8:$B$2197,A327)</f>
        <v>6</v>
      </c>
      <c r="F327" s="16">
        <f>AVERAGEIFS('作业明细'!$I$8:$I$2197,'作业明细'!$B$8:$B$2197,A327)</f>
        <v>1.45833333333333</v>
      </c>
      <c r="G327" s="16">
        <f>SUMIFS('作业明细'!$H$8:$H$2197,'作业明细'!$B$8:$B$2197,A327)</f>
        <v>60.58</v>
      </c>
      <c r="H327" s="25">
        <f>D327/G327</f>
        <v>1281.46252888742</v>
      </c>
    </row>
    <row r="328">
      <c r="A328" s="32" t="n">
        <v>45978</v>
      </c>
      <c r="B328" s="20">
        <f>SUMIFS('作业明细'!$G$8:$G$2197,'作业明细'!$B$8:$B$2197,A328,'作业明细'!$C$8:$C$2197,"进港")</f>
        <v>40592</v>
      </c>
      <c r="C328" s="20">
        <f>SUMIFS('作业明细'!$G$8:$G$2197,'作业明细'!$B$8:$B$2197,A328,'作业明细'!$C$8:$C$2197,"出港")</f>
        <v>13178</v>
      </c>
      <c r="D328" s="20">
        <f>SUM(B328:C328)</f>
        <v>53770</v>
      </c>
      <c r="E328" s="33">
        <f>COUNTIFS('作业明细'!$B$8:$B$2197,A328)</f>
        <v>6</v>
      </c>
      <c r="F328" s="14">
        <f>AVERAGEIFS('作业明细'!$I$8:$I$2197,'作业明细'!$B$8:$B$2197,A328)</f>
        <v>1.38833333333333</v>
      </c>
      <c r="G328" s="14">
        <f>SUMIFS('作业明细'!$H$8:$H$2197,'作业明细'!$B$8:$B$2197,A328)</f>
        <v>49.58</v>
      </c>
      <c r="H328" s="20">
        <f>D328/G328</f>
        <v>1084.50988301735</v>
      </c>
    </row>
    <row r="329">
      <c r="A329" s="34" t="n">
        <v>45979</v>
      </c>
      <c r="B329" s="25">
        <f>SUMIFS('作业明细'!$G$8:$G$2197,'作业明细'!$B$8:$B$2197,A329,'作业明细'!$C$8:$C$2197,"进港")</f>
        <v>42648</v>
      </c>
      <c r="C329" s="25">
        <f>SUMIFS('作业明细'!$G$8:$G$2197,'作业明细'!$B$8:$B$2197,A329,'作业明细'!$C$8:$C$2197,"出港")</f>
        <v>13723</v>
      </c>
      <c r="D329" s="25">
        <f>SUM(B329:C329)</f>
        <v>56371</v>
      </c>
      <c r="E329" s="35">
        <f>COUNTIFS('作业明细'!$B$8:$B$2197,A329)</f>
        <v>6</v>
      </c>
      <c r="F329" s="16">
        <f>AVERAGEIFS('作业明细'!$I$8:$I$2197,'作业明细'!$B$8:$B$2197,A329)</f>
        <v>1.28666666666667</v>
      </c>
      <c r="G329" s="16">
        <f>SUMIFS('作业明细'!$H$8:$H$2197,'作业明细'!$B$8:$B$2197,A329)</f>
        <v>46.16</v>
      </c>
      <c r="H329" s="25">
        <f>D329/G329</f>
        <v>1221.20883882149</v>
      </c>
    </row>
    <row r="330">
      <c r="A330" s="32" t="n">
        <v>45980</v>
      </c>
      <c r="B330" s="20">
        <f>SUMIFS('作业明细'!$G$8:$G$2197,'作业明细'!$B$8:$B$2197,A330,'作业明细'!$C$8:$C$2197,"进港")</f>
        <v>22805</v>
      </c>
      <c r="C330" s="20">
        <f>SUMIFS('作业明细'!$G$8:$G$2197,'作业明细'!$B$8:$B$2197,A330,'作业明细'!$C$8:$C$2197,"出港")</f>
        <v>31224</v>
      </c>
      <c r="D330" s="20">
        <f>SUM(B330:C330)</f>
        <v>54029</v>
      </c>
      <c r="E330" s="33">
        <f>COUNTIFS('作业明细'!$B$8:$B$2197,A330)</f>
        <v>6</v>
      </c>
      <c r="F330" s="14">
        <f>AVERAGEIFS('作业明细'!$I$8:$I$2197,'作业明细'!$B$8:$B$2197,A330)</f>
        <v>2.015</v>
      </c>
      <c r="G330" s="14">
        <f>SUMIFS('作业明细'!$H$8:$H$2197,'作业明细'!$B$8:$B$2197,A330)</f>
        <v>47.2</v>
      </c>
      <c r="H330" s="20">
        <f>D330/G330</f>
        <v>1144.68220338983</v>
      </c>
    </row>
    <row r="331">
      <c r="A331" s="34" t="n">
        <v>45981</v>
      </c>
      <c r="B331" s="25">
        <f>SUMIFS('作业明细'!$G$8:$G$2197,'作业明细'!$B$8:$B$2197,A331,'作业明细'!$C$8:$C$2197,"进港")</f>
        <v>60307</v>
      </c>
      <c r="C331" s="25">
        <f>SUMIFS('作业明细'!$G$8:$G$2197,'作业明细'!$B$8:$B$2197,A331,'作业明细'!$C$8:$C$2197,"出港")</f>
        <v>5343</v>
      </c>
      <c r="D331" s="25">
        <f>SUM(B331:C331)</f>
        <v>65650</v>
      </c>
      <c r="E331" s="35">
        <f>COUNTIFS('作业明细'!$B$8:$B$2197,A331)</f>
        <v>6</v>
      </c>
      <c r="F331" s="16">
        <f>AVERAGEIFS('作业明细'!$I$8:$I$2197,'作业明细'!$B$8:$B$2197,A331)</f>
        <v>3.35333333333333</v>
      </c>
      <c r="G331" s="16">
        <f>SUMIFS('作业明细'!$H$8:$H$2197,'作业明细'!$B$8:$B$2197,A331)</f>
        <v>55.81</v>
      </c>
      <c r="H331" s="25">
        <f>D331/G331</f>
        <v>1176.31248880129</v>
      </c>
    </row>
    <row r="332">
      <c r="A332" s="32" t="n">
        <v>45982</v>
      </c>
      <c r="B332" s="20">
        <f>SUMIFS('作业明细'!$G$8:$G$2197,'作业明细'!$B$8:$B$2197,A332,'作业明细'!$C$8:$C$2197,"进港")</f>
        <v>58087</v>
      </c>
      <c r="C332" s="20">
        <f>SUMIFS('作业明细'!$G$8:$G$2197,'作业明细'!$B$8:$B$2197,A332,'作业明细'!$C$8:$C$2197,"出港")</f>
        <v>4670</v>
      </c>
      <c r="D332" s="20">
        <f>SUM(B332:C332)</f>
        <v>62757</v>
      </c>
      <c r="E332" s="33">
        <f>COUNTIFS('作业明细'!$B$8:$B$2197,A332)</f>
        <v>6</v>
      </c>
      <c r="F332" s="14">
        <f>AVERAGEIFS('作业明细'!$I$8:$I$2197,'作业明细'!$B$8:$B$2197,A332)</f>
        <v>2.97166666666667</v>
      </c>
      <c r="G332" s="14">
        <f>SUMIFS('作业明细'!$H$8:$H$2197,'作业明细'!$B$8:$B$2197,A332)</f>
        <v>54.71</v>
      </c>
      <c r="H332" s="20">
        <f>D332/G332</f>
        <v>1147.08462803875</v>
      </c>
    </row>
    <row r="333">
      <c r="A333" s="34" t="n">
        <v>45983</v>
      </c>
      <c r="B333" s="25">
        <f>SUMIFS('作业明细'!$G$8:$G$2197,'作业明细'!$B$8:$B$2197,A333,'作业明细'!$C$8:$C$2197,"进港")</f>
        <v>43455</v>
      </c>
      <c r="C333" s="25">
        <f>SUMIFS('作业明细'!$G$8:$G$2197,'作业明细'!$B$8:$B$2197,A333,'作业明细'!$C$8:$C$2197,"出港")</f>
        <v>24717</v>
      </c>
      <c r="D333" s="25">
        <f>SUM(B333:C333)</f>
        <v>68172</v>
      </c>
      <c r="E333" s="35">
        <f>COUNTIFS('作业明细'!$B$8:$B$2197,A333)</f>
        <v>6</v>
      </c>
      <c r="F333" s="16">
        <f>AVERAGEIFS('作业明细'!$I$8:$I$2197,'作业明细'!$B$8:$B$2197,A333)</f>
        <v>1.98833333333333</v>
      </c>
      <c r="G333" s="16">
        <f>SUMIFS('作业明细'!$H$8:$H$2197,'作业明细'!$B$8:$B$2197,A333)</f>
        <v>60.62</v>
      </c>
      <c r="H333" s="25">
        <f>D333/G333</f>
        <v>1124.57934675025</v>
      </c>
    </row>
    <row r="334">
      <c r="A334" s="32" t="n">
        <v>45984</v>
      </c>
      <c r="B334" s="20">
        <f>SUMIFS('作业明细'!$G$8:$G$2197,'作业明细'!$B$8:$B$2197,A334,'作业明细'!$C$8:$C$2197,"进港")</f>
        <v>52975</v>
      </c>
      <c r="C334" s="20">
        <f>SUMIFS('作业明细'!$G$8:$G$2197,'作业明细'!$B$8:$B$2197,A334,'作业明细'!$C$8:$C$2197,"出港")</f>
        <v>19170</v>
      </c>
      <c r="D334" s="20">
        <f>SUM(B334:C334)</f>
        <v>72145</v>
      </c>
      <c r="E334" s="33">
        <f>COUNTIFS('作业明细'!$B$8:$B$2197,A334)</f>
        <v>6</v>
      </c>
      <c r="F334" s="14">
        <f>AVERAGEIFS('作业明细'!$I$8:$I$2197,'作业明细'!$B$8:$B$2197,A334)</f>
        <v>1.15666666666667</v>
      </c>
      <c r="G334" s="14">
        <f>SUMIFS('作业明细'!$H$8:$H$2197,'作业明细'!$B$8:$B$2197,A334)</f>
        <v>58.06</v>
      </c>
      <c r="H334" s="20">
        <f>D334/G334</f>
        <v>1242.59386841199</v>
      </c>
    </row>
    <row r="335">
      <c r="A335" s="34" t="n">
        <v>45985</v>
      </c>
      <c r="B335" s="25">
        <f>SUMIFS('作业明细'!$G$8:$G$2197,'作业明细'!$B$8:$B$2197,A335,'作业明细'!$C$8:$C$2197,"进港")</f>
        <v>33841</v>
      </c>
      <c r="C335" s="25">
        <f>SUMIFS('作业明细'!$G$8:$G$2197,'作业明细'!$B$8:$B$2197,A335,'作业明细'!$C$8:$C$2197,"出港")</f>
        <v>47485</v>
      </c>
      <c r="D335" s="25">
        <f>SUM(B335:C335)</f>
        <v>81326</v>
      </c>
      <c r="E335" s="35">
        <f>COUNTIFS('作业明细'!$B$8:$B$2197,A335)</f>
        <v>6</v>
      </c>
      <c r="F335" s="16">
        <f>AVERAGEIFS('作业明细'!$I$8:$I$2197,'作业明细'!$B$8:$B$2197,A335)</f>
        <v>4.35666666666667</v>
      </c>
      <c r="G335" s="16">
        <f>SUMIFS('作业明细'!$H$8:$H$2197,'作业明细'!$B$8:$B$2197,A335)</f>
        <v>73.75</v>
      </c>
      <c r="H335" s="25">
        <f>D335/G335</f>
        <v>1102.72542372881</v>
      </c>
    </row>
    <row r="336">
      <c r="A336" s="32" t="n">
        <v>45986</v>
      </c>
      <c r="B336" s="20">
        <f>SUMIFS('作业明细'!$G$8:$G$2197,'作业明细'!$B$8:$B$2197,A336,'作业明细'!$C$8:$C$2197,"进港")</f>
        <v>56874</v>
      </c>
      <c r="C336" s="20">
        <f>SUMIFS('作业明细'!$G$8:$G$2197,'作业明细'!$B$8:$B$2197,A336,'作业明细'!$C$8:$C$2197,"出港")</f>
        <v>29325</v>
      </c>
      <c r="D336" s="20">
        <f>SUM(B336:C336)</f>
        <v>86199</v>
      </c>
      <c r="E336" s="33">
        <f>COUNTIFS('作业明细'!$B$8:$B$2197,A336)</f>
        <v>6</v>
      </c>
      <c r="F336" s="14">
        <f>AVERAGEIFS('作业明细'!$I$8:$I$2197,'作业明细'!$B$8:$B$2197,A336)</f>
        <v>2.23</v>
      </c>
      <c r="G336" s="14">
        <f>SUMIFS('作业明细'!$H$8:$H$2197,'作业明细'!$B$8:$B$2197,A336)</f>
        <v>71.63</v>
      </c>
      <c r="H336" s="20">
        <f>D336/G336</f>
        <v>1203.39243333799</v>
      </c>
    </row>
    <row r="337">
      <c r="A337" s="34" t="n">
        <v>45987</v>
      </c>
      <c r="B337" s="25">
        <f>SUMIFS('作业明细'!$G$8:$G$2197,'作业明细'!$B$8:$B$2197,A337,'作业明细'!$C$8:$C$2197,"进港")</f>
        <v>42220</v>
      </c>
      <c r="C337" s="25">
        <f>SUMIFS('作业明细'!$G$8:$G$2197,'作业明细'!$B$8:$B$2197,A337,'作业明细'!$C$8:$C$2197,"出港")</f>
        <v>24940</v>
      </c>
      <c r="D337" s="25">
        <f>SUM(B337:C337)</f>
        <v>67160</v>
      </c>
      <c r="E337" s="35">
        <f>COUNTIFS('作业明细'!$B$8:$B$2197,A337)</f>
        <v>6</v>
      </c>
      <c r="F337" s="16">
        <f>AVERAGEIFS('作业明细'!$I$8:$I$2197,'作业明细'!$B$8:$B$2197,A337)</f>
        <v>3.13</v>
      </c>
      <c r="G337" s="16">
        <f>SUMIFS('作业明细'!$H$8:$H$2197,'作业明细'!$B$8:$B$2197,A337)</f>
        <v>55.33</v>
      </c>
      <c r="H337" s="25">
        <f>D337/G337</f>
        <v>1213.80806072655</v>
      </c>
    </row>
    <row r="338">
      <c r="A338" s="32" t="n">
        <v>45988</v>
      </c>
      <c r="B338" s="20">
        <f>SUMIFS('作业明细'!$G$8:$G$2197,'作业明细'!$B$8:$B$2197,A338,'作业明细'!$C$8:$C$2197,"进港")</f>
        <v>33989</v>
      </c>
      <c r="C338" s="20">
        <f>SUMIFS('作业明细'!$G$8:$G$2197,'作业明细'!$B$8:$B$2197,A338,'作业明细'!$C$8:$C$2197,"出港")</f>
        <v>29100</v>
      </c>
      <c r="D338" s="20">
        <f>SUM(B338:C338)</f>
        <v>63089</v>
      </c>
      <c r="E338" s="33">
        <f>COUNTIFS('作业明细'!$B$8:$B$2197,A338)</f>
        <v>6</v>
      </c>
      <c r="F338" s="14">
        <f>AVERAGEIFS('作业明细'!$I$8:$I$2197,'作业明细'!$B$8:$B$2197,A338)</f>
        <v>1.75666666666667</v>
      </c>
      <c r="G338" s="14">
        <f>SUMIFS('作业明细'!$H$8:$H$2197,'作业明细'!$B$8:$B$2197,A338)</f>
        <v>51.68</v>
      </c>
      <c r="H338" s="20">
        <f>D338/G338</f>
        <v>1220.76238390093</v>
      </c>
    </row>
    <row r="339">
      <c r="A339" s="34" t="n">
        <v>45989</v>
      </c>
      <c r="B339" s="25">
        <f>SUMIFS('作业明细'!$G$8:$G$2197,'作业明细'!$B$8:$B$2197,A339,'作业明细'!$C$8:$C$2197,"进港")</f>
        <v>73938</v>
      </c>
      <c r="C339" s="25">
        <f>SUMIFS('作业明细'!$G$8:$G$2197,'作业明细'!$B$8:$B$2197,A339,'作业明细'!$C$8:$C$2197,"出港")</f>
        <v>0</v>
      </c>
      <c r="D339" s="25">
        <f>SUM(B339:C339)</f>
        <v>73938</v>
      </c>
      <c r="E339" s="35">
        <f>COUNTIFS('作业明细'!$B$8:$B$2197,A339)</f>
        <v>6</v>
      </c>
      <c r="F339" s="16">
        <f>AVERAGEIFS('作业明细'!$I$8:$I$2197,'作业明细'!$B$8:$B$2197,A339)</f>
        <v>4.59166666666667</v>
      </c>
      <c r="G339" s="16">
        <f>SUMIFS('作业明细'!$H$8:$H$2197,'作业明细'!$B$8:$B$2197,A339)</f>
        <v>58.69</v>
      </c>
      <c r="H339" s="25">
        <f>D339/G339</f>
        <v>1259.8057590731</v>
      </c>
    </row>
    <row r="340">
      <c r="A340" s="32" t="n">
        <v>45990</v>
      </c>
      <c r="B340" s="20">
        <f>SUMIFS('作业明细'!$G$8:$G$2197,'作业明细'!$B$8:$B$2197,A340,'作业明细'!$C$8:$C$2197,"进港")</f>
        <v>56430</v>
      </c>
      <c r="C340" s="20">
        <f>SUMIFS('作业明细'!$G$8:$G$2197,'作业明细'!$B$8:$B$2197,A340,'作业明细'!$C$8:$C$2197,"出港")</f>
        <v>3301</v>
      </c>
      <c r="D340" s="20">
        <f>SUM(B340:C340)</f>
        <v>59731</v>
      </c>
      <c r="E340" s="33">
        <f>COUNTIFS('作业明细'!$B$8:$B$2197,A340)</f>
        <v>6</v>
      </c>
      <c r="F340" s="14">
        <f>AVERAGEIFS('作业明细'!$I$8:$I$2197,'作业明细'!$B$8:$B$2197,A340)</f>
        <v>2.03166666666667</v>
      </c>
      <c r="G340" s="14">
        <f>SUMIFS('作业明细'!$H$8:$H$2197,'作业明细'!$B$8:$B$2197,A340)</f>
        <v>48.43</v>
      </c>
      <c r="H340" s="20">
        <f>D340/G340</f>
        <v>1233.34709890564</v>
      </c>
    </row>
    <row r="341">
      <c r="A341" s="34" t="n">
        <v>45991</v>
      </c>
      <c r="B341" s="25">
        <f>SUMIFS('作业明细'!$G$8:$G$2197,'作业明细'!$B$8:$B$2197,A341,'作业明细'!$C$8:$C$2197,"进港")</f>
        <v>48868</v>
      </c>
      <c r="C341" s="25">
        <f>SUMIFS('作业明细'!$G$8:$G$2197,'作业明细'!$B$8:$B$2197,A341,'作业明细'!$C$8:$C$2197,"出港")</f>
        <v>10178</v>
      </c>
      <c r="D341" s="25">
        <f>SUM(B341:C341)</f>
        <v>59046</v>
      </c>
      <c r="E341" s="35">
        <f>COUNTIFS('作业明细'!$B$8:$B$2197,A341)</f>
        <v>6</v>
      </c>
      <c r="F341" s="16">
        <f>AVERAGEIFS('作业明细'!$I$8:$I$2197,'作业明细'!$B$8:$B$2197,A341)</f>
        <v>2.31166666666667</v>
      </c>
      <c r="G341" s="16">
        <f>SUMIFS('作业明细'!$H$8:$H$2197,'作业明细'!$B$8:$B$2197,A341)</f>
        <v>46.68</v>
      </c>
      <c r="H341" s="25">
        <f>D341/G341</f>
        <v>1264.91002570694</v>
      </c>
    </row>
    <row r="342">
      <c r="A342" s="32" t="n">
        <v>45992</v>
      </c>
      <c r="B342" s="20">
        <f>SUMIFS('作业明细'!$G$8:$G$2197,'作业明细'!$B$8:$B$2197,A342,'作业明细'!$C$8:$C$2197,"进港")</f>
        <v>47620</v>
      </c>
      <c r="C342" s="20">
        <f>SUMIFS('作业明细'!$G$8:$G$2197,'作业明细'!$B$8:$B$2197,A342,'作业明细'!$C$8:$C$2197,"出港")</f>
        <v>15564</v>
      </c>
      <c r="D342" s="20">
        <f>SUM(B342:C342)</f>
        <v>63184</v>
      </c>
      <c r="E342" s="33">
        <f>COUNTIFS('作业明细'!$B$8:$B$2197,A342)</f>
        <v>6</v>
      </c>
      <c r="F342" s="14">
        <f>AVERAGEIFS('作业明细'!$I$8:$I$2197,'作业明细'!$B$8:$B$2197,A342)</f>
        <v>2.56166666666667</v>
      </c>
      <c r="G342" s="14">
        <f>SUMIFS('作业明细'!$H$8:$H$2197,'作业明细'!$B$8:$B$2197,A342)</f>
        <v>48.37</v>
      </c>
      <c r="H342" s="20">
        <f>D342/G342</f>
        <v>1306.26421335539</v>
      </c>
    </row>
    <row r="343">
      <c r="A343" s="34" t="n">
        <v>45993</v>
      </c>
      <c r="B343" s="25">
        <f>SUMIFS('作业明细'!$G$8:$G$2197,'作业明细'!$B$8:$B$2197,A343,'作业明细'!$C$8:$C$2197,"进港")</f>
        <v>48424</v>
      </c>
      <c r="C343" s="25">
        <f>SUMIFS('作业明细'!$G$8:$G$2197,'作业明细'!$B$8:$B$2197,A343,'作业明细'!$C$8:$C$2197,"出港")</f>
        <v>13342</v>
      </c>
      <c r="D343" s="25">
        <f>SUM(B343:C343)</f>
        <v>61766</v>
      </c>
      <c r="E343" s="35">
        <f>COUNTIFS('作业明细'!$B$8:$B$2197,A343)</f>
        <v>6</v>
      </c>
      <c r="F343" s="16">
        <f>AVERAGEIFS('作业明细'!$I$8:$I$2197,'作业明细'!$B$8:$B$2197,A343)</f>
        <v>2.61</v>
      </c>
      <c r="G343" s="16">
        <f>SUMIFS('作业明细'!$H$8:$H$2197,'作业明细'!$B$8:$B$2197,A343)</f>
        <v>58.26</v>
      </c>
      <c r="H343" s="25">
        <f>D343/G343</f>
        <v>1060.17851012702</v>
      </c>
    </row>
    <row r="344">
      <c r="A344" s="32" t="n">
        <v>45994</v>
      </c>
      <c r="B344" s="20">
        <f>SUMIFS('作业明细'!$G$8:$G$2197,'作业明细'!$B$8:$B$2197,A344,'作业明细'!$C$8:$C$2197,"进港")</f>
        <v>32738</v>
      </c>
      <c r="C344" s="20">
        <f>SUMIFS('作业明细'!$G$8:$G$2197,'作业明细'!$B$8:$B$2197,A344,'作业明细'!$C$8:$C$2197,"出港")</f>
        <v>24691</v>
      </c>
      <c r="D344" s="20">
        <f>SUM(B344:C344)</f>
        <v>57429</v>
      </c>
      <c r="E344" s="33">
        <f>COUNTIFS('作业明细'!$B$8:$B$2197,A344)</f>
        <v>6</v>
      </c>
      <c r="F344" s="14">
        <f>AVERAGEIFS('作业明细'!$I$8:$I$2197,'作业明细'!$B$8:$B$2197,A344)</f>
        <v>2.65166666666667</v>
      </c>
      <c r="G344" s="14">
        <f>SUMIFS('作业明细'!$H$8:$H$2197,'作业明细'!$B$8:$B$2197,A344)</f>
        <v>46.9</v>
      </c>
      <c r="H344" s="20">
        <f>D344/G344</f>
        <v>1224.49893390192</v>
      </c>
    </row>
    <row r="345">
      <c r="A345" s="34" t="n">
        <v>45995</v>
      </c>
      <c r="B345" s="25">
        <f>SUMIFS('作业明细'!$G$8:$G$2197,'作业明细'!$B$8:$B$2197,A345,'作业明细'!$C$8:$C$2197,"进港")</f>
        <v>41239</v>
      </c>
      <c r="C345" s="25">
        <f>SUMIFS('作业明细'!$G$8:$G$2197,'作业明细'!$B$8:$B$2197,A345,'作业明细'!$C$8:$C$2197,"出港")</f>
        <v>15428</v>
      </c>
      <c r="D345" s="25">
        <f>SUM(B345:C345)</f>
        <v>56667</v>
      </c>
      <c r="E345" s="35">
        <f>COUNTIFS('作业明细'!$B$8:$B$2197,A345)</f>
        <v>6</v>
      </c>
      <c r="F345" s="16">
        <f>AVERAGEIFS('作业明细'!$I$8:$I$2197,'作业明细'!$B$8:$B$2197,A345)</f>
        <v>2.33</v>
      </c>
      <c r="G345" s="16">
        <f>SUMIFS('作业明细'!$H$8:$H$2197,'作业明细'!$B$8:$B$2197,A345)</f>
        <v>50.63</v>
      </c>
      <c r="H345" s="25">
        <f>D345/G345</f>
        <v>1119.23760616235</v>
      </c>
    </row>
    <row r="346">
      <c r="A346" s="32" t="n">
        <v>45996</v>
      </c>
      <c r="B346" s="20">
        <f>SUMIFS('作业明细'!$G$8:$G$2197,'作业明细'!$B$8:$B$2197,A346,'作业明细'!$C$8:$C$2197,"进港")</f>
        <v>61901</v>
      </c>
      <c r="C346" s="20">
        <f>SUMIFS('作业明细'!$G$8:$G$2197,'作业明细'!$B$8:$B$2197,A346,'作业明细'!$C$8:$C$2197,"出港")</f>
        <v>8681</v>
      </c>
      <c r="D346" s="20">
        <f>SUM(B346:C346)</f>
        <v>70582</v>
      </c>
      <c r="E346" s="33">
        <f>COUNTIFS('作业明细'!$B$8:$B$2197,A346)</f>
        <v>6</v>
      </c>
      <c r="F346" s="14">
        <f>AVERAGEIFS('作业明细'!$I$8:$I$2197,'作业明细'!$B$8:$B$2197,A346)</f>
        <v>2.295</v>
      </c>
      <c r="G346" s="14">
        <f>SUMIFS('作业明细'!$H$8:$H$2197,'作业明细'!$B$8:$B$2197,A346)</f>
        <v>63.82</v>
      </c>
      <c r="H346" s="20">
        <f>D346/G346</f>
        <v>1105.95424631777</v>
      </c>
    </row>
    <row r="347">
      <c r="A347" s="34" t="n">
        <v>45997</v>
      </c>
      <c r="B347" s="25">
        <f>SUMIFS('作业明细'!$G$8:$G$2197,'作业明细'!$B$8:$B$2197,A347,'作业明细'!$C$8:$C$2197,"进港")</f>
        <v>38709</v>
      </c>
      <c r="C347" s="25">
        <f>SUMIFS('作业明细'!$G$8:$G$2197,'作业明细'!$B$8:$B$2197,A347,'作业明细'!$C$8:$C$2197,"出港")</f>
        <v>27594</v>
      </c>
      <c r="D347" s="25">
        <f>SUM(B347:C347)</f>
        <v>66303</v>
      </c>
      <c r="E347" s="35">
        <f>COUNTIFS('作业明细'!$B$8:$B$2197,A347)</f>
        <v>6</v>
      </c>
      <c r="F347" s="16">
        <f>AVERAGEIFS('作业明细'!$I$8:$I$2197,'作业明细'!$B$8:$B$2197,A347)</f>
        <v>2.60333333333333</v>
      </c>
      <c r="G347" s="16">
        <f>SUMIFS('作业明细'!$H$8:$H$2197,'作业明细'!$B$8:$B$2197,A347)</f>
        <v>54.38</v>
      </c>
      <c r="H347" s="25">
        <f>D347/G347</f>
        <v>1219.25340198602</v>
      </c>
    </row>
    <row r="348">
      <c r="A348" s="32" t="n">
        <v>45998</v>
      </c>
      <c r="B348" s="20">
        <f>SUMIFS('作业明细'!$G$8:$G$2197,'作业明细'!$B$8:$B$2197,A348,'作业明细'!$C$8:$C$2197,"进港")</f>
        <v>50198</v>
      </c>
      <c r="C348" s="20">
        <f>SUMIFS('作业明细'!$G$8:$G$2197,'作业明细'!$B$8:$B$2197,A348,'作业明细'!$C$8:$C$2197,"出港")</f>
        <v>15967</v>
      </c>
      <c r="D348" s="20">
        <f>SUM(B348:C348)</f>
        <v>66165</v>
      </c>
      <c r="E348" s="33">
        <f>COUNTIFS('作业明细'!$B$8:$B$2197,A348)</f>
        <v>6</v>
      </c>
      <c r="F348" s="14">
        <f>AVERAGEIFS('作业明细'!$I$8:$I$2197,'作业明细'!$B$8:$B$2197,A348)</f>
        <v>1.985</v>
      </c>
      <c r="G348" s="14">
        <f>SUMIFS('作业明细'!$H$8:$H$2197,'作业明细'!$B$8:$B$2197,A348)</f>
        <v>53.97</v>
      </c>
      <c r="H348" s="20">
        <f>D348/G348</f>
        <v>1225.95886603669</v>
      </c>
    </row>
    <row r="349">
      <c r="A349" s="34" t="n">
        <v>45999</v>
      </c>
      <c r="B349" s="25">
        <f>SUMIFS('作业明细'!$G$8:$G$2197,'作业明细'!$B$8:$B$2197,A349,'作业明细'!$C$8:$C$2197,"进港")</f>
        <v>35798</v>
      </c>
      <c r="C349" s="25">
        <f>SUMIFS('作业明细'!$G$8:$G$2197,'作业明细'!$B$8:$B$2197,A349,'作业明细'!$C$8:$C$2197,"出港")</f>
        <v>33226</v>
      </c>
      <c r="D349" s="25">
        <f>SUM(B349:C349)</f>
        <v>69024</v>
      </c>
      <c r="E349" s="35">
        <f>COUNTIFS('作业明细'!$B$8:$B$2197,A349)</f>
        <v>6</v>
      </c>
      <c r="F349" s="16">
        <f>AVERAGEIFS('作业明细'!$I$8:$I$2197,'作业明细'!$B$8:$B$2197,A349)</f>
        <v>2.915</v>
      </c>
      <c r="G349" s="16">
        <f>SUMIFS('作业明细'!$H$8:$H$2197,'作业明细'!$B$8:$B$2197,A349)</f>
        <v>63.87</v>
      </c>
      <c r="H349" s="25">
        <f>D349/G349</f>
        <v>1080.69516204791</v>
      </c>
    </row>
    <row r="350">
      <c r="A350" s="32" t="n">
        <v>46000</v>
      </c>
      <c r="B350" s="20">
        <f>SUMIFS('作业明细'!$G$8:$G$2197,'作业明细'!$B$8:$B$2197,A350,'作业明细'!$C$8:$C$2197,"进港")</f>
        <v>50002</v>
      </c>
      <c r="C350" s="20">
        <f>SUMIFS('作业明细'!$G$8:$G$2197,'作业明细'!$B$8:$B$2197,A350,'作业明细'!$C$8:$C$2197,"出港")</f>
        <v>22488</v>
      </c>
      <c r="D350" s="20">
        <f>SUM(B350:C350)</f>
        <v>72490</v>
      </c>
      <c r="E350" s="33">
        <f>COUNTIFS('作业明细'!$B$8:$B$2197,A350)</f>
        <v>6</v>
      </c>
      <c r="F350" s="14">
        <f>AVERAGEIFS('作业明细'!$I$8:$I$2197,'作业明细'!$B$8:$B$2197,A350)</f>
        <v>1.74333333333333</v>
      </c>
      <c r="G350" s="14">
        <f>SUMIFS('作业明细'!$H$8:$H$2197,'作业明细'!$B$8:$B$2197,A350)</f>
        <v>57.36</v>
      </c>
      <c r="H350" s="20">
        <f>D350/G350</f>
        <v>1263.77266387727</v>
      </c>
    </row>
    <row r="351">
      <c r="A351" s="34" t="n">
        <v>46001</v>
      </c>
      <c r="B351" s="25">
        <f>SUMIFS('作业明细'!$G$8:$G$2197,'作业明细'!$B$8:$B$2197,A351,'作业明细'!$C$8:$C$2197,"进港")</f>
        <v>45842</v>
      </c>
      <c r="C351" s="25">
        <f>SUMIFS('作业明细'!$G$8:$G$2197,'作业明细'!$B$8:$B$2197,A351,'作业明细'!$C$8:$C$2197,"出港")</f>
        <v>31869</v>
      </c>
      <c r="D351" s="25">
        <f>SUM(B351:C351)</f>
        <v>77711</v>
      </c>
      <c r="E351" s="35">
        <f>COUNTIFS('作业明细'!$B$8:$B$2197,A351)</f>
        <v>6</v>
      </c>
      <c r="F351" s="16">
        <f>AVERAGEIFS('作业明细'!$I$8:$I$2197,'作业明细'!$B$8:$B$2197,A351)</f>
        <v>3.62666666666667</v>
      </c>
      <c r="G351" s="16">
        <f>SUMIFS('作业明细'!$H$8:$H$2197,'作业明细'!$B$8:$B$2197,A351)</f>
        <v>65.06</v>
      </c>
      <c r="H351" s="25">
        <f>D351/G351</f>
        <v>1194.45127574547</v>
      </c>
    </row>
    <row r="352">
      <c r="A352" s="32" t="n">
        <v>46002</v>
      </c>
      <c r="B352" s="20">
        <f>SUMIFS('作业明细'!$G$8:$G$2197,'作业明细'!$B$8:$B$2197,A352,'作业明细'!$C$8:$C$2197,"进港")</f>
        <v>49856</v>
      </c>
      <c r="C352" s="20">
        <f>SUMIFS('作业明细'!$G$8:$G$2197,'作业明细'!$B$8:$B$2197,A352,'作业明细'!$C$8:$C$2197,"出港")</f>
        <v>12144</v>
      </c>
      <c r="D352" s="20">
        <f>SUM(B352:C352)</f>
        <v>62000</v>
      </c>
      <c r="E352" s="33">
        <f>COUNTIFS('作业明细'!$B$8:$B$2197,A352)</f>
        <v>6</v>
      </c>
      <c r="F352" s="14">
        <f>AVERAGEIFS('作业明细'!$I$8:$I$2197,'作业明细'!$B$8:$B$2197,A352)</f>
        <v>2.61666666666667</v>
      </c>
      <c r="G352" s="14">
        <f>SUMIFS('作业明细'!$H$8:$H$2197,'作业明细'!$B$8:$B$2197,A352)</f>
        <v>58.08</v>
      </c>
      <c r="H352" s="20">
        <f>D352/G352</f>
        <v>1067.49311294766</v>
      </c>
    </row>
    <row r="353">
      <c r="A353" s="34" t="n">
        <v>46003</v>
      </c>
      <c r="B353" s="25">
        <f>SUMIFS('作业明细'!$G$8:$G$2197,'作业明细'!$B$8:$B$2197,A353,'作业明细'!$C$8:$C$2197,"进港")</f>
        <v>31758</v>
      </c>
      <c r="C353" s="25">
        <f>SUMIFS('作业明细'!$G$8:$G$2197,'作业明细'!$B$8:$B$2197,A353,'作业明细'!$C$8:$C$2197,"出港")</f>
        <v>34373</v>
      </c>
      <c r="D353" s="25">
        <f>SUM(B353:C353)</f>
        <v>66131</v>
      </c>
      <c r="E353" s="35">
        <f>COUNTIFS('作业明细'!$B$8:$B$2197,A353)</f>
        <v>6</v>
      </c>
      <c r="F353" s="16">
        <f>AVERAGEIFS('作业明细'!$I$8:$I$2197,'作业明细'!$B$8:$B$2197,A353)</f>
        <v>1.305</v>
      </c>
      <c r="G353" s="16">
        <f>SUMIFS('作业明细'!$H$8:$H$2197,'作业明细'!$B$8:$B$2197,A353)</f>
        <v>53.41</v>
      </c>
      <c r="H353" s="25">
        <f>D353/G353</f>
        <v>1238.17637146602</v>
      </c>
    </row>
    <row r="354">
      <c r="A354" s="32" t="n">
        <v>46004</v>
      </c>
      <c r="B354" s="20">
        <f>SUMIFS('作业明细'!$G$8:$G$2197,'作业明细'!$B$8:$B$2197,A354,'作业明细'!$C$8:$C$2197,"进港")</f>
        <v>39584</v>
      </c>
      <c r="C354" s="20">
        <f>SUMIFS('作业明细'!$G$8:$G$2197,'作业明细'!$B$8:$B$2197,A354,'作业明细'!$C$8:$C$2197,"出港")</f>
        <v>17117</v>
      </c>
      <c r="D354" s="20">
        <f>SUM(B354:C354)</f>
        <v>56701</v>
      </c>
      <c r="E354" s="33">
        <f>COUNTIFS('作业明细'!$B$8:$B$2197,A354)</f>
        <v>6</v>
      </c>
      <c r="F354" s="14">
        <f>AVERAGEIFS('作业明细'!$I$8:$I$2197,'作业明细'!$B$8:$B$2197,A354)</f>
        <v>2.87833333333333</v>
      </c>
      <c r="G354" s="14">
        <f>SUMIFS('作业明细'!$H$8:$H$2197,'作业明细'!$B$8:$B$2197,A354)</f>
        <v>49.05</v>
      </c>
      <c r="H354" s="20">
        <f>D354/G354</f>
        <v>1155.98369011213</v>
      </c>
    </row>
    <row r="355">
      <c r="A355" s="34" t="n">
        <v>46005</v>
      </c>
      <c r="B355" s="25">
        <f>SUMIFS('作业明细'!$G$8:$G$2197,'作业明细'!$B$8:$B$2197,A355,'作业明细'!$C$8:$C$2197,"进港")</f>
        <v>68593</v>
      </c>
      <c r="C355" s="25">
        <f>SUMIFS('作业明细'!$G$8:$G$2197,'作业明细'!$B$8:$B$2197,A355,'作业明细'!$C$8:$C$2197,"出港")</f>
        <v>0</v>
      </c>
      <c r="D355" s="25">
        <f>SUM(B355:C355)</f>
        <v>68593</v>
      </c>
      <c r="E355" s="35">
        <f>COUNTIFS('作业明细'!$B$8:$B$2197,A355)</f>
        <v>6</v>
      </c>
      <c r="F355" s="16">
        <f>AVERAGEIFS('作业明细'!$I$8:$I$2197,'作业明细'!$B$8:$B$2197,A355)</f>
        <v>3.02333333333333</v>
      </c>
      <c r="G355" s="16">
        <f>SUMIFS('作业明细'!$H$8:$H$2197,'作业明细'!$B$8:$B$2197,A355)</f>
        <v>54.21</v>
      </c>
      <c r="H355" s="25">
        <f>D355/G355</f>
        <v>1265.32005165099</v>
      </c>
    </row>
    <row r="356">
      <c r="A356" s="32" t="n">
        <v>46006</v>
      </c>
      <c r="B356" s="20">
        <f>SUMIFS('作业明细'!$G$8:$G$2197,'作业明细'!$B$8:$B$2197,A356,'作业明细'!$C$8:$C$2197,"进港")</f>
        <v>34904</v>
      </c>
      <c r="C356" s="20">
        <f>SUMIFS('作业明细'!$G$8:$G$2197,'作业明细'!$B$8:$B$2197,A356,'作业明细'!$C$8:$C$2197,"出港")</f>
        <v>18898</v>
      </c>
      <c r="D356" s="20">
        <f>SUM(B356:C356)</f>
        <v>53802</v>
      </c>
      <c r="E356" s="33">
        <f>COUNTIFS('作业明细'!$B$8:$B$2197,A356)</f>
        <v>6</v>
      </c>
      <c r="F356" s="14">
        <f>AVERAGEIFS('作业明细'!$I$8:$I$2197,'作业明细'!$B$8:$B$2197,A356)</f>
        <v>2.195</v>
      </c>
      <c r="G356" s="14">
        <f>SUMIFS('作业明细'!$H$8:$H$2197,'作业明细'!$B$8:$B$2197,A356)</f>
        <v>51.67</v>
      </c>
      <c r="H356" s="20">
        <f>D356/G356</f>
        <v>1041.26185407393</v>
      </c>
    </row>
    <row r="357">
      <c r="A357" s="34" t="n">
        <v>46007</v>
      </c>
      <c r="B357" s="25">
        <f>SUMIFS('作业明细'!$G$8:$G$2197,'作业明细'!$B$8:$B$2197,A357,'作业明细'!$C$8:$C$2197,"进港")</f>
        <v>31202</v>
      </c>
      <c r="C357" s="25">
        <f>SUMIFS('作业明细'!$G$8:$G$2197,'作业明细'!$B$8:$B$2197,A357,'作业明细'!$C$8:$C$2197,"出港")</f>
        <v>23694</v>
      </c>
      <c r="D357" s="25">
        <f>SUM(B357:C357)</f>
        <v>54896</v>
      </c>
      <c r="E357" s="35">
        <f>COUNTIFS('作业明细'!$B$8:$B$2197,A357)</f>
        <v>6</v>
      </c>
      <c r="F357" s="16">
        <f>AVERAGEIFS('作业明细'!$I$8:$I$2197,'作业明细'!$B$8:$B$2197,A357)</f>
        <v>2.02333333333333</v>
      </c>
      <c r="G357" s="16">
        <f>SUMIFS('作业明细'!$H$8:$H$2197,'作业明细'!$B$8:$B$2197,A357)</f>
        <v>49.23</v>
      </c>
      <c r="H357" s="25">
        <f>D357/G357</f>
        <v>1115.09242331911</v>
      </c>
    </row>
    <row r="358">
      <c r="A358" s="32" t="n">
        <v>46008</v>
      </c>
      <c r="B358" s="20">
        <f>SUMIFS('作业明细'!$G$8:$G$2197,'作业明细'!$B$8:$B$2197,A358,'作业明细'!$C$8:$C$2197,"进港")</f>
        <v>47275</v>
      </c>
      <c r="C358" s="20">
        <f>SUMIFS('作业明细'!$G$8:$G$2197,'作业明细'!$B$8:$B$2197,A358,'作业明细'!$C$8:$C$2197,"出港")</f>
        <v>21429</v>
      </c>
      <c r="D358" s="20">
        <f>SUM(B358:C358)</f>
        <v>68704</v>
      </c>
      <c r="E358" s="33">
        <f>COUNTIFS('作业明细'!$B$8:$B$2197,A358)</f>
        <v>6</v>
      </c>
      <c r="F358" s="14">
        <f>AVERAGEIFS('作业明细'!$I$8:$I$2197,'作业明细'!$B$8:$B$2197,A358)</f>
        <v>3.48166666666667</v>
      </c>
      <c r="G358" s="14">
        <f>SUMIFS('作业明细'!$H$8:$H$2197,'作业明细'!$B$8:$B$2197,A358)</f>
        <v>58.91</v>
      </c>
      <c r="H358" s="20">
        <f>D358/G358</f>
        <v>1166.25360719742</v>
      </c>
    </row>
    <row r="359">
      <c r="A359" s="34" t="n">
        <v>46009</v>
      </c>
      <c r="B359" s="25">
        <f>SUMIFS('作业明细'!$G$8:$G$2197,'作业明细'!$B$8:$B$2197,A359,'作业明细'!$C$8:$C$2197,"进港")</f>
        <v>34326</v>
      </c>
      <c r="C359" s="25">
        <f>SUMIFS('作业明细'!$G$8:$G$2197,'作业明细'!$B$8:$B$2197,A359,'作业明细'!$C$8:$C$2197,"出港")</f>
        <v>22872</v>
      </c>
      <c r="D359" s="25">
        <f>SUM(B359:C359)</f>
        <v>57198</v>
      </c>
      <c r="E359" s="35">
        <f>COUNTIFS('作业明细'!$B$8:$B$2197,A359)</f>
        <v>6</v>
      </c>
      <c r="F359" s="16">
        <f>AVERAGEIFS('作业明细'!$I$8:$I$2197,'作业明细'!$B$8:$B$2197,A359)</f>
        <v>3.66</v>
      </c>
      <c r="G359" s="16">
        <f>SUMIFS('作业明细'!$H$8:$H$2197,'作业明细'!$B$8:$B$2197,A359)</f>
        <v>51.06</v>
      </c>
      <c r="H359" s="25">
        <f>D359/G359</f>
        <v>1120.21151586369</v>
      </c>
    </row>
    <row r="360">
      <c r="A360" s="32" t="n">
        <v>46010</v>
      </c>
      <c r="B360" s="20">
        <f>SUMIFS('作业明细'!$G$8:$G$2197,'作业明细'!$B$8:$B$2197,A360,'作业明细'!$C$8:$C$2197,"进港")</f>
        <v>35468</v>
      </c>
      <c r="C360" s="20">
        <f>SUMIFS('作业明细'!$G$8:$G$2197,'作业明细'!$B$8:$B$2197,A360,'作业明细'!$C$8:$C$2197,"出港")</f>
        <v>36456</v>
      </c>
      <c r="D360" s="20">
        <f>SUM(B360:C360)</f>
        <v>71924</v>
      </c>
      <c r="E360" s="33">
        <f>COUNTIFS('作业明细'!$B$8:$B$2197,A360)</f>
        <v>6</v>
      </c>
      <c r="F360" s="14">
        <f>AVERAGEIFS('作业明细'!$I$8:$I$2197,'作业明细'!$B$8:$B$2197,A360)</f>
        <v>1.88166666666667</v>
      </c>
      <c r="G360" s="14">
        <f>SUMIFS('作业明细'!$H$8:$H$2197,'作业明细'!$B$8:$B$2197,A360)</f>
        <v>56.58</v>
      </c>
      <c r="H360" s="20">
        <f>D360/G360</f>
        <v>1271.19123365147</v>
      </c>
    </row>
    <row r="361">
      <c r="A361" s="34" t="n">
        <v>46011</v>
      </c>
      <c r="B361" s="25">
        <f>SUMIFS('作业明细'!$G$8:$G$2197,'作业明细'!$B$8:$B$2197,A361,'作业明细'!$C$8:$C$2197,"进港")</f>
        <v>51600</v>
      </c>
      <c r="C361" s="25">
        <f>SUMIFS('作业明细'!$G$8:$G$2197,'作业明细'!$B$8:$B$2197,A361,'作业明细'!$C$8:$C$2197,"出港")</f>
        <v>14233</v>
      </c>
      <c r="D361" s="25">
        <f>SUM(B361:C361)</f>
        <v>65833</v>
      </c>
      <c r="E361" s="35">
        <f>COUNTIFS('作业明细'!$B$8:$B$2197,A361)</f>
        <v>6</v>
      </c>
      <c r="F361" s="16">
        <f>AVERAGEIFS('作业明细'!$I$8:$I$2197,'作业明细'!$B$8:$B$2197,A361)</f>
        <v>2.30666666666667</v>
      </c>
      <c r="G361" s="16">
        <f>SUMIFS('作业明细'!$H$8:$H$2197,'作业明细'!$B$8:$B$2197,A361)</f>
        <v>60.06</v>
      </c>
      <c r="H361" s="25">
        <f>D361/G361</f>
        <v>1096.12054612055</v>
      </c>
    </row>
    <row r="362">
      <c r="A362" s="32" t="n">
        <v>46012</v>
      </c>
      <c r="B362" s="20">
        <f>SUMIFS('作业明细'!$G$8:$G$2197,'作业明细'!$B$8:$B$2197,A362,'作业明细'!$C$8:$C$2197,"进港")</f>
        <v>63301</v>
      </c>
      <c r="C362" s="20">
        <f>SUMIFS('作业明细'!$G$8:$G$2197,'作业明细'!$B$8:$B$2197,A362,'作业明细'!$C$8:$C$2197,"出港")</f>
        <v>13768</v>
      </c>
      <c r="D362" s="20">
        <f>SUM(B362:C362)</f>
        <v>77069</v>
      </c>
      <c r="E362" s="33">
        <f>COUNTIFS('作业明细'!$B$8:$B$2197,A362)</f>
        <v>6</v>
      </c>
      <c r="F362" s="14">
        <f>AVERAGEIFS('作业明细'!$I$8:$I$2197,'作业明细'!$B$8:$B$2197,A362)</f>
        <v>1.78666666666667</v>
      </c>
      <c r="G362" s="14">
        <f>SUMIFS('作业明细'!$H$8:$H$2197,'作业明细'!$B$8:$B$2197,A362)</f>
        <v>62.34</v>
      </c>
      <c r="H362" s="20">
        <f>D362/G362</f>
        <v>1236.26884825152</v>
      </c>
    </row>
    <row r="363">
      <c r="A363" s="34" t="n">
        <v>46013</v>
      </c>
      <c r="B363" s="25">
        <f>SUMIFS('作业明细'!$G$8:$G$2197,'作业明细'!$B$8:$B$2197,A363,'作业明细'!$C$8:$C$2197,"进港")</f>
        <v>50034</v>
      </c>
      <c r="C363" s="25">
        <f>SUMIFS('作业明细'!$G$8:$G$2197,'作业明细'!$B$8:$B$2197,A363,'作业明细'!$C$8:$C$2197,"出港")</f>
        <v>18106</v>
      </c>
      <c r="D363" s="25">
        <f>SUM(B363:C363)</f>
        <v>68140</v>
      </c>
      <c r="E363" s="35">
        <f>COUNTIFS('作业明细'!$B$8:$B$2197,A363)</f>
        <v>6</v>
      </c>
      <c r="F363" s="16">
        <f>AVERAGEIFS('作业明细'!$I$8:$I$2197,'作业明细'!$B$8:$B$2197,A363)</f>
        <v>2.90166666666667</v>
      </c>
      <c r="G363" s="16">
        <f>SUMIFS('作业明细'!$H$8:$H$2197,'作业明细'!$B$8:$B$2197,A363)</f>
        <v>59.48</v>
      </c>
      <c r="H363" s="25">
        <f>D363/G363</f>
        <v>1145.59515803631</v>
      </c>
    </row>
    <row r="364">
      <c r="A364" s="32" t="n">
        <v>46014</v>
      </c>
      <c r="B364" s="20">
        <f>SUMIFS('作业明细'!$G$8:$G$2197,'作业明细'!$B$8:$B$2197,A364,'作业明细'!$C$8:$C$2197,"进港")</f>
        <v>27951</v>
      </c>
      <c r="C364" s="20">
        <f>SUMIFS('作业明细'!$G$8:$G$2197,'作业明细'!$B$8:$B$2197,A364,'作业明细'!$C$8:$C$2197,"出港")</f>
        <v>44001</v>
      </c>
      <c r="D364" s="20">
        <f>SUM(B364:C364)</f>
        <v>71952</v>
      </c>
      <c r="E364" s="33">
        <f>COUNTIFS('作业明细'!$B$8:$B$2197,A364)</f>
        <v>6</v>
      </c>
      <c r="F364" s="14">
        <f>AVERAGEIFS('作业明细'!$I$8:$I$2197,'作业明细'!$B$8:$B$2197,A364)</f>
        <v>2.96</v>
      </c>
      <c r="G364" s="14">
        <f>SUMIFS('作业明细'!$H$8:$H$2197,'作业明细'!$B$8:$B$2197,A364)</f>
        <v>64.24</v>
      </c>
      <c r="H364" s="20">
        <f>D364/G364</f>
        <v>1120.0498132005</v>
      </c>
    </row>
    <row r="365">
      <c r="A365" s="34" t="n">
        <v>46015</v>
      </c>
      <c r="B365" s="25">
        <f>SUMIFS('作业明细'!$G$8:$G$2197,'作业明细'!$B$8:$B$2197,A365,'作业明细'!$C$8:$C$2197,"进港")</f>
        <v>26031</v>
      </c>
      <c r="C365" s="25">
        <f>SUMIFS('作业明细'!$G$8:$G$2197,'作业明细'!$B$8:$B$2197,A365,'作业明细'!$C$8:$C$2197,"出港")</f>
        <v>42137</v>
      </c>
      <c r="D365" s="25">
        <f>SUM(B365:C365)</f>
        <v>68168</v>
      </c>
      <c r="E365" s="35">
        <f>COUNTIFS('作业明细'!$B$8:$B$2197,A365)</f>
        <v>6</v>
      </c>
      <c r="F365" s="16">
        <f>AVERAGEIFS('作业明细'!$I$8:$I$2197,'作业明细'!$B$8:$B$2197,A365)</f>
        <v>1.95333333333333</v>
      </c>
      <c r="G365" s="16">
        <f>SUMIFS('作业明细'!$H$8:$H$2197,'作业明细'!$B$8:$B$2197,A365)</f>
        <v>61.79</v>
      </c>
      <c r="H365" s="25">
        <f>D365/G365</f>
        <v>1103.22058585532</v>
      </c>
    </row>
    <row r="366">
      <c r="A366" s="32" t="n">
        <v>46016</v>
      </c>
      <c r="B366" s="20">
        <f>SUMIFS('作业明细'!$G$8:$G$2197,'作业明细'!$B$8:$B$2197,A366,'作业明细'!$C$8:$C$2197,"进港")</f>
        <v>53128</v>
      </c>
      <c r="C366" s="20">
        <f>SUMIFS('作业明细'!$G$8:$G$2197,'作业明细'!$B$8:$B$2197,A366,'作业明细'!$C$8:$C$2197,"出港")</f>
        <v>13424</v>
      </c>
      <c r="D366" s="20">
        <f>SUM(B366:C366)</f>
        <v>66552</v>
      </c>
      <c r="E366" s="33">
        <f>COUNTIFS('作业明细'!$B$8:$B$2197,A366)</f>
        <v>6</v>
      </c>
      <c r="F366" s="14">
        <f>AVERAGEIFS('作业明细'!$I$8:$I$2197,'作业明细'!$B$8:$B$2197,A366)</f>
        <v>3.21833333333333</v>
      </c>
      <c r="G366" s="14">
        <f>SUMIFS('作业明细'!$H$8:$H$2197,'作业明细'!$B$8:$B$2197,A366)</f>
        <v>56.35</v>
      </c>
      <c r="H366" s="20">
        <f>D366/G366</f>
        <v>1181.04702750665</v>
      </c>
    </row>
    <row r="367">
      <c r="A367" s="34" t="n">
        <v>46017</v>
      </c>
      <c r="B367" s="25">
        <f>SUMIFS('作业明细'!$G$8:$G$2197,'作业明细'!$B$8:$B$2197,A367,'作业明细'!$C$8:$C$2197,"进港")</f>
        <v>43520</v>
      </c>
      <c r="C367" s="25">
        <f>SUMIFS('作业明细'!$G$8:$G$2197,'作业明细'!$B$8:$B$2197,A367,'作业明细'!$C$8:$C$2197,"出港")</f>
        <v>20516</v>
      </c>
      <c r="D367" s="25">
        <f>SUM(B367:C367)</f>
        <v>64036</v>
      </c>
      <c r="E367" s="35">
        <f>COUNTIFS('作业明细'!$B$8:$B$2197,A367)</f>
        <v>6</v>
      </c>
      <c r="F367" s="16">
        <f>AVERAGEIFS('作业明细'!$I$8:$I$2197,'作业明细'!$B$8:$B$2197,A367)</f>
        <v>1.44166666666667</v>
      </c>
      <c r="G367" s="16">
        <f>SUMIFS('作业明细'!$H$8:$H$2197,'作业明细'!$B$8:$B$2197,A367)</f>
        <v>56.84</v>
      </c>
      <c r="H367" s="25">
        <f>D367/G367</f>
        <v>1126.60098522168</v>
      </c>
    </row>
    <row r="368">
      <c r="A368" s="32" t="n">
        <v>46018</v>
      </c>
      <c r="B368" s="20">
        <f>SUMIFS('作业明细'!$G$8:$G$2197,'作业明细'!$B$8:$B$2197,A368,'作业明细'!$C$8:$C$2197,"进港")</f>
        <v>47415</v>
      </c>
      <c r="C368" s="20">
        <f>SUMIFS('作业明细'!$G$8:$G$2197,'作业明细'!$B$8:$B$2197,A368,'作业明细'!$C$8:$C$2197,"出港")</f>
        <v>8277</v>
      </c>
      <c r="D368" s="20">
        <f>SUM(B368:C368)</f>
        <v>55692</v>
      </c>
      <c r="E368" s="33">
        <f>COUNTIFS('作业明细'!$B$8:$B$2197,A368)</f>
        <v>6</v>
      </c>
      <c r="F368" s="14">
        <f>AVERAGEIFS('作业明细'!$I$8:$I$2197,'作业明细'!$B$8:$B$2197,A368)</f>
        <v>3.84833333333333</v>
      </c>
      <c r="G368" s="14">
        <f>SUMIFS('作业明细'!$H$8:$H$2197,'作业明细'!$B$8:$B$2197,A368)</f>
        <v>45.66</v>
      </c>
      <c r="H368" s="20">
        <f>D368/G368</f>
        <v>1219.71090670171</v>
      </c>
    </row>
    <row r="369">
      <c r="A369" s="34" t="n">
        <v>46019</v>
      </c>
      <c r="B369" s="25">
        <f>SUMIFS('作业明细'!$G$8:$G$2197,'作业明细'!$B$8:$B$2197,A369,'作业明细'!$C$8:$C$2197,"进港")</f>
        <v>43687</v>
      </c>
      <c r="C369" s="25">
        <f>SUMIFS('作业明细'!$G$8:$G$2197,'作业明细'!$B$8:$B$2197,A369,'作业明细'!$C$8:$C$2197,"出港")</f>
        <v>9044</v>
      </c>
      <c r="D369" s="25">
        <f>SUM(B369:C369)</f>
        <v>52731</v>
      </c>
      <c r="E369" s="35">
        <f>COUNTIFS('作业明细'!$B$8:$B$2197,A369)</f>
        <v>6</v>
      </c>
      <c r="F369" s="16">
        <f>AVERAGEIFS('作业明细'!$I$8:$I$2197,'作业明细'!$B$8:$B$2197,A369)</f>
        <v>2.77666666666667</v>
      </c>
      <c r="G369" s="16">
        <f>SUMIFS('作业明细'!$H$8:$H$2197,'作业明细'!$B$8:$B$2197,A369)</f>
        <v>47.63</v>
      </c>
      <c r="H369" s="25">
        <f>D369/G369</f>
        <v>1107.0963678354</v>
      </c>
    </row>
    <row r="370">
      <c r="A370" s="32" t="n">
        <v>46020</v>
      </c>
      <c r="B370" s="20">
        <f>SUMIFS('作业明细'!$G$8:$G$2197,'作业明细'!$B$8:$B$2197,A370,'作业明细'!$C$8:$C$2197,"进港")</f>
        <v>38366</v>
      </c>
      <c r="C370" s="20">
        <f>SUMIFS('作业明细'!$G$8:$G$2197,'作业明细'!$B$8:$B$2197,A370,'作业明细'!$C$8:$C$2197,"出港")</f>
        <v>16081</v>
      </c>
      <c r="D370" s="20">
        <f>SUM(B370:C370)</f>
        <v>54447</v>
      </c>
      <c r="E370" s="33">
        <f>COUNTIFS('作业明细'!$B$8:$B$2197,A370)</f>
        <v>6</v>
      </c>
      <c r="F370" s="14">
        <f>AVERAGEIFS('作业明细'!$I$8:$I$2197,'作业明细'!$B$8:$B$2197,A370)</f>
        <v>3.55666666666667</v>
      </c>
      <c r="G370" s="14">
        <f>SUMIFS('作业明细'!$H$8:$H$2197,'作业明细'!$B$8:$B$2197,A370)</f>
        <v>49.09</v>
      </c>
      <c r="H370" s="20">
        <f>D370/G370</f>
        <v>1109.12609492768</v>
      </c>
    </row>
    <row r="371">
      <c r="A371" s="34" t="n">
        <v>46021</v>
      </c>
      <c r="B371" s="25">
        <f>SUMIFS('作业明细'!$G$8:$G$2197,'作业明细'!$B$8:$B$2197,A371,'作业明细'!$C$8:$C$2197,"进港")</f>
        <v>37936</v>
      </c>
      <c r="C371" s="25">
        <f>SUMIFS('作业明细'!$G$8:$G$2197,'作业明细'!$B$8:$B$2197,A371,'作业明细'!$C$8:$C$2197,"出港")</f>
        <v>28995</v>
      </c>
      <c r="D371" s="25">
        <f>SUM(B371:C371)</f>
        <v>66931</v>
      </c>
      <c r="E371" s="35">
        <f>COUNTIFS('作业明细'!$B$8:$B$2197,A371)</f>
        <v>6</v>
      </c>
      <c r="F371" s="16">
        <f>AVERAGEIFS('作业明细'!$I$8:$I$2197,'作业明细'!$B$8:$B$2197,A371)</f>
        <v>3.48</v>
      </c>
      <c r="G371" s="16">
        <f>SUMIFS('作业明细'!$H$8:$H$2197,'作业明细'!$B$8:$B$2197,A371)</f>
        <v>60.39</v>
      </c>
      <c r="H371" s="25">
        <f>D371/G371</f>
        <v>1108.31263454214</v>
      </c>
    </row>
    <row r="372">
      <c r="A372" s="32" t="n">
        <v>46022</v>
      </c>
      <c r="B372" s="20">
        <f>SUMIFS('作业明细'!$G$8:$G$2197,'作业明细'!$B$8:$B$2197,A372,'作业明细'!$C$8:$C$2197,"进港")</f>
        <v>24366</v>
      </c>
      <c r="C372" s="20">
        <f>SUMIFS('作业明细'!$G$8:$G$2197,'作业明细'!$B$8:$B$2197,A372,'作业明细'!$C$8:$C$2197,"出港")</f>
        <v>30056</v>
      </c>
      <c r="D372" s="20">
        <f>SUM(B372:C372)</f>
        <v>54422</v>
      </c>
      <c r="E372" s="33">
        <f>COUNTIFS('作业明细'!$B$8:$B$2197,A372)</f>
        <v>6</v>
      </c>
      <c r="F372" s="14">
        <f>AVERAGEIFS('作业明细'!$I$8:$I$2197,'作业明细'!$B$8:$B$2197,A372)</f>
        <v>3.07666666666667</v>
      </c>
      <c r="G372" s="14">
        <f>SUMIFS('作业明细'!$H$8:$H$2197,'作业明细'!$B$8:$B$2197,A372)</f>
        <v>46.82</v>
      </c>
      <c r="H372" s="20">
        <f>D372/G372</f>
        <v>1162.36651003845</v>
      </c>
    </row>
  </sheetData>
  <autoFilter ref="A7:H372"/>
  <mergeCells count="2">
    <mergeCell ref="A3:H3"/>
    <mergeCell ref="A2:H2"/>
  </mergeCells>
  <printOptions horizontalCentered="1"/>
  <pageMargins left="0.28" right="0.28" top="0.25" bottom="0.25" header="0" footer="0.1"/>
  <pageSetup orientation="portrait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L2197"/>
  <sheetViews>
    <sheetView showGridLines="0" zoomScale="85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19" customHeight="1"/>
    <row r="2" ht="34" customHeight="1">
      <c r="A2" s="31" t="inlineStr">
        <is>
          <t>装卸作业明细</t>
        </is>
      </c>
    </row>
    <row r="3" ht="30" customHeight="1">
      <c r="A3" s="2" t="inlineStr">
        <is>
          <t>2,190 条模拟记录；预览前 39 条，完整数据保存在本工作表</t>
        </is>
      </c>
    </row>
    <row r="4" ht="19" customHeight="1"/>
    <row r="5" ht="19" customHeight="1"/>
    <row r="6" ht="19" customHeight="1"/>
    <row r="7" ht="32" customHeight="1">
      <c r="A7" s="17" t="inlineStr">
        <is>
          <t>作业编号</t>
        </is>
      </c>
      <c r="B7" s="17" t="inlineStr">
        <is>
          <t>日期</t>
        </is>
      </c>
      <c r="C7" s="17" t="inlineStr">
        <is>
          <t>流向</t>
        </is>
      </c>
      <c r="D7" s="17" t="inlineStr">
        <is>
          <t>货类</t>
        </is>
      </c>
      <c r="E7" s="17" t="inlineStr">
        <is>
          <t>航线</t>
        </is>
      </c>
      <c r="F7" s="17" t="inlineStr">
        <is>
          <t>泊位</t>
        </is>
      </c>
      <c r="G7" s="17" t="inlineStr">
        <is>
          <t>货物吨数</t>
        </is>
      </c>
      <c r="H7" s="17" t="inlineStr">
        <is>
          <t>作业小时</t>
        </is>
      </c>
      <c r="I7" s="17" t="inlineStr">
        <is>
          <t>等泊小时</t>
        </is>
      </c>
      <c r="J7" s="17" t="inlineStr">
        <is>
          <t>计划小时</t>
        </is>
      </c>
      <c r="K7" s="17" t="inlineStr">
        <is>
          <t>箱量TEU</t>
        </is>
      </c>
      <c r="L7" s="10" t="inlineStr">
        <is>
          <t>按计划完成</t>
        </is>
      </c>
    </row>
    <row r="8" ht="19" customHeight="1">
      <c r="A8" s="19" t="inlineStr">
        <is>
          <t>QL-001-1</t>
        </is>
      </c>
      <c r="B8" s="36" t="n">
        <v>45658</v>
      </c>
      <c r="C8" s="37" t="inlineStr">
        <is>
          <t>出港</t>
        </is>
      </c>
      <c r="D8" s="19" t="inlineStr">
        <is>
          <t>集装箱货物</t>
        </is>
      </c>
      <c r="E8" s="19" t="inlineStr">
        <is>
          <t>东亚</t>
        </is>
      </c>
      <c r="F8" s="19" t="inlineStr">
        <is>
          <t>01号泊位</t>
        </is>
      </c>
      <c r="G8" s="20" t="n">
        <v>7191</v>
      </c>
      <c r="H8" s="38" t="n">
        <v>7.07</v>
      </c>
      <c r="I8" s="38" t="n">
        <v>2.02</v>
      </c>
      <c r="J8" s="38" t="n">
        <v>7.99</v>
      </c>
      <c r="K8" s="20" t="n">
        <v>455</v>
      </c>
      <c r="L8" s="26">
        <f>IF(H8&lt;=J8,1,0)</f>
        <v>1</v>
      </c>
    </row>
    <row r="9" ht="19" customHeight="1">
      <c r="A9" s="24" t="inlineStr">
        <is>
          <t>QL-001-2</t>
        </is>
      </c>
      <c r="B9" s="39" t="n">
        <v>45658</v>
      </c>
      <c r="C9" s="40" t="inlineStr">
        <is>
          <t>进港</t>
        </is>
      </c>
      <c r="D9" s="24" t="inlineStr">
        <is>
          <t>金属矿石</t>
        </is>
      </c>
      <c r="E9" s="24" t="inlineStr">
        <is>
          <t>东南亚</t>
        </is>
      </c>
      <c r="F9" s="24" t="inlineStr">
        <is>
          <t>02号泊位</t>
        </is>
      </c>
      <c r="G9" s="25" t="n">
        <v>12602</v>
      </c>
      <c r="H9" s="41" t="n">
        <v>8.369999999999999</v>
      </c>
      <c r="I9" s="41" t="n">
        <v>3.6</v>
      </c>
      <c r="J9" s="41" t="n">
        <v>8.130000000000001</v>
      </c>
      <c r="K9" s="25" t="n">
        <v>0</v>
      </c>
      <c r="L9" s="26">
        <f>IF(H9&lt;=J9,1,0)</f>
        <v>0</v>
      </c>
    </row>
    <row r="10" ht="19" customHeight="1">
      <c r="A10" s="19" t="inlineStr">
        <is>
          <t>QL-001-3</t>
        </is>
      </c>
      <c r="B10" s="36" t="n">
        <v>45658</v>
      </c>
      <c r="C10" s="37" t="inlineStr">
        <is>
          <t>进港</t>
        </is>
      </c>
      <c r="D10" s="19" t="inlineStr">
        <is>
          <t>煤炭</t>
        </is>
      </c>
      <c r="E10" s="19" t="inlineStr">
        <is>
          <t>北美</t>
        </is>
      </c>
      <c r="F10" s="19" t="inlineStr">
        <is>
          <t>03号泊位</t>
        </is>
      </c>
      <c r="G10" s="20" t="n">
        <v>15687</v>
      </c>
      <c r="H10" s="38" t="n">
        <v>11.53</v>
      </c>
      <c r="I10" s="38" t="n">
        <v>3.03</v>
      </c>
      <c r="J10" s="38" t="n">
        <v>11.88</v>
      </c>
      <c r="K10" s="20" t="n">
        <v>0</v>
      </c>
      <c r="L10" s="26">
        <f>IF(H10&lt;=J10,1,0)</f>
        <v>1</v>
      </c>
    </row>
    <row r="11" ht="19" customHeight="1">
      <c r="A11" s="24" t="inlineStr">
        <is>
          <t>QL-001-4</t>
        </is>
      </c>
      <c r="B11" s="39" t="n">
        <v>45658</v>
      </c>
      <c r="C11" s="40" t="inlineStr">
        <is>
          <t>出港</t>
        </is>
      </c>
      <c r="D11" s="24" t="inlineStr">
        <is>
          <t>粮食</t>
        </is>
      </c>
      <c r="E11" s="24" t="inlineStr">
        <is>
          <t>东南亚</t>
        </is>
      </c>
      <c r="F11" s="24" t="inlineStr">
        <is>
          <t>04号泊位</t>
        </is>
      </c>
      <c r="G11" s="25" t="n">
        <v>5740</v>
      </c>
      <c r="H11" s="41" t="n">
        <v>5.66</v>
      </c>
      <c r="I11" s="41" t="n">
        <v>1.06</v>
      </c>
      <c r="J11" s="41" t="n">
        <v>5.63</v>
      </c>
      <c r="K11" s="25" t="n">
        <v>0</v>
      </c>
      <c r="L11" s="26">
        <f>IF(H11&lt;=J11,1,0)</f>
        <v>0</v>
      </c>
    </row>
    <row r="12" ht="19" customHeight="1">
      <c r="A12" s="19" t="inlineStr">
        <is>
          <t>QL-001-5</t>
        </is>
      </c>
      <c r="B12" s="36" t="n">
        <v>45658</v>
      </c>
      <c r="C12" s="37" t="inlineStr">
        <is>
          <t>出港</t>
        </is>
      </c>
      <c r="D12" s="19" t="inlineStr">
        <is>
          <t>液体散货</t>
        </is>
      </c>
      <c r="E12" s="19" t="inlineStr">
        <is>
          <t>北美</t>
        </is>
      </c>
      <c r="F12" s="19" t="inlineStr">
        <is>
          <t>05号泊位</t>
        </is>
      </c>
      <c r="G12" s="20" t="n">
        <v>12046</v>
      </c>
      <c r="H12" s="38" t="n">
        <v>8.41</v>
      </c>
      <c r="I12" s="38" t="n">
        <v>2.75</v>
      </c>
      <c r="J12" s="38" t="n">
        <v>8.369999999999999</v>
      </c>
      <c r="K12" s="20" t="n">
        <v>0</v>
      </c>
      <c r="L12" s="26">
        <f>IF(H12&lt;=J12,1,0)</f>
        <v>0</v>
      </c>
    </row>
    <row r="13" ht="19" customHeight="1">
      <c r="A13" s="24" t="inlineStr">
        <is>
          <t>QL-001-6</t>
        </is>
      </c>
      <c r="B13" s="39" t="n">
        <v>45658</v>
      </c>
      <c r="C13" s="40" t="inlineStr">
        <is>
          <t>进港</t>
        </is>
      </c>
      <c r="D13" s="24" t="inlineStr">
        <is>
          <t>件杂货</t>
        </is>
      </c>
      <c r="E13" s="24" t="inlineStr">
        <is>
          <t>东亚</t>
        </is>
      </c>
      <c r="F13" s="24" t="inlineStr">
        <is>
          <t>06号泊位</t>
        </is>
      </c>
      <c r="G13" s="25" t="n">
        <v>6418</v>
      </c>
      <c r="H13" s="41" t="n">
        <v>10.26</v>
      </c>
      <c r="I13" s="41" t="n">
        <v>2.95</v>
      </c>
      <c r="J13" s="41" t="n">
        <v>10.52</v>
      </c>
      <c r="K13" s="25" t="n">
        <v>0</v>
      </c>
      <c r="L13" s="26">
        <f>IF(H13&lt;=J13,1,0)</f>
        <v>1</v>
      </c>
    </row>
    <row r="14" ht="19" customHeight="1">
      <c r="A14" s="19" t="inlineStr">
        <is>
          <t>QL-002-1</t>
        </is>
      </c>
      <c r="B14" s="36" t="n">
        <v>45659</v>
      </c>
      <c r="C14" s="37" t="inlineStr">
        <is>
          <t>出港</t>
        </is>
      </c>
      <c r="D14" s="19" t="inlineStr">
        <is>
          <t>集装箱货物</t>
        </is>
      </c>
      <c r="E14" s="19" t="inlineStr">
        <is>
          <t>欧洲</t>
        </is>
      </c>
      <c r="F14" s="19" t="inlineStr">
        <is>
          <t>01号泊位</t>
        </is>
      </c>
      <c r="G14" s="20" t="n">
        <v>12885</v>
      </c>
      <c r="H14" s="38" t="n">
        <v>17.01</v>
      </c>
      <c r="I14" s="38" t="n">
        <v>1.66</v>
      </c>
      <c r="J14" s="38" t="n">
        <v>14.32</v>
      </c>
      <c r="K14" s="20" t="n">
        <v>876</v>
      </c>
      <c r="L14" s="26">
        <f>IF(H14&lt;=J14,1,0)</f>
        <v>0</v>
      </c>
    </row>
    <row r="15" ht="19" customHeight="1">
      <c r="A15" s="24" t="inlineStr">
        <is>
          <t>QL-002-2</t>
        </is>
      </c>
      <c r="B15" s="39" t="n">
        <v>45659</v>
      </c>
      <c r="C15" s="40" t="inlineStr">
        <is>
          <t>进港</t>
        </is>
      </c>
      <c r="D15" s="24" t="inlineStr">
        <is>
          <t>金属矿石</t>
        </is>
      </c>
      <c r="E15" s="24" t="inlineStr">
        <is>
          <t>欧洲</t>
        </is>
      </c>
      <c r="F15" s="24" t="inlineStr">
        <is>
          <t>02号泊位</t>
        </is>
      </c>
      <c r="G15" s="25" t="n">
        <v>12524</v>
      </c>
      <c r="H15" s="41" t="n">
        <v>7.1</v>
      </c>
      <c r="I15" s="41" t="n">
        <v>0.3</v>
      </c>
      <c r="J15" s="41" t="n">
        <v>8.08</v>
      </c>
      <c r="K15" s="25" t="n">
        <v>0</v>
      </c>
      <c r="L15" s="26">
        <f>IF(H15&lt;=J15,1,0)</f>
        <v>1</v>
      </c>
    </row>
    <row r="16" ht="19" customHeight="1">
      <c r="A16" s="19" t="inlineStr">
        <is>
          <t>QL-002-3</t>
        </is>
      </c>
      <c r="B16" s="36" t="n">
        <v>45659</v>
      </c>
      <c r="C16" s="37" t="inlineStr">
        <is>
          <t>进港</t>
        </is>
      </c>
      <c r="D16" s="19" t="inlineStr">
        <is>
          <t>煤炭</t>
        </is>
      </c>
      <c r="E16" s="19" t="inlineStr">
        <is>
          <t>北美</t>
        </is>
      </c>
      <c r="F16" s="19" t="inlineStr">
        <is>
          <t>03号泊位</t>
        </is>
      </c>
      <c r="G16" s="20" t="n">
        <v>12050</v>
      </c>
      <c r="H16" s="38" t="n">
        <v>7.87</v>
      </c>
      <c r="I16" s="38" t="n">
        <v>6.78</v>
      </c>
      <c r="J16" s="38" t="n">
        <v>9.130000000000001</v>
      </c>
      <c r="K16" s="20" t="n">
        <v>0</v>
      </c>
      <c r="L16" s="26">
        <f>IF(H16&lt;=J16,1,0)</f>
        <v>1</v>
      </c>
    </row>
    <row r="17" ht="19" customHeight="1">
      <c r="A17" s="24" t="inlineStr">
        <is>
          <t>QL-002-4</t>
        </is>
      </c>
      <c r="B17" s="39" t="n">
        <v>45659</v>
      </c>
      <c r="C17" s="40" t="inlineStr">
        <is>
          <t>出港</t>
        </is>
      </c>
      <c r="D17" s="24" t="inlineStr">
        <is>
          <t>粮食</t>
        </is>
      </c>
      <c r="E17" s="24" t="inlineStr">
        <is>
          <t>国内沿海</t>
        </is>
      </c>
      <c r="F17" s="24" t="inlineStr">
        <is>
          <t>04号泊位</t>
        </is>
      </c>
      <c r="G17" s="25" t="n">
        <v>6256</v>
      </c>
      <c r="H17" s="41" t="n">
        <v>6.04</v>
      </c>
      <c r="I17" s="41" t="n">
        <v>8.109999999999999</v>
      </c>
      <c r="J17" s="41" t="n">
        <v>6.13</v>
      </c>
      <c r="K17" s="25" t="n">
        <v>0</v>
      </c>
      <c r="L17" s="26">
        <f>IF(H17&lt;=J17,1,0)</f>
        <v>1</v>
      </c>
    </row>
    <row r="18" ht="19" customHeight="1">
      <c r="A18" s="19" t="inlineStr">
        <is>
          <t>QL-002-5</t>
        </is>
      </c>
      <c r="B18" s="36" t="n">
        <v>45659</v>
      </c>
      <c r="C18" s="37" t="inlineStr">
        <is>
          <t>进港</t>
        </is>
      </c>
      <c r="D18" s="19" t="inlineStr">
        <is>
          <t>液体散货</t>
        </is>
      </c>
      <c r="E18" s="19" t="inlineStr">
        <is>
          <t>东亚</t>
        </is>
      </c>
      <c r="F18" s="19" t="inlineStr">
        <is>
          <t>05号泊位</t>
        </is>
      </c>
      <c r="G18" s="20" t="n">
        <v>7144</v>
      </c>
      <c r="H18" s="38" t="n">
        <v>4.94</v>
      </c>
      <c r="I18" s="38" t="n">
        <v>0.85</v>
      </c>
      <c r="J18" s="38" t="n">
        <v>4.96</v>
      </c>
      <c r="K18" s="20" t="n">
        <v>0</v>
      </c>
      <c r="L18" s="26">
        <f>IF(H18&lt;=J18,1,0)</f>
        <v>1</v>
      </c>
    </row>
    <row r="19" ht="19" customHeight="1">
      <c r="A19" s="24" t="inlineStr">
        <is>
          <t>QL-002-6</t>
        </is>
      </c>
      <c r="B19" s="39" t="n">
        <v>45659</v>
      </c>
      <c r="C19" s="40" t="inlineStr">
        <is>
          <t>进港</t>
        </is>
      </c>
      <c r="D19" s="24" t="inlineStr">
        <is>
          <t>件杂货</t>
        </is>
      </c>
      <c r="E19" s="24" t="inlineStr">
        <is>
          <t>北美</t>
        </is>
      </c>
      <c r="F19" s="24" t="inlineStr">
        <is>
          <t>06号泊位</t>
        </is>
      </c>
      <c r="G19" s="25" t="n">
        <v>3330</v>
      </c>
      <c r="H19" s="41" t="n">
        <v>5.19</v>
      </c>
      <c r="I19" s="41" t="n">
        <v>0.36</v>
      </c>
      <c r="J19" s="41" t="n">
        <v>5.46</v>
      </c>
      <c r="K19" s="25" t="n">
        <v>0</v>
      </c>
      <c r="L19" s="26">
        <f>IF(H19&lt;=J19,1,0)</f>
        <v>1</v>
      </c>
    </row>
    <row r="20" ht="19" customHeight="1">
      <c r="A20" s="19" t="inlineStr">
        <is>
          <t>QL-003-1</t>
        </is>
      </c>
      <c r="B20" s="36" t="n">
        <v>45660</v>
      </c>
      <c r="C20" s="37" t="inlineStr">
        <is>
          <t>进港</t>
        </is>
      </c>
      <c r="D20" s="19" t="inlineStr">
        <is>
          <t>集装箱货物</t>
        </is>
      </c>
      <c r="E20" s="19" t="inlineStr">
        <is>
          <t>东南亚</t>
        </is>
      </c>
      <c r="F20" s="19" t="inlineStr">
        <is>
          <t>01号泊位</t>
        </is>
      </c>
      <c r="G20" s="20" t="n">
        <v>12959</v>
      </c>
      <c r="H20" s="38" t="n">
        <v>15.86</v>
      </c>
      <c r="I20" s="38" t="n">
        <v>1.38</v>
      </c>
      <c r="J20" s="38" t="n">
        <v>14.4</v>
      </c>
      <c r="K20" s="20" t="n">
        <v>859</v>
      </c>
      <c r="L20" s="26">
        <f>IF(H20&lt;=J20,1,0)</f>
        <v>0</v>
      </c>
    </row>
    <row r="21" ht="19" customHeight="1">
      <c r="A21" s="24" t="inlineStr">
        <is>
          <t>QL-003-2</t>
        </is>
      </c>
      <c r="B21" s="39" t="n">
        <v>45660</v>
      </c>
      <c r="C21" s="40" t="inlineStr">
        <is>
          <t>出港</t>
        </is>
      </c>
      <c r="D21" s="24" t="inlineStr">
        <is>
          <t>金属矿石</t>
        </is>
      </c>
      <c r="E21" s="24" t="inlineStr">
        <is>
          <t>国内沿海</t>
        </is>
      </c>
      <c r="F21" s="24" t="inlineStr">
        <is>
          <t>02号泊位</t>
        </is>
      </c>
      <c r="G21" s="25" t="n">
        <v>17066</v>
      </c>
      <c r="H21" s="41" t="n">
        <v>11.1</v>
      </c>
      <c r="I21" s="41" t="n">
        <v>2.48</v>
      </c>
      <c r="J21" s="41" t="n">
        <v>11.01</v>
      </c>
      <c r="K21" s="25" t="n">
        <v>0</v>
      </c>
      <c r="L21" s="26">
        <f>IF(H21&lt;=J21,1,0)</f>
        <v>0</v>
      </c>
    </row>
    <row r="22" ht="19" customHeight="1">
      <c r="A22" s="19" t="inlineStr">
        <is>
          <t>QL-003-3</t>
        </is>
      </c>
      <c r="B22" s="36" t="n">
        <v>45660</v>
      </c>
      <c r="C22" s="37" t="inlineStr">
        <is>
          <t>进港</t>
        </is>
      </c>
      <c r="D22" s="19" t="inlineStr">
        <is>
          <t>煤炭</t>
        </is>
      </c>
      <c r="E22" s="19" t="inlineStr">
        <is>
          <t>东南亚</t>
        </is>
      </c>
      <c r="F22" s="19" t="inlineStr">
        <is>
          <t>03号泊位</t>
        </is>
      </c>
      <c r="G22" s="20" t="n">
        <v>18089</v>
      </c>
      <c r="H22" s="38" t="n">
        <v>11.36</v>
      </c>
      <c r="I22" s="38" t="n">
        <v>2.18</v>
      </c>
      <c r="J22" s="38" t="n">
        <v>13.7</v>
      </c>
      <c r="K22" s="20" t="n">
        <v>0</v>
      </c>
      <c r="L22" s="26">
        <f>IF(H22&lt;=J22,1,0)</f>
        <v>1</v>
      </c>
    </row>
    <row r="23" ht="19" customHeight="1">
      <c r="A23" s="24" t="inlineStr">
        <is>
          <t>QL-003-4</t>
        </is>
      </c>
      <c r="B23" s="39" t="n">
        <v>45660</v>
      </c>
      <c r="C23" s="40" t="inlineStr">
        <is>
          <t>进港</t>
        </is>
      </c>
      <c r="D23" s="24" t="inlineStr">
        <is>
          <t>粮食</t>
        </is>
      </c>
      <c r="E23" s="24" t="inlineStr">
        <is>
          <t>国内沿海</t>
        </is>
      </c>
      <c r="F23" s="24" t="inlineStr">
        <is>
          <t>04号泊位</t>
        </is>
      </c>
      <c r="G23" s="25" t="n">
        <v>8025</v>
      </c>
      <c r="H23" s="41" t="n">
        <v>6.74</v>
      </c>
      <c r="I23" s="41" t="n">
        <v>0.3</v>
      </c>
      <c r="J23" s="41" t="n">
        <v>7.87</v>
      </c>
      <c r="K23" s="25" t="n">
        <v>0</v>
      </c>
      <c r="L23" s="26">
        <f>IF(H23&lt;=J23,1,0)</f>
        <v>1</v>
      </c>
    </row>
    <row r="24" ht="19" customHeight="1">
      <c r="A24" s="19" t="inlineStr">
        <is>
          <t>QL-003-5</t>
        </is>
      </c>
      <c r="B24" s="36" t="n">
        <v>45660</v>
      </c>
      <c r="C24" s="37" t="inlineStr">
        <is>
          <t>出港</t>
        </is>
      </c>
      <c r="D24" s="19" t="inlineStr">
        <is>
          <t>液体散货</t>
        </is>
      </c>
      <c r="E24" s="19" t="inlineStr">
        <is>
          <t>北美</t>
        </is>
      </c>
      <c r="F24" s="19" t="inlineStr">
        <is>
          <t>05号泊位</t>
        </is>
      </c>
      <c r="G24" s="20" t="n">
        <v>12409</v>
      </c>
      <c r="H24" s="38" t="n">
        <v>8.67</v>
      </c>
      <c r="I24" s="38" t="n">
        <v>0.74</v>
      </c>
      <c r="J24" s="38" t="n">
        <v>8.619999999999999</v>
      </c>
      <c r="K24" s="20" t="n">
        <v>0</v>
      </c>
      <c r="L24" s="26">
        <f>IF(H24&lt;=J24,1,0)</f>
        <v>0</v>
      </c>
    </row>
    <row r="25" ht="19" customHeight="1">
      <c r="A25" s="24" t="inlineStr">
        <is>
          <t>QL-003-6</t>
        </is>
      </c>
      <c r="B25" s="39" t="n">
        <v>45660</v>
      </c>
      <c r="C25" s="40" t="inlineStr">
        <is>
          <t>出港</t>
        </is>
      </c>
      <c r="D25" s="24" t="inlineStr">
        <is>
          <t>件杂货</t>
        </is>
      </c>
      <c r="E25" s="24" t="inlineStr">
        <is>
          <t>东南亚</t>
        </is>
      </c>
      <c r="F25" s="24" t="inlineStr">
        <is>
          <t>06号泊位</t>
        </is>
      </c>
      <c r="G25" s="25" t="n">
        <v>3013</v>
      </c>
      <c r="H25" s="41" t="n">
        <v>5.71</v>
      </c>
      <c r="I25" s="41" t="n">
        <v>1.52</v>
      </c>
      <c r="J25" s="41" t="n">
        <v>4.94</v>
      </c>
      <c r="K25" s="25" t="n">
        <v>0</v>
      </c>
      <c r="L25" s="26">
        <f>IF(H25&lt;=J25,1,0)</f>
        <v>0</v>
      </c>
    </row>
    <row r="26" ht="19" customHeight="1">
      <c r="A26" s="19" t="inlineStr">
        <is>
          <t>QL-004-1</t>
        </is>
      </c>
      <c r="B26" s="36" t="n">
        <v>45661</v>
      </c>
      <c r="C26" s="37" t="inlineStr">
        <is>
          <t>出港</t>
        </is>
      </c>
      <c r="D26" s="19" t="inlineStr">
        <is>
          <t>集装箱货物</t>
        </is>
      </c>
      <c r="E26" s="19" t="inlineStr">
        <is>
          <t>北美</t>
        </is>
      </c>
      <c r="F26" s="19" t="inlineStr">
        <is>
          <t>01号泊位</t>
        </is>
      </c>
      <c r="G26" s="20" t="n">
        <v>11019</v>
      </c>
      <c r="H26" s="38" t="n">
        <v>12.19</v>
      </c>
      <c r="I26" s="38" t="n">
        <v>4.36</v>
      </c>
      <c r="J26" s="38" t="n">
        <v>12.24</v>
      </c>
      <c r="K26" s="20" t="n">
        <v>846</v>
      </c>
      <c r="L26" s="26">
        <f>IF(H26&lt;=J26,1,0)</f>
        <v>1</v>
      </c>
    </row>
    <row r="27" ht="19" customHeight="1">
      <c r="A27" s="24" t="inlineStr">
        <is>
          <t>QL-004-2</t>
        </is>
      </c>
      <c r="B27" s="39" t="n">
        <v>45661</v>
      </c>
      <c r="C27" s="40" t="inlineStr">
        <is>
          <t>进港</t>
        </is>
      </c>
      <c r="D27" s="24" t="inlineStr">
        <is>
          <t>金属矿石</t>
        </is>
      </c>
      <c r="E27" s="24" t="inlineStr">
        <is>
          <t>东亚</t>
        </is>
      </c>
      <c r="F27" s="24" t="inlineStr">
        <is>
          <t>02号泊位</t>
        </is>
      </c>
      <c r="G27" s="25" t="n">
        <v>21029</v>
      </c>
      <c r="H27" s="41" t="n">
        <v>13.64</v>
      </c>
      <c r="I27" s="41" t="n">
        <v>3.91</v>
      </c>
      <c r="J27" s="41" t="n">
        <v>13.57</v>
      </c>
      <c r="K27" s="25" t="n">
        <v>0</v>
      </c>
      <c r="L27" s="26">
        <f>IF(H27&lt;=J27,1,0)</f>
        <v>0</v>
      </c>
    </row>
    <row r="28" ht="19" customHeight="1">
      <c r="A28" s="19" t="inlineStr">
        <is>
          <t>QL-004-3</t>
        </is>
      </c>
      <c r="B28" s="36" t="n">
        <v>45661</v>
      </c>
      <c r="C28" s="37" t="inlineStr">
        <is>
          <t>进港</t>
        </is>
      </c>
      <c r="D28" s="19" t="inlineStr">
        <is>
          <t>煤炭</t>
        </is>
      </c>
      <c r="E28" s="19" t="inlineStr">
        <is>
          <t>东亚</t>
        </is>
      </c>
      <c r="F28" s="19" t="inlineStr">
        <is>
          <t>03号泊位</t>
        </is>
      </c>
      <c r="G28" s="20" t="n">
        <v>10810</v>
      </c>
      <c r="H28" s="38" t="n">
        <v>9.18</v>
      </c>
      <c r="I28" s="38" t="n">
        <v>2.8</v>
      </c>
      <c r="J28" s="38" t="n">
        <v>8.19</v>
      </c>
      <c r="K28" s="20" t="n">
        <v>0</v>
      </c>
      <c r="L28" s="26">
        <f>IF(H28&lt;=J28,1,0)</f>
        <v>0</v>
      </c>
    </row>
    <row r="29" ht="19" customHeight="1">
      <c r="A29" s="24" t="inlineStr">
        <is>
          <t>QL-004-4</t>
        </is>
      </c>
      <c r="B29" s="39" t="n">
        <v>45661</v>
      </c>
      <c r="C29" s="40" t="inlineStr">
        <is>
          <t>进港</t>
        </is>
      </c>
      <c r="D29" s="24" t="inlineStr">
        <is>
          <t>粮食</t>
        </is>
      </c>
      <c r="E29" s="24" t="inlineStr">
        <is>
          <t>东亚</t>
        </is>
      </c>
      <c r="F29" s="24" t="inlineStr">
        <is>
          <t>04号泊位</t>
        </is>
      </c>
      <c r="G29" s="25" t="n">
        <v>7708</v>
      </c>
      <c r="H29" s="41" t="n">
        <v>8.43</v>
      </c>
      <c r="I29" s="41" t="n">
        <v>2.29</v>
      </c>
      <c r="J29" s="41" t="n">
        <v>7.56</v>
      </c>
      <c r="K29" s="25" t="n">
        <v>0</v>
      </c>
      <c r="L29" s="26">
        <f>IF(H29&lt;=J29,1,0)</f>
        <v>0</v>
      </c>
    </row>
    <row r="30" ht="19" customHeight="1">
      <c r="A30" s="19" t="inlineStr">
        <is>
          <t>QL-004-5</t>
        </is>
      </c>
      <c r="B30" s="36" t="n">
        <v>45661</v>
      </c>
      <c r="C30" s="37" t="inlineStr">
        <is>
          <t>出港</t>
        </is>
      </c>
      <c r="D30" s="19" t="inlineStr">
        <is>
          <t>液体散货</t>
        </is>
      </c>
      <c r="E30" s="19" t="inlineStr">
        <is>
          <t>东亚</t>
        </is>
      </c>
      <c r="F30" s="19" t="inlineStr">
        <is>
          <t>05号泊位</t>
        </is>
      </c>
      <c r="G30" s="20" t="n">
        <v>15605</v>
      </c>
      <c r="H30" s="38" t="n">
        <v>10.77</v>
      </c>
      <c r="I30" s="38" t="n">
        <v>0.61</v>
      </c>
      <c r="J30" s="38" t="n">
        <v>10.84</v>
      </c>
      <c r="K30" s="20" t="n">
        <v>0</v>
      </c>
      <c r="L30" s="26">
        <f>IF(H30&lt;=J30,1,0)</f>
        <v>1</v>
      </c>
    </row>
    <row r="31" ht="19" customHeight="1">
      <c r="A31" s="24" t="inlineStr">
        <is>
          <t>QL-004-6</t>
        </is>
      </c>
      <c r="B31" s="39" t="n">
        <v>45661</v>
      </c>
      <c r="C31" s="40" t="inlineStr">
        <is>
          <t>进港</t>
        </is>
      </c>
      <c r="D31" s="24" t="inlineStr">
        <is>
          <t>件杂货</t>
        </is>
      </c>
      <c r="E31" s="24" t="inlineStr">
        <is>
          <t>国内沿海</t>
        </is>
      </c>
      <c r="F31" s="24" t="inlineStr">
        <is>
          <t>06号泊位</t>
        </is>
      </c>
      <c r="G31" s="25" t="n">
        <v>6894</v>
      </c>
      <c r="H31" s="41" t="n">
        <v>10.74</v>
      </c>
      <c r="I31" s="41" t="n">
        <v>2.54</v>
      </c>
      <c r="J31" s="41" t="n">
        <v>11.3</v>
      </c>
      <c r="K31" s="25" t="n">
        <v>0</v>
      </c>
      <c r="L31" s="26">
        <f>IF(H31&lt;=J31,1,0)</f>
        <v>1</v>
      </c>
    </row>
    <row r="32" ht="19" customHeight="1">
      <c r="A32" s="19" t="inlineStr">
        <is>
          <t>QL-005-1</t>
        </is>
      </c>
      <c r="B32" s="36" t="n">
        <v>45662</v>
      </c>
      <c r="C32" s="37" t="inlineStr">
        <is>
          <t>出港</t>
        </is>
      </c>
      <c r="D32" s="19" t="inlineStr">
        <is>
          <t>集装箱货物</t>
        </is>
      </c>
      <c r="E32" s="19" t="inlineStr">
        <is>
          <t>北美</t>
        </is>
      </c>
      <c r="F32" s="19" t="inlineStr">
        <is>
          <t>01号泊位</t>
        </is>
      </c>
      <c r="G32" s="20" t="n">
        <v>5211</v>
      </c>
      <c r="H32" s="38" t="n">
        <v>5.53</v>
      </c>
      <c r="I32" s="38" t="n">
        <v>1</v>
      </c>
      <c r="J32" s="38" t="n">
        <v>5.79</v>
      </c>
      <c r="K32" s="20" t="n">
        <v>330</v>
      </c>
      <c r="L32" s="26">
        <f>IF(H32&lt;=J32,1,0)</f>
        <v>1</v>
      </c>
    </row>
    <row r="33" ht="19" customHeight="1">
      <c r="A33" s="24" t="inlineStr">
        <is>
          <t>QL-005-2</t>
        </is>
      </c>
      <c r="B33" s="39" t="n">
        <v>45662</v>
      </c>
      <c r="C33" s="40" t="inlineStr">
        <is>
          <t>进港</t>
        </is>
      </c>
      <c r="D33" s="24" t="inlineStr">
        <is>
          <t>金属矿石</t>
        </is>
      </c>
      <c r="E33" s="24" t="inlineStr">
        <is>
          <t>北美</t>
        </is>
      </c>
      <c r="F33" s="24" t="inlineStr">
        <is>
          <t>02号泊位</t>
        </is>
      </c>
      <c r="G33" s="25" t="n">
        <v>17374</v>
      </c>
      <c r="H33" s="41" t="n">
        <v>12.03</v>
      </c>
      <c r="I33" s="41" t="n">
        <v>3.9</v>
      </c>
      <c r="J33" s="41" t="n">
        <v>11.21</v>
      </c>
      <c r="K33" s="25" t="n">
        <v>0</v>
      </c>
      <c r="L33" s="26">
        <f>IF(H33&lt;=J33,1,0)</f>
        <v>0</v>
      </c>
    </row>
    <row r="34" ht="19" customHeight="1">
      <c r="A34" s="19" t="inlineStr">
        <is>
          <t>QL-005-3</t>
        </is>
      </c>
      <c r="B34" s="36" t="n">
        <v>45662</v>
      </c>
      <c r="C34" s="37" t="inlineStr">
        <is>
          <t>进港</t>
        </is>
      </c>
      <c r="D34" s="19" t="inlineStr">
        <is>
          <t>煤炭</t>
        </is>
      </c>
      <c r="E34" s="19" t="inlineStr">
        <is>
          <t>北美</t>
        </is>
      </c>
      <c r="F34" s="19" t="inlineStr">
        <is>
          <t>03号泊位</t>
        </is>
      </c>
      <c r="G34" s="20" t="n">
        <v>15806</v>
      </c>
      <c r="H34" s="38" t="n">
        <v>11.99</v>
      </c>
      <c r="I34" s="38" t="n">
        <v>1.18</v>
      </c>
      <c r="J34" s="38" t="n">
        <v>11.97</v>
      </c>
      <c r="K34" s="20" t="n">
        <v>0</v>
      </c>
      <c r="L34" s="26">
        <f>IF(H34&lt;=J34,1,0)</f>
        <v>0</v>
      </c>
    </row>
    <row r="35" ht="19" customHeight="1">
      <c r="A35" s="24" t="inlineStr">
        <is>
          <t>QL-005-4</t>
        </is>
      </c>
      <c r="B35" s="39" t="n">
        <v>45662</v>
      </c>
      <c r="C35" s="40" t="inlineStr">
        <is>
          <t>进港</t>
        </is>
      </c>
      <c r="D35" s="24" t="inlineStr">
        <is>
          <t>粮食</t>
        </is>
      </c>
      <c r="E35" s="24" t="inlineStr">
        <is>
          <t>国内沿海</t>
        </is>
      </c>
      <c r="F35" s="24" t="inlineStr">
        <is>
          <t>04号泊位</t>
        </is>
      </c>
      <c r="G35" s="25" t="n">
        <v>7517</v>
      </c>
      <c r="H35" s="41" t="n">
        <v>6.94</v>
      </c>
      <c r="I35" s="41" t="n">
        <v>1.43</v>
      </c>
      <c r="J35" s="41" t="n">
        <v>7.37</v>
      </c>
      <c r="K35" s="25" t="n">
        <v>0</v>
      </c>
      <c r="L35" s="26">
        <f>IF(H35&lt;=J35,1,0)</f>
        <v>1</v>
      </c>
    </row>
    <row r="36" ht="19" customHeight="1">
      <c r="A36" s="19" t="inlineStr">
        <is>
          <t>QL-005-5</t>
        </is>
      </c>
      <c r="B36" s="36" t="n">
        <v>45662</v>
      </c>
      <c r="C36" s="37" t="inlineStr">
        <is>
          <t>出港</t>
        </is>
      </c>
      <c r="D36" s="19" t="inlineStr">
        <is>
          <t>液体散货</t>
        </is>
      </c>
      <c r="E36" s="19" t="inlineStr">
        <is>
          <t>北美</t>
        </is>
      </c>
      <c r="F36" s="19" t="inlineStr">
        <is>
          <t>05号泊位</t>
        </is>
      </c>
      <c r="G36" s="20" t="n">
        <v>14874</v>
      </c>
      <c r="H36" s="38" t="n">
        <v>9.199999999999999</v>
      </c>
      <c r="I36" s="38" t="n">
        <v>1.48</v>
      </c>
      <c r="J36" s="38" t="n">
        <v>10.33</v>
      </c>
      <c r="K36" s="20" t="n">
        <v>0</v>
      </c>
      <c r="L36" s="26">
        <f>IF(H36&lt;=J36,1,0)</f>
        <v>1</v>
      </c>
    </row>
    <row r="37" ht="19" customHeight="1">
      <c r="A37" s="24" t="inlineStr">
        <is>
          <t>QL-005-6</t>
        </is>
      </c>
      <c r="B37" s="39" t="n">
        <v>45662</v>
      </c>
      <c r="C37" s="40" t="inlineStr">
        <is>
          <t>出港</t>
        </is>
      </c>
      <c r="D37" s="24" t="inlineStr">
        <is>
          <t>件杂货</t>
        </is>
      </c>
      <c r="E37" s="24" t="inlineStr">
        <is>
          <t>东南亚</t>
        </is>
      </c>
      <c r="F37" s="24" t="inlineStr">
        <is>
          <t>06号泊位</t>
        </is>
      </c>
      <c r="G37" s="25" t="n">
        <v>5545</v>
      </c>
      <c r="H37" s="41" t="n">
        <v>10.19</v>
      </c>
      <c r="I37" s="41" t="n">
        <v>1.2</v>
      </c>
      <c r="J37" s="41" t="n">
        <v>9.09</v>
      </c>
      <c r="K37" s="25" t="n">
        <v>0</v>
      </c>
      <c r="L37" s="26">
        <f>IF(H37&lt;=J37,1,0)</f>
        <v>0</v>
      </c>
    </row>
    <row r="38" ht="19" customHeight="1">
      <c r="A38" s="19" t="inlineStr">
        <is>
          <t>QL-006-1</t>
        </is>
      </c>
      <c r="B38" s="36" t="n">
        <v>45663</v>
      </c>
      <c r="C38" s="37" t="inlineStr">
        <is>
          <t>出港</t>
        </is>
      </c>
      <c r="D38" s="19" t="inlineStr">
        <is>
          <t>集装箱货物</t>
        </is>
      </c>
      <c r="E38" s="19" t="inlineStr">
        <is>
          <t>国内沿海</t>
        </is>
      </c>
      <c r="F38" s="19" t="inlineStr">
        <is>
          <t>01号泊位</t>
        </is>
      </c>
      <c r="G38" s="20" t="n">
        <v>6278</v>
      </c>
      <c r="H38" s="38" t="n">
        <v>7.1</v>
      </c>
      <c r="I38" s="38" t="n">
        <v>1.08</v>
      </c>
      <c r="J38" s="38" t="n">
        <v>6.98</v>
      </c>
      <c r="K38" s="20" t="n">
        <v>373</v>
      </c>
      <c r="L38" s="26">
        <f>IF(H38&lt;=J38,1,0)</f>
        <v>0</v>
      </c>
    </row>
    <row r="39" ht="19" customHeight="1">
      <c r="A39" s="24" t="inlineStr">
        <is>
          <t>QL-006-2</t>
        </is>
      </c>
      <c r="B39" s="39" t="n">
        <v>45663</v>
      </c>
      <c r="C39" s="40" t="inlineStr">
        <is>
          <t>进港</t>
        </is>
      </c>
      <c r="D39" s="24" t="inlineStr">
        <is>
          <t>金属矿石</t>
        </is>
      </c>
      <c r="E39" s="24" t="inlineStr">
        <is>
          <t>东南亚</t>
        </is>
      </c>
      <c r="F39" s="24" t="inlineStr">
        <is>
          <t>02号泊位</t>
        </is>
      </c>
      <c r="G39" s="25" t="n">
        <v>11565</v>
      </c>
      <c r="H39" s="41" t="n">
        <v>7.2</v>
      </c>
      <c r="I39" s="41" t="n">
        <v>3.06</v>
      </c>
      <c r="J39" s="41" t="n">
        <v>7.46</v>
      </c>
      <c r="K39" s="25" t="n">
        <v>0</v>
      </c>
      <c r="L39" s="26">
        <f>IF(H39&lt;=J39,1,0)</f>
        <v>1</v>
      </c>
    </row>
    <row r="40" ht="19" customHeight="1">
      <c r="A40" s="19" t="inlineStr">
        <is>
          <t>QL-006-3</t>
        </is>
      </c>
      <c r="B40" s="36" t="n">
        <v>45663</v>
      </c>
      <c r="C40" s="37" t="inlineStr">
        <is>
          <t>出港</t>
        </is>
      </c>
      <c r="D40" s="19" t="inlineStr">
        <is>
          <t>煤炭</t>
        </is>
      </c>
      <c r="E40" s="19" t="inlineStr">
        <is>
          <t>国内沿海</t>
        </is>
      </c>
      <c r="F40" s="19" t="inlineStr">
        <is>
          <t>03号泊位</t>
        </is>
      </c>
      <c r="G40" s="20" t="n">
        <v>25506</v>
      </c>
      <c r="H40" s="38" t="n">
        <v>20.33</v>
      </c>
      <c r="I40" s="38" t="n">
        <v>3.29</v>
      </c>
      <c r="J40" s="38" t="n">
        <v>19.32</v>
      </c>
      <c r="K40" s="20" t="n">
        <v>0</v>
      </c>
      <c r="L40" s="26">
        <f>IF(H40&lt;=J40,1,0)</f>
        <v>0</v>
      </c>
    </row>
    <row r="41" ht="19" customHeight="1">
      <c r="A41" s="24" t="inlineStr">
        <is>
          <t>QL-006-4</t>
        </is>
      </c>
      <c r="B41" s="39" t="n">
        <v>45663</v>
      </c>
      <c r="C41" s="40" t="inlineStr">
        <is>
          <t>进港</t>
        </is>
      </c>
      <c r="D41" s="24" t="inlineStr">
        <is>
          <t>粮食</t>
        </is>
      </c>
      <c r="E41" s="24" t="inlineStr">
        <is>
          <t>东亚</t>
        </is>
      </c>
      <c r="F41" s="24" t="inlineStr">
        <is>
          <t>04号泊位</t>
        </is>
      </c>
      <c r="G41" s="25" t="n">
        <v>10170</v>
      </c>
      <c r="H41" s="41" t="n">
        <v>9.289999999999999</v>
      </c>
      <c r="I41" s="41" t="n">
        <v>4.5</v>
      </c>
      <c r="J41" s="41" t="n">
        <v>9.970000000000001</v>
      </c>
      <c r="K41" s="25" t="n">
        <v>0</v>
      </c>
      <c r="L41" s="26">
        <f>IF(H41&lt;=J41,1,0)</f>
        <v>1</v>
      </c>
    </row>
    <row r="42" ht="19" customHeight="1">
      <c r="A42" s="19" t="inlineStr">
        <is>
          <t>QL-006-5</t>
        </is>
      </c>
      <c r="B42" s="36" t="n">
        <v>45663</v>
      </c>
      <c r="C42" s="37" t="inlineStr">
        <is>
          <t>出港</t>
        </is>
      </c>
      <c r="D42" s="19" t="inlineStr">
        <is>
          <t>液体散货</t>
        </is>
      </c>
      <c r="E42" s="19" t="inlineStr">
        <is>
          <t>欧洲</t>
        </is>
      </c>
      <c r="F42" s="19" t="inlineStr">
        <is>
          <t>05号泊位</t>
        </is>
      </c>
      <c r="G42" s="20" t="n">
        <v>12262</v>
      </c>
      <c r="H42" s="38" t="n">
        <v>6.95</v>
      </c>
      <c r="I42" s="38" t="n">
        <v>7.24</v>
      </c>
      <c r="J42" s="38" t="n">
        <v>8.52</v>
      </c>
      <c r="K42" s="20" t="n">
        <v>0</v>
      </c>
      <c r="L42" s="26">
        <f>IF(H42&lt;=J42,1,0)</f>
        <v>1</v>
      </c>
    </row>
    <row r="43" ht="19" customHeight="1">
      <c r="A43" s="24" t="inlineStr">
        <is>
          <t>QL-006-6</t>
        </is>
      </c>
      <c r="B43" s="39" t="n">
        <v>45663</v>
      </c>
      <c r="C43" s="40" t="inlineStr">
        <is>
          <t>出港</t>
        </is>
      </c>
      <c r="D43" s="24" t="inlineStr">
        <is>
          <t>件杂货</t>
        </is>
      </c>
      <c r="E43" s="24" t="inlineStr">
        <is>
          <t>国内沿海</t>
        </is>
      </c>
      <c r="F43" s="24" t="inlineStr">
        <is>
          <t>06号泊位</t>
        </is>
      </c>
      <c r="G43" s="25" t="n">
        <v>4134</v>
      </c>
      <c r="H43" s="41" t="n">
        <v>6.53</v>
      </c>
      <c r="I43" s="41" t="n">
        <v>0.73</v>
      </c>
      <c r="J43" s="41" t="n">
        <v>6.78</v>
      </c>
      <c r="K43" s="25" t="n">
        <v>0</v>
      </c>
      <c r="L43" s="26">
        <f>IF(H43&lt;=J43,1,0)</f>
        <v>1</v>
      </c>
    </row>
    <row r="44" ht="19" customHeight="1">
      <c r="A44" s="19" t="inlineStr">
        <is>
          <t>QL-007-1</t>
        </is>
      </c>
      <c r="B44" s="36" t="n">
        <v>45664</v>
      </c>
      <c r="C44" s="37" t="inlineStr">
        <is>
          <t>进港</t>
        </is>
      </c>
      <c r="D44" s="19" t="inlineStr">
        <is>
          <t>集装箱货物</t>
        </is>
      </c>
      <c r="E44" s="19" t="inlineStr">
        <is>
          <t>国内沿海</t>
        </is>
      </c>
      <c r="F44" s="19" t="inlineStr">
        <is>
          <t>01号泊位</t>
        </is>
      </c>
      <c r="G44" s="20" t="n">
        <v>7056</v>
      </c>
      <c r="H44" s="38" t="n">
        <v>8.220000000000001</v>
      </c>
      <c r="I44" s="38" t="n">
        <v>1.87</v>
      </c>
      <c r="J44" s="38" t="n">
        <v>7.84</v>
      </c>
      <c r="K44" s="20" t="n">
        <v>484</v>
      </c>
      <c r="L44" s="26">
        <f>IF(H44&lt;=J44,1,0)</f>
        <v>0</v>
      </c>
    </row>
    <row r="45" ht="19" customHeight="1">
      <c r="A45" s="24" t="inlineStr">
        <is>
          <t>QL-007-2</t>
        </is>
      </c>
      <c r="B45" s="39" t="n">
        <v>45664</v>
      </c>
      <c r="C45" s="40" t="inlineStr">
        <is>
          <t>出港</t>
        </is>
      </c>
      <c r="D45" s="24" t="inlineStr">
        <is>
          <t>金属矿石</t>
        </is>
      </c>
      <c r="E45" s="24" t="inlineStr">
        <is>
          <t>欧洲</t>
        </is>
      </c>
      <c r="F45" s="24" t="inlineStr">
        <is>
          <t>02号泊位</t>
        </is>
      </c>
      <c r="G45" s="25" t="n">
        <v>11493</v>
      </c>
      <c r="H45" s="41" t="n">
        <v>6.6</v>
      </c>
      <c r="I45" s="41" t="n">
        <v>1.12</v>
      </c>
      <c r="J45" s="41" t="n">
        <v>7.41</v>
      </c>
      <c r="K45" s="25" t="n">
        <v>0</v>
      </c>
      <c r="L45" s="26">
        <f>IF(H45&lt;=J45,1,0)</f>
        <v>1</v>
      </c>
    </row>
    <row r="46" ht="19" customHeight="1">
      <c r="A46" s="19" t="inlineStr">
        <is>
          <t>QL-007-3</t>
        </is>
      </c>
      <c r="B46" s="36" t="n">
        <v>45664</v>
      </c>
      <c r="C46" s="37" t="inlineStr">
        <is>
          <t>进港</t>
        </is>
      </c>
      <c r="D46" s="19" t="inlineStr">
        <is>
          <t>煤炭</t>
        </is>
      </c>
      <c r="E46" s="19" t="inlineStr">
        <is>
          <t>东亚</t>
        </is>
      </c>
      <c r="F46" s="19" t="inlineStr">
        <is>
          <t>03号泊位</t>
        </is>
      </c>
      <c r="G46" s="20" t="n">
        <v>14992</v>
      </c>
      <c r="H46" s="38" t="n">
        <v>12.62</v>
      </c>
      <c r="I46" s="38" t="n">
        <v>2.75</v>
      </c>
      <c r="J46" s="38" t="n">
        <v>11.36</v>
      </c>
      <c r="K46" s="20" t="n">
        <v>0</v>
      </c>
      <c r="L46" s="26">
        <f>IF(H46&lt;=J46,1,0)</f>
        <v>0</v>
      </c>
    </row>
    <row r="47">
      <c r="A47" s="24" t="inlineStr">
        <is>
          <t>QL-007-4</t>
        </is>
      </c>
      <c r="B47" s="39" t="n">
        <v>45664</v>
      </c>
      <c r="C47" s="40" t="inlineStr">
        <is>
          <t>进港</t>
        </is>
      </c>
      <c r="D47" s="24" t="inlineStr">
        <is>
          <t>粮食</t>
        </is>
      </c>
      <c r="E47" s="24" t="inlineStr">
        <is>
          <t>东南亚</t>
        </is>
      </c>
      <c r="F47" s="24" t="inlineStr">
        <is>
          <t>04号泊位</t>
        </is>
      </c>
      <c r="G47" s="25" t="n">
        <v>8362</v>
      </c>
      <c r="H47" s="41" t="n">
        <v>7.51</v>
      </c>
      <c r="I47" s="41" t="n">
        <v>2.65</v>
      </c>
      <c r="J47" s="41" t="n">
        <v>8.199999999999999</v>
      </c>
      <c r="K47" s="25" t="n">
        <v>0</v>
      </c>
      <c r="L47" s="26">
        <f>IF(H47&lt;=J47,1,0)</f>
        <v>1</v>
      </c>
    </row>
    <row r="48">
      <c r="A48" s="19" t="inlineStr">
        <is>
          <t>QL-007-5</t>
        </is>
      </c>
      <c r="B48" s="36" t="n">
        <v>45664</v>
      </c>
      <c r="C48" s="37" t="inlineStr">
        <is>
          <t>进港</t>
        </is>
      </c>
      <c r="D48" s="19" t="inlineStr">
        <is>
          <t>液体散货</t>
        </is>
      </c>
      <c r="E48" s="19" t="inlineStr">
        <is>
          <t>东亚</t>
        </is>
      </c>
      <c r="F48" s="19" t="inlineStr">
        <is>
          <t>05号泊位</t>
        </is>
      </c>
      <c r="G48" s="20" t="n">
        <v>10278</v>
      </c>
      <c r="H48" s="38" t="n">
        <v>8.09</v>
      </c>
      <c r="I48" s="38" t="n">
        <v>3.04</v>
      </c>
      <c r="J48" s="38" t="n">
        <v>7.14</v>
      </c>
      <c r="K48" s="20" t="n">
        <v>0</v>
      </c>
      <c r="L48" s="26">
        <f>IF(H48&lt;=J48,1,0)</f>
        <v>0</v>
      </c>
    </row>
    <row r="49">
      <c r="A49" s="24" t="inlineStr">
        <is>
          <t>QL-007-6</t>
        </is>
      </c>
      <c r="B49" s="39" t="n">
        <v>45664</v>
      </c>
      <c r="C49" s="40" t="inlineStr">
        <is>
          <t>进港</t>
        </is>
      </c>
      <c r="D49" s="24" t="inlineStr">
        <is>
          <t>件杂货</t>
        </is>
      </c>
      <c r="E49" s="24" t="inlineStr">
        <is>
          <t>东亚</t>
        </is>
      </c>
      <c r="F49" s="24" t="inlineStr">
        <is>
          <t>06号泊位</t>
        </is>
      </c>
      <c r="G49" s="25" t="n">
        <v>3127</v>
      </c>
      <c r="H49" s="41" t="n">
        <v>4.48</v>
      </c>
      <c r="I49" s="41" t="n">
        <v>1.51</v>
      </c>
      <c r="J49" s="41" t="n">
        <v>5.13</v>
      </c>
      <c r="K49" s="25" t="n">
        <v>0</v>
      </c>
      <c r="L49" s="26">
        <f>IF(H49&lt;=J49,1,0)</f>
        <v>1</v>
      </c>
    </row>
    <row r="50">
      <c r="A50" s="19" t="inlineStr">
        <is>
          <t>QL-008-1</t>
        </is>
      </c>
      <c r="B50" s="36" t="n">
        <v>45665</v>
      </c>
      <c r="C50" s="37" t="inlineStr">
        <is>
          <t>进港</t>
        </is>
      </c>
      <c r="D50" s="19" t="inlineStr">
        <is>
          <t>集装箱货物</t>
        </is>
      </c>
      <c r="E50" s="19" t="inlineStr">
        <is>
          <t>东亚</t>
        </is>
      </c>
      <c r="F50" s="19" t="inlineStr">
        <is>
          <t>01号泊位</t>
        </is>
      </c>
      <c r="G50" s="20" t="n">
        <v>7284</v>
      </c>
      <c r="H50" s="38" t="n">
        <v>7.53</v>
      </c>
      <c r="I50" s="38" t="n">
        <v>3.23</v>
      </c>
      <c r="J50" s="38" t="n">
        <v>8.09</v>
      </c>
      <c r="K50" s="20" t="n">
        <v>447</v>
      </c>
      <c r="L50" s="26">
        <f>IF(H50&lt;=J50,1,0)</f>
        <v>1</v>
      </c>
    </row>
    <row r="51">
      <c r="A51" s="24" t="inlineStr">
        <is>
          <t>QL-008-2</t>
        </is>
      </c>
      <c r="B51" s="39" t="n">
        <v>45665</v>
      </c>
      <c r="C51" s="40" t="inlineStr">
        <is>
          <t>进港</t>
        </is>
      </c>
      <c r="D51" s="24" t="inlineStr">
        <is>
          <t>金属矿石</t>
        </is>
      </c>
      <c r="E51" s="24" t="inlineStr">
        <is>
          <t>国内沿海</t>
        </is>
      </c>
      <c r="F51" s="24" t="inlineStr">
        <is>
          <t>02号泊位</t>
        </is>
      </c>
      <c r="G51" s="25" t="n">
        <v>9542</v>
      </c>
      <c r="H51" s="41" t="n">
        <v>5.72</v>
      </c>
      <c r="I51" s="41" t="n">
        <v>2.15</v>
      </c>
      <c r="J51" s="41" t="n">
        <v>6.16</v>
      </c>
      <c r="K51" s="25" t="n">
        <v>0</v>
      </c>
      <c r="L51" s="26">
        <f>IF(H51&lt;=J51,1,0)</f>
        <v>1</v>
      </c>
    </row>
    <row r="52">
      <c r="A52" s="19" t="inlineStr">
        <is>
          <t>QL-008-3</t>
        </is>
      </c>
      <c r="B52" s="36" t="n">
        <v>45665</v>
      </c>
      <c r="C52" s="37" t="inlineStr">
        <is>
          <t>进港</t>
        </is>
      </c>
      <c r="D52" s="19" t="inlineStr">
        <is>
          <t>煤炭</t>
        </is>
      </c>
      <c r="E52" s="19" t="inlineStr">
        <is>
          <t>东南亚</t>
        </is>
      </c>
      <c r="F52" s="19" t="inlineStr">
        <is>
          <t>03号泊位</t>
        </is>
      </c>
      <c r="G52" s="20" t="n">
        <v>15674</v>
      </c>
      <c r="H52" s="38" t="n">
        <v>11.01</v>
      </c>
      <c r="I52" s="38" t="n">
        <v>1.16</v>
      </c>
      <c r="J52" s="38" t="n">
        <v>11.87</v>
      </c>
      <c r="K52" s="20" t="n">
        <v>0</v>
      </c>
      <c r="L52" s="26">
        <f>IF(H52&lt;=J52,1,0)</f>
        <v>1</v>
      </c>
    </row>
    <row r="53">
      <c r="A53" s="24" t="inlineStr">
        <is>
          <t>QL-008-4</t>
        </is>
      </c>
      <c r="B53" s="39" t="n">
        <v>45665</v>
      </c>
      <c r="C53" s="40" t="inlineStr">
        <is>
          <t>进港</t>
        </is>
      </c>
      <c r="D53" s="24" t="inlineStr">
        <is>
          <t>粮食</t>
        </is>
      </c>
      <c r="E53" s="24" t="inlineStr">
        <is>
          <t>东南亚</t>
        </is>
      </c>
      <c r="F53" s="24" t="inlineStr">
        <is>
          <t>04号泊位</t>
        </is>
      </c>
      <c r="G53" s="25" t="n">
        <v>6121</v>
      </c>
      <c r="H53" s="41" t="n">
        <v>5.24</v>
      </c>
      <c r="I53" s="41" t="n">
        <v>1.32</v>
      </c>
      <c r="J53" s="41" t="n">
        <v>6</v>
      </c>
      <c r="K53" s="25" t="n">
        <v>0</v>
      </c>
      <c r="L53" s="26">
        <f>IF(H53&lt;=J53,1,0)</f>
        <v>1</v>
      </c>
    </row>
    <row r="54">
      <c r="A54" s="19" t="inlineStr">
        <is>
          <t>QL-008-5</t>
        </is>
      </c>
      <c r="B54" s="36" t="n">
        <v>45665</v>
      </c>
      <c r="C54" s="37" t="inlineStr">
        <is>
          <t>进港</t>
        </is>
      </c>
      <c r="D54" s="19" t="inlineStr">
        <is>
          <t>液体散货</t>
        </is>
      </c>
      <c r="E54" s="19" t="inlineStr">
        <is>
          <t>国内沿海</t>
        </is>
      </c>
      <c r="F54" s="19" t="inlineStr">
        <is>
          <t>05号泊位</t>
        </is>
      </c>
      <c r="G54" s="20" t="n">
        <v>8113</v>
      </c>
      <c r="H54" s="38" t="n">
        <v>5.69</v>
      </c>
      <c r="I54" s="38" t="n">
        <v>1.62</v>
      </c>
      <c r="J54" s="38" t="n">
        <v>5.63</v>
      </c>
      <c r="K54" s="20" t="n">
        <v>0</v>
      </c>
      <c r="L54" s="26">
        <f>IF(H54&lt;=J54,1,0)</f>
        <v>0</v>
      </c>
    </row>
    <row r="55">
      <c r="A55" s="24" t="inlineStr">
        <is>
          <t>QL-008-6</t>
        </is>
      </c>
      <c r="B55" s="39" t="n">
        <v>45665</v>
      </c>
      <c r="C55" s="40" t="inlineStr">
        <is>
          <t>出港</t>
        </is>
      </c>
      <c r="D55" s="24" t="inlineStr">
        <is>
          <t>件杂货</t>
        </is>
      </c>
      <c r="E55" s="24" t="inlineStr">
        <is>
          <t>东南亚</t>
        </is>
      </c>
      <c r="F55" s="24" t="inlineStr">
        <is>
          <t>06号泊位</t>
        </is>
      </c>
      <c r="G55" s="25" t="n">
        <v>4428</v>
      </c>
      <c r="H55" s="41" t="n">
        <v>7.34</v>
      </c>
      <c r="I55" s="41" t="n">
        <v>1.19</v>
      </c>
      <c r="J55" s="41" t="n">
        <v>7.26</v>
      </c>
      <c r="K55" s="25" t="n">
        <v>0</v>
      </c>
      <c r="L55" s="26">
        <f>IF(H55&lt;=J55,1,0)</f>
        <v>0</v>
      </c>
    </row>
    <row r="56">
      <c r="A56" s="19" t="inlineStr">
        <is>
          <t>QL-009-1</t>
        </is>
      </c>
      <c r="B56" s="36" t="n">
        <v>45666</v>
      </c>
      <c r="C56" s="37" t="inlineStr">
        <is>
          <t>进港</t>
        </is>
      </c>
      <c r="D56" s="19" t="inlineStr">
        <is>
          <t>集装箱货物</t>
        </is>
      </c>
      <c r="E56" s="19" t="inlineStr">
        <is>
          <t>欧洲</t>
        </is>
      </c>
      <c r="F56" s="19" t="inlineStr">
        <is>
          <t>01号泊位</t>
        </is>
      </c>
      <c r="G56" s="20" t="n">
        <v>4942</v>
      </c>
      <c r="H56" s="38" t="n">
        <v>5.26</v>
      </c>
      <c r="I56" s="38" t="n">
        <v>0.92</v>
      </c>
      <c r="J56" s="38" t="n">
        <v>5.49</v>
      </c>
      <c r="K56" s="20" t="n">
        <v>395</v>
      </c>
      <c r="L56" s="26">
        <f>IF(H56&lt;=J56,1,0)</f>
        <v>1</v>
      </c>
    </row>
    <row r="57">
      <c r="A57" s="24" t="inlineStr">
        <is>
          <t>QL-009-2</t>
        </is>
      </c>
      <c r="B57" s="39" t="n">
        <v>45666</v>
      </c>
      <c r="C57" s="40" t="inlineStr">
        <is>
          <t>进港</t>
        </is>
      </c>
      <c r="D57" s="24" t="inlineStr">
        <is>
          <t>金属矿石</t>
        </is>
      </c>
      <c r="E57" s="24" t="inlineStr">
        <is>
          <t>欧洲</t>
        </is>
      </c>
      <c r="F57" s="24" t="inlineStr">
        <is>
          <t>02号泊位</t>
        </is>
      </c>
      <c r="G57" s="25" t="n">
        <v>13662</v>
      </c>
      <c r="H57" s="41" t="n">
        <v>8.380000000000001</v>
      </c>
      <c r="I57" s="41" t="n">
        <v>0.3</v>
      </c>
      <c r="J57" s="41" t="n">
        <v>8.81</v>
      </c>
      <c r="K57" s="25" t="n">
        <v>0</v>
      </c>
      <c r="L57" s="26">
        <f>IF(H57&lt;=J57,1,0)</f>
        <v>1</v>
      </c>
    </row>
    <row r="58">
      <c r="A58" s="19" t="inlineStr">
        <is>
          <t>QL-009-3</t>
        </is>
      </c>
      <c r="B58" s="36" t="n">
        <v>45666</v>
      </c>
      <c r="C58" s="37" t="inlineStr">
        <is>
          <t>进港</t>
        </is>
      </c>
      <c r="D58" s="19" t="inlineStr">
        <is>
          <t>煤炭</t>
        </is>
      </c>
      <c r="E58" s="19" t="inlineStr">
        <is>
          <t>欧洲</t>
        </is>
      </c>
      <c r="F58" s="19" t="inlineStr">
        <is>
          <t>03号泊位</t>
        </is>
      </c>
      <c r="G58" s="20" t="n">
        <v>13239</v>
      </c>
      <c r="H58" s="38" t="n">
        <v>10.68</v>
      </c>
      <c r="I58" s="38" t="n">
        <v>3.76</v>
      </c>
      <c r="J58" s="38" t="n">
        <v>10.03</v>
      </c>
      <c r="K58" s="20" t="n">
        <v>0</v>
      </c>
      <c r="L58" s="26">
        <f>IF(H58&lt;=J58,1,0)</f>
        <v>0</v>
      </c>
    </row>
    <row r="59">
      <c r="A59" s="24" t="inlineStr">
        <is>
          <t>QL-009-4</t>
        </is>
      </c>
      <c r="B59" s="39" t="n">
        <v>45666</v>
      </c>
      <c r="C59" s="40" t="inlineStr">
        <is>
          <t>出港</t>
        </is>
      </c>
      <c r="D59" s="24" t="inlineStr">
        <is>
          <t>粮食</t>
        </is>
      </c>
      <c r="E59" s="24" t="inlineStr">
        <is>
          <t>东南亚</t>
        </is>
      </c>
      <c r="F59" s="24" t="inlineStr">
        <is>
          <t>04号泊位</t>
        </is>
      </c>
      <c r="G59" s="25" t="n">
        <v>11233</v>
      </c>
      <c r="H59" s="41" t="n">
        <v>11.64</v>
      </c>
      <c r="I59" s="41" t="n">
        <v>2.74</v>
      </c>
      <c r="J59" s="41" t="n">
        <v>11.01</v>
      </c>
      <c r="K59" s="25" t="n">
        <v>0</v>
      </c>
      <c r="L59" s="26">
        <f>IF(H59&lt;=J59,1,0)</f>
        <v>0</v>
      </c>
    </row>
    <row r="60">
      <c r="A60" s="19" t="inlineStr">
        <is>
          <t>QL-009-5</t>
        </is>
      </c>
      <c r="B60" s="36" t="n">
        <v>45666</v>
      </c>
      <c r="C60" s="37" t="inlineStr">
        <is>
          <t>出港</t>
        </is>
      </c>
      <c r="D60" s="19" t="inlineStr">
        <is>
          <t>液体散货</t>
        </is>
      </c>
      <c r="E60" s="19" t="inlineStr">
        <is>
          <t>国内沿海</t>
        </is>
      </c>
      <c r="F60" s="19" t="inlineStr">
        <is>
          <t>05号泊位</t>
        </is>
      </c>
      <c r="G60" s="20" t="n">
        <v>13033</v>
      </c>
      <c r="H60" s="38" t="n">
        <v>7.76</v>
      </c>
      <c r="I60" s="38" t="n">
        <v>0.71</v>
      </c>
      <c r="J60" s="38" t="n">
        <v>9.050000000000001</v>
      </c>
      <c r="K60" s="20" t="n">
        <v>0</v>
      </c>
      <c r="L60" s="26">
        <f>IF(H60&lt;=J60,1,0)</f>
        <v>1</v>
      </c>
    </row>
    <row r="61">
      <c r="A61" s="24" t="inlineStr">
        <is>
          <t>QL-009-6</t>
        </is>
      </c>
      <c r="B61" s="39" t="n">
        <v>45666</v>
      </c>
      <c r="C61" s="40" t="inlineStr">
        <is>
          <t>出港</t>
        </is>
      </c>
      <c r="D61" s="24" t="inlineStr">
        <is>
          <t>件杂货</t>
        </is>
      </c>
      <c r="E61" s="24" t="inlineStr">
        <is>
          <t>北美</t>
        </is>
      </c>
      <c r="F61" s="24" t="inlineStr">
        <is>
          <t>06号泊位</t>
        </is>
      </c>
      <c r="G61" s="25" t="n">
        <v>3573</v>
      </c>
      <c r="H61" s="41" t="n">
        <v>5.02</v>
      </c>
      <c r="I61" s="41" t="n">
        <v>1.83</v>
      </c>
      <c r="J61" s="41" t="n">
        <v>5.86</v>
      </c>
      <c r="K61" s="25" t="n">
        <v>0</v>
      </c>
      <c r="L61" s="26">
        <f>IF(H61&lt;=J61,1,0)</f>
        <v>1</v>
      </c>
    </row>
    <row r="62">
      <c r="A62" s="19" t="inlineStr">
        <is>
          <t>QL-010-1</t>
        </is>
      </c>
      <c r="B62" s="36" t="n">
        <v>45667</v>
      </c>
      <c r="C62" s="37" t="inlineStr">
        <is>
          <t>出港</t>
        </is>
      </c>
      <c r="D62" s="19" t="inlineStr">
        <is>
          <t>集装箱货物</t>
        </is>
      </c>
      <c r="E62" s="19" t="inlineStr">
        <is>
          <t>东南亚</t>
        </is>
      </c>
      <c r="F62" s="19" t="inlineStr">
        <is>
          <t>01号泊位</t>
        </is>
      </c>
      <c r="G62" s="20" t="n">
        <v>8452</v>
      </c>
      <c r="H62" s="38" t="n">
        <v>8.35</v>
      </c>
      <c r="I62" s="38" t="n">
        <v>2.14</v>
      </c>
      <c r="J62" s="38" t="n">
        <v>9.390000000000001</v>
      </c>
      <c r="K62" s="20" t="n">
        <v>573</v>
      </c>
      <c r="L62" s="26">
        <f>IF(H62&lt;=J62,1,0)</f>
        <v>1</v>
      </c>
    </row>
    <row r="63">
      <c r="A63" s="24" t="inlineStr">
        <is>
          <t>QL-010-2</t>
        </is>
      </c>
      <c r="B63" s="39" t="n">
        <v>45667</v>
      </c>
      <c r="C63" s="40" t="inlineStr">
        <is>
          <t>进港</t>
        </is>
      </c>
      <c r="D63" s="24" t="inlineStr">
        <is>
          <t>金属矿石</t>
        </is>
      </c>
      <c r="E63" s="24" t="inlineStr">
        <is>
          <t>东南亚</t>
        </is>
      </c>
      <c r="F63" s="24" t="inlineStr">
        <is>
          <t>02号泊位</t>
        </is>
      </c>
      <c r="G63" s="25" t="n">
        <v>15096</v>
      </c>
      <c r="H63" s="41" t="n">
        <v>9.42</v>
      </c>
      <c r="I63" s="41" t="n">
        <v>3.68</v>
      </c>
      <c r="J63" s="41" t="n">
        <v>9.74</v>
      </c>
      <c r="K63" s="25" t="n">
        <v>0</v>
      </c>
      <c r="L63" s="26">
        <f>IF(H63&lt;=J63,1,0)</f>
        <v>1</v>
      </c>
    </row>
    <row r="64">
      <c r="A64" s="19" t="inlineStr">
        <is>
          <t>QL-010-3</t>
        </is>
      </c>
      <c r="B64" s="36" t="n">
        <v>45667</v>
      </c>
      <c r="C64" s="37" t="inlineStr">
        <is>
          <t>出港</t>
        </is>
      </c>
      <c r="D64" s="19" t="inlineStr">
        <is>
          <t>煤炭</t>
        </is>
      </c>
      <c r="E64" s="19" t="inlineStr">
        <is>
          <t>国内沿海</t>
        </is>
      </c>
      <c r="F64" s="19" t="inlineStr">
        <is>
          <t>03号泊位</t>
        </is>
      </c>
      <c r="G64" s="20" t="n">
        <v>11743</v>
      </c>
      <c r="H64" s="38" t="n">
        <v>9.109999999999999</v>
      </c>
      <c r="I64" s="38" t="n">
        <v>1.04</v>
      </c>
      <c r="J64" s="38" t="n">
        <v>8.9</v>
      </c>
      <c r="K64" s="20" t="n">
        <v>0</v>
      </c>
      <c r="L64" s="26">
        <f>IF(H64&lt;=J64,1,0)</f>
        <v>0</v>
      </c>
    </row>
    <row r="65">
      <c r="A65" s="24" t="inlineStr">
        <is>
          <t>QL-010-4</t>
        </is>
      </c>
      <c r="B65" s="39" t="n">
        <v>45667</v>
      </c>
      <c r="C65" s="40" t="inlineStr">
        <is>
          <t>出港</t>
        </is>
      </c>
      <c r="D65" s="24" t="inlineStr">
        <is>
          <t>粮食</t>
        </is>
      </c>
      <c r="E65" s="24" t="inlineStr">
        <is>
          <t>国内沿海</t>
        </is>
      </c>
      <c r="F65" s="24" t="inlineStr">
        <is>
          <t>04号泊位</t>
        </is>
      </c>
      <c r="G65" s="25" t="n">
        <v>5516</v>
      </c>
      <c r="H65" s="41" t="n">
        <v>5.87</v>
      </c>
      <c r="I65" s="41" t="n">
        <v>4.43</v>
      </c>
      <c r="J65" s="41" t="n">
        <v>5.41</v>
      </c>
      <c r="K65" s="25" t="n">
        <v>0</v>
      </c>
      <c r="L65" s="26">
        <f>IF(H65&lt;=J65,1,0)</f>
        <v>0</v>
      </c>
    </row>
    <row r="66">
      <c r="A66" s="19" t="inlineStr">
        <is>
          <t>QL-010-5</t>
        </is>
      </c>
      <c r="B66" s="36" t="n">
        <v>45667</v>
      </c>
      <c r="C66" s="37" t="inlineStr">
        <is>
          <t>进港</t>
        </is>
      </c>
      <c r="D66" s="19" t="inlineStr">
        <is>
          <t>液体散货</t>
        </is>
      </c>
      <c r="E66" s="19" t="inlineStr">
        <is>
          <t>东亚</t>
        </is>
      </c>
      <c r="F66" s="19" t="inlineStr">
        <is>
          <t>05号泊位</t>
        </is>
      </c>
      <c r="G66" s="20" t="n">
        <v>7095</v>
      </c>
      <c r="H66" s="38" t="n">
        <v>4.69</v>
      </c>
      <c r="I66" s="38" t="n">
        <v>1.45</v>
      </c>
      <c r="J66" s="38" t="n">
        <v>4.93</v>
      </c>
      <c r="K66" s="20" t="n">
        <v>0</v>
      </c>
      <c r="L66" s="26">
        <f>IF(H66&lt;=J66,1,0)</f>
        <v>1</v>
      </c>
    </row>
    <row r="67">
      <c r="A67" s="24" t="inlineStr">
        <is>
          <t>QL-010-6</t>
        </is>
      </c>
      <c r="B67" s="39" t="n">
        <v>45667</v>
      </c>
      <c r="C67" s="40" t="inlineStr">
        <is>
          <t>出港</t>
        </is>
      </c>
      <c r="D67" s="24" t="inlineStr">
        <is>
          <t>件杂货</t>
        </is>
      </c>
      <c r="E67" s="24" t="inlineStr">
        <is>
          <t>国内沿海</t>
        </is>
      </c>
      <c r="F67" s="24" t="inlineStr">
        <is>
          <t>06号泊位</t>
        </is>
      </c>
      <c r="G67" s="25" t="n">
        <v>3712</v>
      </c>
      <c r="H67" s="41" t="n">
        <v>5.15</v>
      </c>
      <c r="I67" s="41" t="n">
        <v>2.78</v>
      </c>
      <c r="J67" s="41" t="n">
        <v>6.09</v>
      </c>
      <c r="K67" s="25" t="n">
        <v>0</v>
      </c>
      <c r="L67" s="26">
        <f>IF(H67&lt;=J67,1,0)</f>
        <v>1</v>
      </c>
    </row>
    <row r="68">
      <c r="A68" s="19" t="inlineStr">
        <is>
          <t>QL-011-1</t>
        </is>
      </c>
      <c r="B68" s="36" t="n">
        <v>45668</v>
      </c>
      <c r="C68" s="37" t="inlineStr">
        <is>
          <t>进港</t>
        </is>
      </c>
      <c r="D68" s="19" t="inlineStr">
        <is>
          <t>集装箱货物</t>
        </is>
      </c>
      <c r="E68" s="19" t="inlineStr">
        <is>
          <t>国内沿海</t>
        </is>
      </c>
      <c r="F68" s="19" t="inlineStr">
        <is>
          <t>01号泊位</t>
        </is>
      </c>
      <c r="G68" s="20" t="n">
        <v>5636</v>
      </c>
      <c r="H68" s="38" t="n">
        <v>6.68</v>
      </c>
      <c r="I68" s="38" t="n">
        <v>3.5</v>
      </c>
      <c r="J68" s="38" t="n">
        <v>6.26</v>
      </c>
      <c r="K68" s="20" t="n">
        <v>388</v>
      </c>
      <c r="L68" s="26">
        <f>IF(H68&lt;=J68,1,0)</f>
        <v>0</v>
      </c>
    </row>
    <row r="69">
      <c r="A69" s="24" t="inlineStr">
        <is>
          <t>QL-011-2</t>
        </is>
      </c>
      <c r="B69" s="39" t="n">
        <v>45668</v>
      </c>
      <c r="C69" s="40" t="inlineStr">
        <is>
          <t>进港</t>
        </is>
      </c>
      <c r="D69" s="24" t="inlineStr">
        <is>
          <t>金属矿石</t>
        </is>
      </c>
      <c r="E69" s="24" t="inlineStr">
        <is>
          <t>东亚</t>
        </is>
      </c>
      <c r="F69" s="24" t="inlineStr">
        <is>
          <t>02号泊位</t>
        </is>
      </c>
      <c r="G69" s="25" t="n">
        <v>18593</v>
      </c>
      <c r="H69" s="41" t="n">
        <v>13.08</v>
      </c>
      <c r="I69" s="41" t="n">
        <v>0.91</v>
      </c>
      <c r="J69" s="41" t="n">
        <v>12</v>
      </c>
      <c r="K69" s="25" t="n">
        <v>0</v>
      </c>
      <c r="L69" s="26">
        <f>IF(H69&lt;=J69,1,0)</f>
        <v>0</v>
      </c>
    </row>
    <row r="70">
      <c r="A70" s="19" t="inlineStr">
        <is>
          <t>QL-011-3</t>
        </is>
      </c>
      <c r="B70" s="36" t="n">
        <v>45668</v>
      </c>
      <c r="C70" s="37" t="inlineStr">
        <is>
          <t>出港</t>
        </is>
      </c>
      <c r="D70" s="19" t="inlineStr">
        <is>
          <t>煤炭</t>
        </is>
      </c>
      <c r="E70" s="19" t="inlineStr">
        <is>
          <t>东南亚</t>
        </is>
      </c>
      <c r="F70" s="19" t="inlineStr">
        <is>
          <t>03号泊位</t>
        </is>
      </c>
      <c r="G70" s="20" t="n">
        <v>18870</v>
      </c>
      <c r="H70" s="38" t="n">
        <v>16.16</v>
      </c>
      <c r="I70" s="38" t="n">
        <v>2.01</v>
      </c>
      <c r="J70" s="38" t="n">
        <v>14.3</v>
      </c>
      <c r="K70" s="20" t="n">
        <v>0</v>
      </c>
      <c r="L70" s="26">
        <f>IF(H70&lt;=J70,1,0)</f>
        <v>0</v>
      </c>
    </row>
    <row r="71">
      <c r="A71" s="24" t="inlineStr">
        <is>
          <t>QL-011-4</t>
        </is>
      </c>
      <c r="B71" s="39" t="n">
        <v>45668</v>
      </c>
      <c r="C71" s="40" t="inlineStr">
        <is>
          <t>进港</t>
        </is>
      </c>
      <c r="D71" s="24" t="inlineStr">
        <is>
          <t>粮食</t>
        </is>
      </c>
      <c r="E71" s="24" t="inlineStr">
        <is>
          <t>东亚</t>
        </is>
      </c>
      <c r="F71" s="24" t="inlineStr">
        <is>
          <t>04号泊位</t>
        </is>
      </c>
      <c r="G71" s="25" t="n">
        <v>4489</v>
      </c>
      <c r="H71" s="41" t="n">
        <v>4.5</v>
      </c>
      <c r="I71" s="41" t="n">
        <v>2.58</v>
      </c>
      <c r="J71" s="41" t="n">
        <v>4.4</v>
      </c>
      <c r="K71" s="25" t="n">
        <v>0</v>
      </c>
      <c r="L71" s="26">
        <f>IF(H71&lt;=J71,1,0)</f>
        <v>0</v>
      </c>
    </row>
    <row r="72">
      <c r="A72" s="19" t="inlineStr">
        <is>
          <t>QL-011-5</t>
        </is>
      </c>
      <c r="B72" s="36" t="n">
        <v>45668</v>
      </c>
      <c r="C72" s="37" t="inlineStr">
        <is>
          <t>出港</t>
        </is>
      </c>
      <c r="D72" s="19" t="inlineStr">
        <is>
          <t>液体散货</t>
        </is>
      </c>
      <c r="E72" s="19" t="inlineStr">
        <is>
          <t>国内沿海</t>
        </is>
      </c>
      <c r="F72" s="19" t="inlineStr">
        <is>
          <t>05号泊位</t>
        </is>
      </c>
      <c r="G72" s="20" t="n">
        <v>10286</v>
      </c>
      <c r="H72" s="38" t="n">
        <v>6.17</v>
      </c>
      <c r="I72" s="38" t="n">
        <v>0.3</v>
      </c>
      <c r="J72" s="38" t="n">
        <v>7.14</v>
      </c>
      <c r="K72" s="20" t="n">
        <v>0</v>
      </c>
      <c r="L72" s="26">
        <f>IF(H72&lt;=J72,1,0)</f>
        <v>1</v>
      </c>
    </row>
    <row r="73">
      <c r="A73" s="24" t="inlineStr">
        <is>
          <t>QL-011-6</t>
        </is>
      </c>
      <c r="B73" s="39" t="n">
        <v>45668</v>
      </c>
      <c r="C73" s="40" t="inlineStr">
        <is>
          <t>出港</t>
        </is>
      </c>
      <c r="D73" s="24" t="inlineStr">
        <is>
          <t>件杂货</t>
        </is>
      </c>
      <c r="E73" s="24" t="inlineStr">
        <is>
          <t>国内沿海</t>
        </is>
      </c>
      <c r="F73" s="24" t="inlineStr">
        <is>
          <t>06号泊位</t>
        </is>
      </c>
      <c r="G73" s="25" t="n">
        <v>4413</v>
      </c>
      <c r="H73" s="41" t="n">
        <v>7.84</v>
      </c>
      <c r="I73" s="41" t="n">
        <v>2.04</v>
      </c>
      <c r="J73" s="41" t="n">
        <v>7.23</v>
      </c>
      <c r="K73" s="25" t="n">
        <v>0</v>
      </c>
      <c r="L73" s="26">
        <f>IF(H73&lt;=J73,1,0)</f>
        <v>0</v>
      </c>
    </row>
    <row r="74">
      <c r="A74" s="19" t="inlineStr">
        <is>
          <t>QL-012-1</t>
        </is>
      </c>
      <c r="B74" s="36" t="n">
        <v>45669</v>
      </c>
      <c r="C74" s="37" t="inlineStr">
        <is>
          <t>出港</t>
        </is>
      </c>
      <c r="D74" s="19" t="inlineStr">
        <is>
          <t>集装箱货物</t>
        </is>
      </c>
      <c r="E74" s="19" t="inlineStr">
        <is>
          <t>欧洲</t>
        </is>
      </c>
      <c r="F74" s="19" t="inlineStr">
        <is>
          <t>01号泊位</t>
        </is>
      </c>
      <c r="G74" s="20" t="n">
        <v>6177</v>
      </c>
      <c r="H74" s="38" t="n">
        <v>6.25</v>
      </c>
      <c r="I74" s="38" t="n">
        <v>1.82</v>
      </c>
      <c r="J74" s="38" t="n">
        <v>6.86</v>
      </c>
      <c r="K74" s="20" t="n">
        <v>377</v>
      </c>
      <c r="L74" s="26">
        <f>IF(H74&lt;=J74,1,0)</f>
        <v>1</v>
      </c>
    </row>
    <row r="75">
      <c r="A75" s="24" t="inlineStr">
        <is>
          <t>QL-012-2</t>
        </is>
      </c>
      <c r="B75" s="39" t="n">
        <v>45669</v>
      </c>
      <c r="C75" s="40" t="inlineStr">
        <is>
          <t>进港</t>
        </is>
      </c>
      <c r="D75" s="24" t="inlineStr">
        <is>
          <t>金属矿石</t>
        </is>
      </c>
      <c r="E75" s="24" t="inlineStr">
        <is>
          <t>东亚</t>
        </is>
      </c>
      <c r="F75" s="24" t="inlineStr">
        <is>
          <t>02号泊位</t>
        </is>
      </c>
      <c r="G75" s="25" t="n">
        <v>13936</v>
      </c>
      <c r="H75" s="41" t="n">
        <v>9.16</v>
      </c>
      <c r="I75" s="41" t="n">
        <v>6.54</v>
      </c>
      <c r="J75" s="41" t="n">
        <v>8.99</v>
      </c>
      <c r="K75" s="25" t="n">
        <v>0</v>
      </c>
      <c r="L75" s="26">
        <f>IF(H75&lt;=J75,1,0)</f>
        <v>0</v>
      </c>
    </row>
    <row r="76">
      <c r="A76" s="19" t="inlineStr">
        <is>
          <t>QL-012-3</t>
        </is>
      </c>
      <c r="B76" s="36" t="n">
        <v>45669</v>
      </c>
      <c r="C76" s="37" t="inlineStr">
        <is>
          <t>出港</t>
        </is>
      </c>
      <c r="D76" s="19" t="inlineStr">
        <is>
          <t>煤炭</t>
        </is>
      </c>
      <c r="E76" s="19" t="inlineStr">
        <is>
          <t>欧洲</t>
        </is>
      </c>
      <c r="F76" s="19" t="inlineStr">
        <is>
          <t>03号泊位</t>
        </is>
      </c>
      <c r="G76" s="20" t="n">
        <v>14805</v>
      </c>
      <c r="H76" s="38" t="n">
        <v>11.82</v>
      </c>
      <c r="I76" s="38" t="n">
        <v>1.56</v>
      </c>
      <c r="J76" s="38" t="n">
        <v>11.22</v>
      </c>
      <c r="K76" s="20" t="n">
        <v>0</v>
      </c>
      <c r="L76" s="26">
        <f>IF(H76&lt;=J76,1,0)</f>
        <v>0</v>
      </c>
    </row>
    <row r="77">
      <c r="A77" s="24" t="inlineStr">
        <is>
          <t>QL-012-4</t>
        </is>
      </c>
      <c r="B77" s="39" t="n">
        <v>45669</v>
      </c>
      <c r="C77" s="40" t="inlineStr">
        <is>
          <t>出港</t>
        </is>
      </c>
      <c r="D77" s="24" t="inlineStr">
        <is>
          <t>粮食</t>
        </is>
      </c>
      <c r="E77" s="24" t="inlineStr">
        <is>
          <t>东亚</t>
        </is>
      </c>
      <c r="F77" s="24" t="inlineStr">
        <is>
          <t>04号泊位</t>
        </is>
      </c>
      <c r="G77" s="25" t="n">
        <v>8150</v>
      </c>
      <c r="H77" s="41" t="n">
        <v>8.130000000000001</v>
      </c>
      <c r="I77" s="41" t="n">
        <v>1.63</v>
      </c>
      <c r="J77" s="41" t="n">
        <v>7.99</v>
      </c>
      <c r="K77" s="25" t="n">
        <v>0</v>
      </c>
      <c r="L77" s="26">
        <f>IF(H77&lt;=J77,1,0)</f>
        <v>0</v>
      </c>
    </row>
    <row r="78">
      <c r="A78" s="19" t="inlineStr">
        <is>
          <t>QL-012-5</t>
        </is>
      </c>
      <c r="B78" s="36" t="n">
        <v>45669</v>
      </c>
      <c r="C78" s="37" t="inlineStr">
        <is>
          <t>进港</t>
        </is>
      </c>
      <c r="D78" s="19" t="inlineStr">
        <is>
          <t>液体散货</t>
        </is>
      </c>
      <c r="E78" s="19" t="inlineStr">
        <is>
          <t>欧洲</t>
        </is>
      </c>
      <c r="F78" s="19" t="inlineStr">
        <is>
          <t>05号泊位</t>
        </is>
      </c>
      <c r="G78" s="20" t="n">
        <v>8618</v>
      </c>
      <c r="H78" s="38" t="n">
        <v>6.5</v>
      </c>
      <c r="I78" s="38" t="n">
        <v>10.52</v>
      </c>
      <c r="J78" s="38" t="n">
        <v>5.98</v>
      </c>
      <c r="K78" s="20" t="n">
        <v>0</v>
      </c>
      <c r="L78" s="26">
        <f>IF(H78&lt;=J78,1,0)</f>
        <v>0</v>
      </c>
    </row>
    <row r="79">
      <c r="A79" s="24" t="inlineStr">
        <is>
          <t>QL-012-6</t>
        </is>
      </c>
      <c r="B79" s="39" t="n">
        <v>45669</v>
      </c>
      <c r="C79" s="40" t="inlineStr">
        <is>
          <t>进港</t>
        </is>
      </c>
      <c r="D79" s="24" t="inlineStr">
        <is>
          <t>件杂货</t>
        </is>
      </c>
      <c r="E79" s="24" t="inlineStr">
        <is>
          <t>国内沿海</t>
        </is>
      </c>
      <c r="F79" s="24" t="inlineStr">
        <is>
          <t>06号泊位</t>
        </is>
      </c>
      <c r="G79" s="25" t="n">
        <v>3737</v>
      </c>
      <c r="H79" s="41" t="n">
        <v>7.41</v>
      </c>
      <c r="I79" s="41" t="n">
        <v>4.22</v>
      </c>
      <c r="J79" s="41" t="n">
        <v>6.13</v>
      </c>
      <c r="K79" s="25" t="n">
        <v>0</v>
      </c>
      <c r="L79" s="26">
        <f>IF(H79&lt;=J79,1,0)</f>
        <v>0</v>
      </c>
    </row>
    <row r="80">
      <c r="A80" s="19" t="inlineStr">
        <is>
          <t>QL-013-1</t>
        </is>
      </c>
      <c r="B80" s="36" t="n">
        <v>45670</v>
      </c>
      <c r="C80" s="37" t="inlineStr">
        <is>
          <t>出港</t>
        </is>
      </c>
      <c r="D80" s="19" t="inlineStr">
        <is>
          <t>集装箱货物</t>
        </is>
      </c>
      <c r="E80" s="19" t="inlineStr">
        <is>
          <t>东南亚</t>
        </is>
      </c>
      <c r="F80" s="19" t="inlineStr">
        <is>
          <t>01号泊位</t>
        </is>
      </c>
      <c r="G80" s="20" t="n">
        <v>9242</v>
      </c>
      <c r="H80" s="38" t="n">
        <v>9.98</v>
      </c>
      <c r="I80" s="38" t="n">
        <v>0.5600000000000001</v>
      </c>
      <c r="J80" s="38" t="n">
        <v>10.27</v>
      </c>
      <c r="K80" s="20" t="n">
        <v>647</v>
      </c>
      <c r="L80" s="26">
        <f>IF(H80&lt;=J80,1,0)</f>
        <v>1</v>
      </c>
    </row>
    <row r="81">
      <c r="A81" s="24" t="inlineStr">
        <is>
          <t>QL-013-2</t>
        </is>
      </c>
      <c r="B81" s="39" t="n">
        <v>45670</v>
      </c>
      <c r="C81" s="40" t="inlineStr">
        <is>
          <t>进港</t>
        </is>
      </c>
      <c r="D81" s="24" t="inlineStr">
        <is>
          <t>金属矿石</t>
        </is>
      </c>
      <c r="E81" s="24" t="inlineStr">
        <is>
          <t>北美</t>
        </is>
      </c>
      <c r="F81" s="24" t="inlineStr">
        <is>
          <t>02号泊位</t>
        </is>
      </c>
      <c r="G81" s="25" t="n">
        <v>11813</v>
      </c>
      <c r="H81" s="41" t="n">
        <v>6.49</v>
      </c>
      <c r="I81" s="41" t="n">
        <v>4.11</v>
      </c>
      <c r="J81" s="41" t="n">
        <v>7.62</v>
      </c>
      <c r="K81" s="25" t="n">
        <v>0</v>
      </c>
      <c r="L81" s="26">
        <f>IF(H81&lt;=J81,1,0)</f>
        <v>1</v>
      </c>
    </row>
    <row r="82">
      <c r="A82" s="19" t="inlineStr">
        <is>
          <t>QL-013-3</t>
        </is>
      </c>
      <c r="B82" s="36" t="n">
        <v>45670</v>
      </c>
      <c r="C82" s="37" t="inlineStr">
        <is>
          <t>进港</t>
        </is>
      </c>
      <c r="D82" s="19" t="inlineStr">
        <is>
          <t>煤炭</t>
        </is>
      </c>
      <c r="E82" s="19" t="inlineStr">
        <is>
          <t>欧洲</t>
        </is>
      </c>
      <c r="F82" s="19" t="inlineStr">
        <is>
          <t>03号泊位</t>
        </is>
      </c>
      <c r="G82" s="20" t="n">
        <v>9837</v>
      </c>
      <c r="H82" s="38" t="n">
        <v>6.71</v>
      </c>
      <c r="I82" s="38" t="n">
        <v>3.33</v>
      </c>
      <c r="J82" s="38" t="n">
        <v>7.45</v>
      </c>
      <c r="K82" s="20" t="n">
        <v>0</v>
      </c>
      <c r="L82" s="26">
        <f>IF(H82&lt;=J82,1,0)</f>
        <v>1</v>
      </c>
    </row>
    <row r="83">
      <c r="A83" s="24" t="inlineStr">
        <is>
          <t>QL-013-4</t>
        </is>
      </c>
      <c r="B83" s="39" t="n">
        <v>45670</v>
      </c>
      <c r="C83" s="40" t="inlineStr">
        <is>
          <t>进港</t>
        </is>
      </c>
      <c r="D83" s="24" t="inlineStr">
        <is>
          <t>粮食</t>
        </is>
      </c>
      <c r="E83" s="24" t="inlineStr">
        <is>
          <t>欧洲</t>
        </is>
      </c>
      <c r="F83" s="24" t="inlineStr">
        <is>
          <t>04号泊位</t>
        </is>
      </c>
      <c r="G83" s="25" t="n">
        <v>7136</v>
      </c>
      <c r="H83" s="41" t="n">
        <v>7.9</v>
      </c>
      <c r="I83" s="41" t="n">
        <v>1.78</v>
      </c>
      <c r="J83" s="41" t="n">
        <v>7</v>
      </c>
      <c r="K83" s="25" t="n">
        <v>0</v>
      </c>
      <c r="L83" s="26">
        <f>IF(H83&lt;=J83,1,0)</f>
        <v>0</v>
      </c>
    </row>
    <row r="84">
      <c r="A84" s="19" t="inlineStr">
        <is>
          <t>QL-013-5</t>
        </is>
      </c>
      <c r="B84" s="36" t="n">
        <v>45670</v>
      </c>
      <c r="C84" s="37" t="inlineStr">
        <is>
          <t>出港</t>
        </is>
      </c>
      <c r="D84" s="19" t="inlineStr">
        <is>
          <t>液体散货</t>
        </is>
      </c>
      <c r="E84" s="19" t="inlineStr">
        <is>
          <t>东亚</t>
        </is>
      </c>
      <c r="F84" s="19" t="inlineStr">
        <is>
          <t>05号泊位</t>
        </is>
      </c>
      <c r="G84" s="20" t="n">
        <v>12638</v>
      </c>
      <c r="H84" s="38" t="n">
        <v>8.34</v>
      </c>
      <c r="I84" s="38" t="n">
        <v>1.74</v>
      </c>
      <c r="J84" s="38" t="n">
        <v>8.779999999999999</v>
      </c>
      <c r="K84" s="20" t="n">
        <v>0</v>
      </c>
      <c r="L84" s="26">
        <f>IF(H84&lt;=J84,1,0)</f>
        <v>1</v>
      </c>
    </row>
    <row r="85">
      <c r="A85" s="24" t="inlineStr">
        <is>
          <t>QL-013-6</t>
        </is>
      </c>
      <c r="B85" s="39" t="n">
        <v>45670</v>
      </c>
      <c r="C85" s="40" t="inlineStr">
        <is>
          <t>进港</t>
        </is>
      </c>
      <c r="D85" s="24" t="inlineStr">
        <is>
          <t>件杂货</t>
        </is>
      </c>
      <c r="E85" s="24" t="inlineStr">
        <is>
          <t>东亚</t>
        </is>
      </c>
      <c r="F85" s="24" t="inlineStr">
        <is>
          <t>06号泊位</t>
        </is>
      </c>
      <c r="G85" s="25" t="n">
        <v>4200</v>
      </c>
      <c r="H85" s="41" t="n">
        <v>7.37</v>
      </c>
      <c r="I85" s="41" t="n">
        <v>1.72</v>
      </c>
      <c r="J85" s="41" t="n">
        <v>6.89</v>
      </c>
      <c r="K85" s="25" t="n">
        <v>0</v>
      </c>
      <c r="L85" s="26">
        <f>IF(H85&lt;=J85,1,0)</f>
        <v>0</v>
      </c>
    </row>
    <row r="86">
      <c r="A86" s="19" t="inlineStr">
        <is>
          <t>QL-014-1</t>
        </is>
      </c>
      <c r="B86" s="36" t="n">
        <v>45671</v>
      </c>
      <c r="C86" s="37" t="inlineStr">
        <is>
          <t>进港</t>
        </is>
      </c>
      <c r="D86" s="19" t="inlineStr">
        <is>
          <t>集装箱货物</t>
        </is>
      </c>
      <c r="E86" s="19" t="inlineStr">
        <is>
          <t>欧洲</t>
        </is>
      </c>
      <c r="F86" s="19" t="inlineStr">
        <is>
          <t>01号泊位</t>
        </is>
      </c>
      <c r="G86" s="20" t="n">
        <v>9921</v>
      </c>
      <c r="H86" s="38" t="n">
        <v>9.51</v>
      </c>
      <c r="I86" s="38" t="n">
        <v>0.57</v>
      </c>
      <c r="J86" s="38" t="n">
        <v>11.02</v>
      </c>
      <c r="K86" s="20" t="n">
        <v>616</v>
      </c>
      <c r="L86" s="26">
        <f>IF(H86&lt;=J86,1,0)</f>
        <v>1</v>
      </c>
    </row>
    <row r="87">
      <c r="A87" s="24" t="inlineStr">
        <is>
          <t>QL-014-2</t>
        </is>
      </c>
      <c r="B87" s="39" t="n">
        <v>45671</v>
      </c>
      <c r="C87" s="40" t="inlineStr">
        <is>
          <t>进港</t>
        </is>
      </c>
      <c r="D87" s="24" t="inlineStr">
        <is>
          <t>金属矿石</t>
        </is>
      </c>
      <c r="E87" s="24" t="inlineStr">
        <is>
          <t>欧洲</t>
        </is>
      </c>
      <c r="F87" s="24" t="inlineStr">
        <is>
          <t>02号泊位</t>
        </is>
      </c>
      <c r="G87" s="25" t="n">
        <v>9569</v>
      </c>
      <c r="H87" s="41" t="n">
        <v>7.13</v>
      </c>
      <c r="I87" s="41" t="n">
        <v>0.53</v>
      </c>
      <c r="J87" s="41" t="n">
        <v>6.17</v>
      </c>
      <c r="K87" s="25" t="n">
        <v>0</v>
      </c>
      <c r="L87" s="26">
        <f>IF(H87&lt;=J87,1,0)</f>
        <v>0</v>
      </c>
    </row>
    <row r="88">
      <c r="A88" s="19" t="inlineStr">
        <is>
          <t>QL-014-3</t>
        </is>
      </c>
      <c r="B88" s="36" t="n">
        <v>45671</v>
      </c>
      <c r="C88" s="37" t="inlineStr">
        <is>
          <t>出港</t>
        </is>
      </c>
      <c r="D88" s="19" t="inlineStr">
        <is>
          <t>煤炭</t>
        </is>
      </c>
      <c r="E88" s="19" t="inlineStr">
        <is>
          <t>欧洲</t>
        </is>
      </c>
      <c r="F88" s="19" t="inlineStr">
        <is>
          <t>03号泊位</t>
        </is>
      </c>
      <c r="G88" s="20" t="n">
        <v>14952</v>
      </c>
      <c r="H88" s="38" t="n">
        <v>9.75</v>
      </c>
      <c r="I88" s="38" t="n">
        <v>1.17</v>
      </c>
      <c r="J88" s="38" t="n">
        <v>11.33</v>
      </c>
      <c r="K88" s="20" t="n">
        <v>0</v>
      </c>
      <c r="L88" s="26">
        <f>IF(H88&lt;=J88,1,0)</f>
        <v>1</v>
      </c>
    </row>
    <row r="89">
      <c r="A89" s="24" t="inlineStr">
        <is>
          <t>QL-014-4</t>
        </is>
      </c>
      <c r="B89" s="39" t="n">
        <v>45671</v>
      </c>
      <c r="C89" s="40" t="inlineStr">
        <is>
          <t>进港</t>
        </is>
      </c>
      <c r="D89" s="24" t="inlineStr">
        <is>
          <t>粮食</t>
        </is>
      </c>
      <c r="E89" s="24" t="inlineStr">
        <is>
          <t>东亚</t>
        </is>
      </c>
      <c r="F89" s="24" t="inlineStr">
        <is>
          <t>04号泊位</t>
        </is>
      </c>
      <c r="G89" s="25" t="n">
        <v>5505</v>
      </c>
      <c r="H89" s="41" t="n">
        <v>5.42</v>
      </c>
      <c r="I89" s="41" t="n">
        <v>2.22</v>
      </c>
      <c r="J89" s="41" t="n">
        <v>5.4</v>
      </c>
      <c r="K89" s="25" t="n">
        <v>0</v>
      </c>
      <c r="L89" s="26">
        <f>IF(H89&lt;=J89,1,0)</f>
        <v>0</v>
      </c>
    </row>
    <row r="90">
      <c r="A90" s="19" t="inlineStr">
        <is>
          <t>QL-014-5</t>
        </is>
      </c>
      <c r="B90" s="36" t="n">
        <v>45671</v>
      </c>
      <c r="C90" s="37" t="inlineStr">
        <is>
          <t>出港</t>
        </is>
      </c>
      <c r="D90" s="19" t="inlineStr">
        <is>
          <t>液体散货</t>
        </is>
      </c>
      <c r="E90" s="19" t="inlineStr">
        <is>
          <t>东亚</t>
        </is>
      </c>
      <c r="F90" s="19" t="inlineStr">
        <is>
          <t>05号泊位</t>
        </is>
      </c>
      <c r="G90" s="20" t="n">
        <v>8640</v>
      </c>
      <c r="H90" s="38" t="n">
        <v>4.86</v>
      </c>
      <c r="I90" s="38" t="n">
        <v>1.41</v>
      </c>
      <c r="J90" s="38" t="n">
        <v>6</v>
      </c>
      <c r="K90" s="20" t="n">
        <v>0</v>
      </c>
      <c r="L90" s="26">
        <f>IF(H90&lt;=J90,1,0)</f>
        <v>1</v>
      </c>
    </row>
    <row r="91">
      <c r="A91" s="24" t="inlineStr">
        <is>
          <t>QL-014-6</t>
        </is>
      </c>
      <c r="B91" s="39" t="n">
        <v>45671</v>
      </c>
      <c r="C91" s="40" t="inlineStr">
        <is>
          <t>出港</t>
        </is>
      </c>
      <c r="D91" s="24" t="inlineStr">
        <is>
          <t>件杂货</t>
        </is>
      </c>
      <c r="E91" s="24" t="inlineStr">
        <is>
          <t>东亚</t>
        </is>
      </c>
      <c r="F91" s="24" t="inlineStr">
        <is>
          <t>06号泊位</t>
        </is>
      </c>
      <c r="G91" s="25" t="n">
        <v>6602</v>
      </c>
      <c r="H91" s="41" t="n">
        <v>9.369999999999999</v>
      </c>
      <c r="I91" s="41" t="n">
        <v>1.56</v>
      </c>
      <c r="J91" s="41" t="n">
        <v>10.82</v>
      </c>
      <c r="K91" s="25" t="n">
        <v>0</v>
      </c>
      <c r="L91" s="26">
        <f>IF(H91&lt;=J91,1,0)</f>
        <v>1</v>
      </c>
    </row>
    <row r="92">
      <c r="A92" s="19" t="inlineStr">
        <is>
          <t>QL-015-1</t>
        </is>
      </c>
      <c r="B92" s="36" t="n">
        <v>45672</v>
      </c>
      <c r="C92" s="37" t="inlineStr">
        <is>
          <t>进港</t>
        </is>
      </c>
      <c r="D92" s="19" t="inlineStr">
        <is>
          <t>集装箱货物</t>
        </is>
      </c>
      <c r="E92" s="19" t="inlineStr">
        <is>
          <t>东南亚</t>
        </is>
      </c>
      <c r="F92" s="19" t="inlineStr">
        <is>
          <t>01号泊位</t>
        </is>
      </c>
      <c r="G92" s="20" t="n">
        <v>9584</v>
      </c>
      <c r="H92" s="38" t="n">
        <v>12.09</v>
      </c>
      <c r="I92" s="38" t="n">
        <v>3.19</v>
      </c>
      <c r="J92" s="38" t="n">
        <v>10.65</v>
      </c>
      <c r="K92" s="20" t="n">
        <v>638</v>
      </c>
      <c r="L92" s="26">
        <f>IF(H92&lt;=J92,1,0)</f>
        <v>0</v>
      </c>
    </row>
    <row r="93">
      <c r="A93" s="24" t="inlineStr">
        <is>
          <t>QL-015-2</t>
        </is>
      </c>
      <c r="B93" s="39" t="n">
        <v>45672</v>
      </c>
      <c r="C93" s="40" t="inlineStr">
        <is>
          <t>进港</t>
        </is>
      </c>
      <c r="D93" s="24" t="inlineStr">
        <is>
          <t>金属矿石</t>
        </is>
      </c>
      <c r="E93" s="24" t="inlineStr">
        <is>
          <t>东亚</t>
        </is>
      </c>
      <c r="F93" s="24" t="inlineStr">
        <is>
          <t>02号泊位</t>
        </is>
      </c>
      <c r="G93" s="25" t="n">
        <v>12593</v>
      </c>
      <c r="H93" s="41" t="n">
        <v>7.98</v>
      </c>
      <c r="I93" s="41" t="n">
        <v>1.01</v>
      </c>
      <c r="J93" s="41" t="n">
        <v>8.119999999999999</v>
      </c>
      <c r="K93" s="25" t="n">
        <v>0</v>
      </c>
      <c r="L93" s="26">
        <f>IF(H93&lt;=J93,1,0)</f>
        <v>1</v>
      </c>
    </row>
    <row r="94">
      <c r="A94" s="19" t="inlineStr">
        <is>
          <t>QL-015-3</t>
        </is>
      </c>
      <c r="B94" s="36" t="n">
        <v>45672</v>
      </c>
      <c r="C94" s="37" t="inlineStr">
        <is>
          <t>出港</t>
        </is>
      </c>
      <c r="D94" s="19" t="inlineStr">
        <is>
          <t>煤炭</t>
        </is>
      </c>
      <c r="E94" s="19" t="inlineStr">
        <is>
          <t>东南亚</t>
        </is>
      </c>
      <c r="F94" s="19" t="inlineStr">
        <is>
          <t>03号泊位</t>
        </is>
      </c>
      <c r="G94" s="20" t="n">
        <v>10739</v>
      </c>
      <c r="H94" s="38" t="n">
        <v>6.77</v>
      </c>
      <c r="I94" s="38" t="n">
        <v>0.79</v>
      </c>
      <c r="J94" s="38" t="n">
        <v>8.140000000000001</v>
      </c>
      <c r="K94" s="20" t="n">
        <v>0</v>
      </c>
      <c r="L94" s="26">
        <f>IF(H94&lt;=J94,1,0)</f>
        <v>1</v>
      </c>
    </row>
    <row r="95">
      <c r="A95" s="24" t="inlineStr">
        <is>
          <t>QL-015-4</t>
        </is>
      </c>
      <c r="B95" s="39" t="n">
        <v>45672</v>
      </c>
      <c r="C95" s="40" t="inlineStr">
        <is>
          <t>进港</t>
        </is>
      </c>
      <c r="D95" s="24" t="inlineStr">
        <is>
          <t>粮食</t>
        </is>
      </c>
      <c r="E95" s="24" t="inlineStr">
        <is>
          <t>东亚</t>
        </is>
      </c>
      <c r="F95" s="24" t="inlineStr">
        <is>
          <t>04号泊位</t>
        </is>
      </c>
      <c r="G95" s="25" t="n">
        <v>7741</v>
      </c>
      <c r="H95" s="41" t="n">
        <v>7.82</v>
      </c>
      <c r="I95" s="41" t="n">
        <v>4.58</v>
      </c>
      <c r="J95" s="41" t="n">
        <v>7.59</v>
      </c>
      <c r="K95" s="25" t="n">
        <v>0</v>
      </c>
      <c r="L95" s="26">
        <f>IF(H95&lt;=J95,1,0)</f>
        <v>0</v>
      </c>
    </row>
    <row r="96">
      <c r="A96" s="19" t="inlineStr">
        <is>
          <t>QL-015-5</t>
        </is>
      </c>
      <c r="B96" s="36" t="n">
        <v>45672</v>
      </c>
      <c r="C96" s="37" t="inlineStr">
        <is>
          <t>进港</t>
        </is>
      </c>
      <c r="D96" s="19" t="inlineStr">
        <is>
          <t>液体散货</t>
        </is>
      </c>
      <c r="E96" s="19" t="inlineStr">
        <is>
          <t>北美</t>
        </is>
      </c>
      <c r="F96" s="19" t="inlineStr">
        <is>
          <t>05号泊位</t>
        </is>
      </c>
      <c r="G96" s="20" t="n">
        <v>15744</v>
      </c>
      <c r="H96" s="38" t="n">
        <v>10.05</v>
      </c>
      <c r="I96" s="38" t="n">
        <v>2.51</v>
      </c>
      <c r="J96" s="38" t="n">
        <v>10.93</v>
      </c>
      <c r="K96" s="20" t="n">
        <v>0</v>
      </c>
      <c r="L96" s="26">
        <f>IF(H96&lt;=J96,1,0)</f>
        <v>1</v>
      </c>
    </row>
    <row r="97">
      <c r="A97" s="24" t="inlineStr">
        <is>
          <t>QL-015-6</t>
        </is>
      </c>
      <c r="B97" s="39" t="n">
        <v>45672</v>
      </c>
      <c r="C97" s="40" t="inlineStr">
        <is>
          <t>出港</t>
        </is>
      </c>
      <c r="D97" s="24" t="inlineStr">
        <is>
          <t>件杂货</t>
        </is>
      </c>
      <c r="E97" s="24" t="inlineStr">
        <is>
          <t>东亚</t>
        </is>
      </c>
      <c r="F97" s="24" t="inlineStr">
        <is>
          <t>06号泊位</t>
        </is>
      </c>
      <c r="G97" s="25" t="n">
        <v>3961</v>
      </c>
      <c r="H97" s="41" t="n">
        <v>6.96</v>
      </c>
      <c r="I97" s="41" t="n">
        <v>1.49</v>
      </c>
      <c r="J97" s="41" t="n">
        <v>6.49</v>
      </c>
      <c r="K97" s="25" t="n">
        <v>0</v>
      </c>
      <c r="L97" s="26">
        <f>IF(H97&lt;=J97,1,0)</f>
        <v>0</v>
      </c>
    </row>
    <row r="98">
      <c r="A98" s="19" t="inlineStr">
        <is>
          <t>QL-016-1</t>
        </is>
      </c>
      <c r="B98" s="36" t="n">
        <v>45673</v>
      </c>
      <c r="C98" s="37" t="inlineStr">
        <is>
          <t>出港</t>
        </is>
      </c>
      <c r="D98" s="19" t="inlineStr">
        <is>
          <t>集装箱货物</t>
        </is>
      </c>
      <c r="E98" s="19" t="inlineStr">
        <is>
          <t>东南亚</t>
        </is>
      </c>
      <c r="F98" s="19" t="inlineStr">
        <is>
          <t>01号泊位</t>
        </is>
      </c>
      <c r="G98" s="20" t="n">
        <v>9080</v>
      </c>
      <c r="H98" s="38" t="n">
        <v>11.01</v>
      </c>
      <c r="I98" s="38" t="n">
        <v>3.95</v>
      </c>
      <c r="J98" s="38" t="n">
        <v>10.09</v>
      </c>
      <c r="K98" s="20" t="n">
        <v>651</v>
      </c>
      <c r="L98" s="26">
        <f>IF(H98&lt;=J98,1,0)</f>
        <v>0</v>
      </c>
    </row>
    <row r="99">
      <c r="A99" s="24" t="inlineStr">
        <is>
          <t>QL-016-2</t>
        </is>
      </c>
      <c r="B99" s="39" t="n">
        <v>45673</v>
      </c>
      <c r="C99" s="40" t="inlineStr">
        <is>
          <t>进港</t>
        </is>
      </c>
      <c r="D99" s="24" t="inlineStr">
        <is>
          <t>金属矿石</t>
        </is>
      </c>
      <c r="E99" s="24" t="inlineStr">
        <is>
          <t>东南亚</t>
        </is>
      </c>
      <c r="F99" s="24" t="inlineStr">
        <is>
          <t>02号泊位</t>
        </is>
      </c>
      <c r="G99" s="25" t="n">
        <v>21153</v>
      </c>
      <c r="H99" s="41" t="n">
        <v>14.04</v>
      </c>
      <c r="I99" s="41" t="n">
        <v>1.07</v>
      </c>
      <c r="J99" s="41" t="n">
        <v>13.65</v>
      </c>
      <c r="K99" s="25" t="n">
        <v>0</v>
      </c>
      <c r="L99" s="26">
        <f>IF(H99&lt;=J99,1,0)</f>
        <v>0</v>
      </c>
    </row>
    <row r="100">
      <c r="A100" s="19" t="inlineStr">
        <is>
          <t>QL-016-3</t>
        </is>
      </c>
      <c r="B100" s="36" t="n">
        <v>45673</v>
      </c>
      <c r="C100" s="37" t="inlineStr">
        <is>
          <t>进港</t>
        </is>
      </c>
      <c r="D100" s="19" t="inlineStr">
        <is>
          <t>煤炭</t>
        </is>
      </c>
      <c r="E100" s="19" t="inlineStr">
        <is>
          <t>国内沿海</t>
        </is>
      </c>
      <c r="F100" s="19" t="inlineStr">
        <is>
          <t>03号泊位</t>
        </is>
      </c>
      <c r="G100" s="20" t="n">
        <v>12851</v>
      </c>
      <c r="H100" s="38" t="n">
        <v>8.140000000000001</v>
      </c>
      <c r="I100" s="38" t="n">
        <v>2.01</v>
      </c>
      <c r="J100" s="38" t="n">
        <v>9.74</v>
      </c>
      <c r="K100" s="20" t="n">
        <v>0</v>
      </c>
      <c r="L100" s="26">
        <f>IF(H100&lt;=J100,1,0)</f>
        <v>1</v>
      </c>
    </row>
    <row r="101">
      <c r="A101" s="24" t="inlineStr">
        <is>
          <t>QL-016-4</t>
        </is>
      </c>
      <c r="B101" s="39" t="n">
        <v>45673</v>
      </c>
      <c r="C101" s="40" t="inlineStr">
        <is>
          <t>进港</t>
        </is>
      </c>
      <c r="D101" s="24" t="inlineStr">
        <is>
          <t>粮食</t>
        </is>
      </c>
      <c r="E101" s="24" t="inlineStr">
        <is>
          <t>东亚</t>
        </is>
      </c>
      <c r="F101" s="24" t="inlineStr">
        <is>
          <t>04号泊位</t>
        </is>
      </c>
      <c r="G101" s="25" t="n">
        <v>6802</v>
      </c>
      <c r="H101" s="41" t="n">
        <v>5.48</v>
      </c>
      <c r="I101" s="41" t="n">
        <v>1.63</v>
      </c>
      <c r="J101" s="41" t="n">
        <v>6.67</v>
      </c>
      <c r="K101" s="25" t="n">
        <v>0</v>
      </c>
      <c r="L101" s="26">
        <f>IF(H101&lt;=J101,1,0)</f>
        <v>1</v>
      </c>
    </row>
    <row r="102">
      <c r="A102" s="19" t="inlineStr">
        <is>
          <t>QL-016-5</t>
        </is>
      </c>
      <c r="B102" s="36" t="n">
        <v>45673</v>
      </c>
      <c r="C102" s="37" t="inlineStr">
        <is>
          <t>出港</t>
        </is>
      </c>
      <c r="D102" s="19" t="inlineStr">
        <is>
          <t>液体散货</t>
        </is>
      </c>
      <c r="E102" s="19" t="inlineStr">
        <is>
          <t>北美</t>
        </is>
      </c>
      <c r="F102" s="19" t="inlineStr">
        <is>
          <t>05号泊位</t>
        </is>
      </c>
      <c r="G102" s="20" t="n">
        <v>17284</v>
      </c>
      <c r="H102" s="38" t="n">
        <v>11.6</v>
      </c>
      <c r="I102" s="38" t="n">
        <v>4.66</v>
      </c>
      <c r="J102" s="38" t="n">
        <v>12</v>
      </c>
      <c r="K102" s="20" t="n">
        <v>0</v>
      </c>
      <c r="L102" s="26">
        <f>IF(H102&lt;=J102,1,0)</f>
        <v>1</v>
      </c>
    </row>
    <row r="103">
      <c r="A103" s="24" t="inlineStr">
        <is>
          <t>QL-016-6</t>
        </is>
      </c>
      <c r="B103" s="39" t="n">
        <v>45673</v>
      </c>
      <c r="C103" s="40" t="inlineStr">
        <is>
          <t>出港</t>
        </is>
      </c>
      <c r="D103" s="24" t="inlineStr">
        <is>
          <t>件杂货</t>
        </is>
      </c>
      <c r="E103" s="24" t="inlineStr">
        <is>
          <t>东南亚</t>
        </is>
      </c>
      <c r="F103" s="24" t="inlineStr">
        <is>
          <t>06号泊位</t>
        </is>
      </c>
      <c r="G103" s="25" t="n">
        <v>3611</v>
      </c>
      <c r="H103" s="41" t="n">
        <v>7.11</v>
      </c>
      <c r="I103" s="41" t="n">
        <v>1.42</v>
      </c>
      <c r="J103" s="41" t="n">
        <v>5.92</v>
      </c>
      <c r="K103" s="25" t="n">
        <v>0</v>
      </c>
      <c r="L103" s="26">
        <f>IF(H103&lt;=J103,1,0)</f>
        <v>0</v>
      </c>
    </row>
    <row r="104">
      <c r="A104" s="19" t="inlineStr">
        <is>
          <t>QL-017-1</t>
        </is>
      </c>
      <c r="B104" s="36" t="n">
        <v>45674</v>
      </c>
      <c r="C104" s="37" t="inlineStr">
        <is>
          <t>进港</t>
        </is>
      </c>
      <c r="D104" s="19" t="inlineStr">
        <is>
          <t>集装箱货物</t>
        </is>
      </c>
      <c r="E104" s="19" t="inlineStr">
        <is>
          <t>欧洲</t>
        </is>
      </c>
      <c r="F104" s="19" t="inlineStr">
        <is>
          <t>01号泊位</t>
        </is>
      </c>
      <c r="G104" s="20" t="n">
        <v>10494</v>
      </c>
      <c r="H104" s="38" t="n">
        <v>14.14</v>
      </c>
      <c r="I104" s="38" t="n">
        <v>3.23</v>
      </c>
      <c r="J104" s="38" t="n">
        <v>11.66</v>
      </c>
      <c r="K104" s="20" t="n">
        <v>732</v>
      </c>
      <c r="L104" s="26">
        <f>IF(H104&lt;=J104,1,0)</f>
        <v>0</v>
      </c>
    </row>
    <row r="105">
      <c r="A105" s="24" t="inlineStr">
        <is>
          <t>QL-017-2</t>
        </is>
      </c>
      <c r="B105" s="39" t="n">
        <v>45674</v>
      </c>
      <c r="C105" s="40" t="inlineStr">
        <is>
          <t>进港</t>
        </is>
      </c>
      <c r="D105" s="24" t="inlineStr">
        <is>
          <t>金属矿石</t>
        </is>
      </c>
      <c r="E105" s="24" t="inlineStr">
        <is>
          <t>国内沿海</t>
        </is>
      </c>
      <c r="F105" s="24" t="inlineStr">
        <is>
          <t>02号泊位</t>
        </is>
      </c>
      <c r="G105" s="25" t="n">
        <v>13830</v>
      </c>
      <c r="H105" s="41" t="n">
        <v>7.39</v>
      </c>
      <c r="I105" s="41" t="n">
        <v>0.73</v>
      </c>
      <c r="J105" s="41" t="n">
        <v>8.92</v>
      </c>
      <c r="K105" s="25" t="n">
        <v>0</v>
      </c>
      <c r="L105" s="26">
        <f>IF(H105&lt;=J105,1,0)</f>
        <v>1</v>
      </c>
    </row>
    <row r="106">
      <c r="A106" s="19" t="inlineStr">
        <is>
          <t>QL-017-3</t>
        </is>
      </c>
      <c r="B106" s="36" t="n">
        <v>45674</v>
      </c>
      <c r="C106" s="37" t="inlineStr">
        <is>
          <t>出港</t>
        </is>
      </c>
      <c r="D106" s="19" t="inlineStr">
        <is>
          <t>煤炭</t>
        </is>
      </c>
      <c r="E106" s="19" t="inlineStr">
        <is>
          <t>东亚</t>
        </is>
      </c>
      <c r="F106" s="19" t="inlineStr">
        <is>
          <t>03号泊位</t>
        </is>
      </c>
      <c r="G106" s="20" t="n">
        <v>9848</v>
      </c>
      <c r="H106" s="38" t="n">
        <v>6.68</v>
      </c>
      <c r="I106" s="38" t="n">
        <v>0.33</v>
      </c>
      <c r="J106" s="38" t="n">
        <v>7.46</v>
      </c>
      <c r="K106" s="20" t="n">
        <v>0</v>
      </c>
      <c r="L106" s="26">
        <f>IF(H106&lt;=J106,1,0)</f>
        <v>1</v>
      </c>
    </row>
    <row r="107">
      <c r="A107" s="24" t="inlineStr">
        <is>
          <t>QL-017-4</t>
        </is>
      </c>
      <c r="B107" s="39" t="n">
        <v>45674</v>
      </c>
      <c r="C107" s="40" t="inlineStr">
        <is>
          <t>进港</t>
        </is>
      </c>
      <c r="D107" s="24" t="inlineStr">
        <is>
          <t>粮食</t>
        </is>
      </c>
      <c r="E107" s="24" t="inlineStr">
        <is>
          <t>国内沿海</t>
        </is>
      </c>
      <c r="F107" s="24" t="inlineStr">
        <is>
          <t>04号泊位</t>
        </is>
      </c>
      <c r="G107" s="25" t="n">
        <v>8684</v>
      </c>
      <c r="H107" s="41" t="n">
        <v>8.93</v>
      </c>
      <c r="I107" s="41" t="n">
        <v>2.75</v>
      </c>
      <c r="J107" s="41" t="n">
        <v>8.51</v>
      </c>
      <c r="K107" s="25" t="n">
        <v>0</v>
      </c>
      <c r="L107" s="26">
        <f>IF(H107&lt;=J107,1,0)</f>
        <v>0</v>
      </c>
    </row>
    <row r="108">
      <c r="A108" s="19" t="inlineStr">
        <is>
          <t>QL-017-5</t>
        </is>
      </c>
      <c r="B108" s="36" t="n">
        <v>45674</v>
      </c>
      <c r="C108" s="37" t="inlineStr">
        <is>
          <t>出港</t>
        </is>
      </c>
      <c r="D108" s="19" t="inlineStr">
        <is>
          <t>液体散货</t>
        </is>
      </c>
      <c r="E108" s="19" t="inlineStr">
        <is>
          <t>国内沿海</t>
        </is>
      </c>
      <c r="F108" s="19" t="inlineStr">
        <is>
          <t>05号泊位</t>
        </is>
      </c>
      <c r="G108" s="20" t="n">
        <v>10730</v>
      </c>
      <c r="H108" s="38" t="n">
        <v>6.58</v>
      </c>
      <c r="I108" s="38" t="n">
        <v>3.64</v>
      </c>
      <c r="J108" s="38" t="n">
        <v>7.45</v>
      </c>
      <c r="K108" s="20" t="n">
        <v>0</v>
      </c>
      <c r="L108" s="26">
        <f>IF(H108&lt;=J108,1,0)</f>
        <v>1</v>
      </c>
    </row>
    <row r="109">
      <c r="A109" s="24" t="inlineStr">
        <is>
          <t>QL-017-6</t>
        </is>
      </c>
      <c r="B109" s="39" t="n">
        <v>45674</v>
      </c>
      <c r="C109" s="40" t="inlineStr">
        <is>
          <t>出港</t>
        </is>
      </c>
      <c r="D109" s="24" t="inlineStr">
        <is>
          <t>件杂货</t>
        </is>
      </c>
      <c r="E109" s="24" t="inlineStr">
        <is>
          <t>国内沿海</t>
        </is>
      </c>
      <c r="F109" s="24" t="inlineStr">
        <is>
          <t>06号泊位</t>
        </is>
      </c>
      <c r="G109" s="25" t="n">
        <v>3162</v>
      </c>
      <c r="H109" s="41" t="n">
        <v>4.63</v>
      </c>
      <c r="I109" s="41" t="n">
        <v>2.01</v>
      </c>
      <c r="J109" s="41" t="n">
        <v>5.18</v>
      </c>
      <c r="K109" s="25" t="n">
        <v>0</v>
      </c>
      <c r="L109" s="26">
        <f>IF(H109&lt;=J109,1,0)</f>
        <v>1</v>
      </c>
    </row>
    <row r="110">
      <c r="A110" s="19" t="inlineStr">
        <is>
          <t>QL-018-1</t>
        </is>
      </c>
      <c r="B110" s="36" t="n">
        <v>45675</v>
      </c>
      <c r="C110" s="37" t="inlineStr">
        <is>
          <t>进港</t>
        </is>
      </c>
      <c r="D110" s="19" t="inlineStr">
        <is>
          <t>集装箱货物</t>
        </is>
      </c>
      <c r="E110" s="19" t="inlineStr">
        <is>
          <t>北美</t>
        </is>
      </c>
      <c r="F110" s="19" t="inlineStr">
        <is>
          <t>01号泊位</t>
        </is>
      </c>
      <c r="G110" s="20" t="n">
        <v>7864</v>
      </c>
      <c r="H110" s="38" t="n">
        <v>7.85</v>
      </c>
      <c r="I110" s="38" t="n">
        <v>5.05</v>
      </c>
      <c r="J110" s="38" t="n">
        <v>8.74</v>
      </c>
      <c r="K110" s="20" t="n">
        <v>531</v>
      </c>
      <c r="L110" s="26">
        <f>IF(H110&lt;=J110,1,0)</f>
        <v>1</v>
      </c>
    </row>
    <row r="111">
      <c r="A111" s="24" t="inlineStr">
        <is>
          <t>QL-018-2</t>
        </is>
      </c>
      <c r="B111" s="39" t="n">
        <v>45675</v>
      </c>
      <c r="C111" s="40" t="inlineStr">
        <is>
          <t>进港</t>
        </is>
      </c>
      <c r="D111" s="24" t="inlineStr">
        <is>
          <t>金属矿石</t>
        </is>
      </c>
      <c r="E111" s="24" t="inlineStr">
        <is>
          <t>北美</t>
        </is>
      </c>
      <c r="F111" s="24" t="inlineStr">
        <is>
          <t>02号泊位</t>
        </is>
      </c>
      <c r="G111" s="25" t="n">
        <v>14053</v>
      </c>
      <c r="H111" s="41" t="n">
        <v>9.279999999999999</v>
      </c>
      <c r="I111" s="41" t="n">
        <v>5.86</v>
      </c>
      <c r="J111" s="41" t="n">
        <v>9.07</v>
      </c>
      <c r="K111" s="25" t="n">
        <v>0</v>
      </c>
      <c r="L111" s="26">
        <f>IF(H111&lt;=J111,1,0)</f>
        <v>0</v>
      </c>
    </row>
    <row r="112">
      <c r="A112" s="19" t="inlineStr">
        <is>
          <t>QL-018-3</t>
        </is>
      </c>
      <c r="B112" s="36" t="n">
        <v>45675</v>
      </c>
      <c r="C112" s="37" t="inlineStr">
        <is>
          <t>出港</t>
        </is>
      </c>
      <c r="D112" s="19" t="inlineStr">
        <is>
          <t>煤炭</t>
        </is>
      </c>
      <c r="E112" s="19" t="inlineStr">
        <is>
          <t>东亚</t>
        </is>
      </c>
      <c r="F112" s="19" t="inlineStr">
        <is>
          <t>03号泊位</t>
        </is>
      </c>
      <c r="G112" s="20" t="n">
        <v>14265</v>
      </c>
      <c r="H112" s="38" t="n">
        <v>11.95</v>
      </c>
      <c r="I112" s="38" t="n">
        <v>1.94</v>
      </c>
      <c r="J112" s="38" t="n">
        <v>10.81</v>
      </c>
      <c r="K112" s="20" t="n">
        <v>0</v>
      </c>
      <c r="L112" s="26">
        <f>IF(H112&lt;=J112,1,0)</f>
        <v>0</v>
      </c>
    </row>
    <row r="113">
      <c r="A113" s="24" t="inlineStr">
        <is>
          <t>QL-018-4</t>
        </is>
      </c>
      <c r="B113" s="39" t="n">
        <v>45675</v>
      </c>
      <c r="C113" s="40" t="inlineStr">
        <is>
          <t>进港</t>
        </is>
      </c>
      <c r="D113" s="24" t="inlineStr">
        <is>
          <t>粮食</t>
        </is>
      </c>
      <c r="E113" s="24" t="inlineStr">
        <is>
          <t>东亚</t>
        </is>
      </c>
      <c r="F113" s="24" t="inlineStr">
        <is>
          <t>04号泊位</t>
        </is>
      </c>
      <c r="G113" s="25" t="n">
        <v>8373</v>
      </c>
      <c r="H113" s="41" t="n">
        <v>6.89</v>
      </c>
      <c r="I113" s="41" t="n">
        <v>2.26</v>
      </c>
      <c r="J113" s="41" t="n">
        <v>8.210000000000001</v>
      </c>
      <c r="K113" s="25" t="n">
        <v>0</v>
      </c>
      <c r="L113" s="26">
        <f>IF(H113&lt;=J113,1,0)</f>
        <v>1</v>
      </c>
    </row>
    <row r="114">
      <c r="A114" s="19" t="inlineStr">
        <is>
          <t>QL-018-5</t>
        </is>
      </c>
      <c r="B114" s="36" t="n">
        <v>45675</v>
      </c>
      <c r="C114" s="37" t="inlineStr">
        <is>
          <t>进港</t>
        </is>
      </c>
      <c r="D114" s="19" t="inlineStr">
        <is>
          <t>液体散货</t>
        </is>
      </c>
      <c r="E114" s="19" t="inlineStr">
        <is>
          <t>东亚</t>
        </is>
      </c>
      <c r="F114" s="19" t="inlineStr">
        <is>
          <t>05号泊位</t>
        </is>
      </c>
      <c r="G114" s="20" t="n">
        <v>8683</v>
      </c>
      <c r="H114" s="38" t="n">
        <v>5.17</v>
      </c>
      <c r="I114" s="38" t="n">
        <v>2.91</v>
      </c>
      <c r="J114" s="38" t="n">
        <v>6.03</v>
      </c>
      <c r="K114" s="20" t="n">
        <v>0</v>
      </c>
      <c r="L114" s="26">
        <f>IF(H114&lt;=J114,1,0)</f>
        <v>1</v>
      </c>
    </row>
    <row r="115">
      <c r="A115" s="24" t="inlineStr">
        <is>
          <t>QL-018-6</t>
        </is>
      </c>
      <c r="B115" s="39" t="n">
        <v>45675</v>
      </c>
      <c r="C115" s="40" t="inlineStr">
        <is>
          <t>进港</t>
        </is>
      </c>
      <c r="D115" s="24" t="inlineStr">
        <is>
          <t>件杂货</t>
        </is>
      </c>
      <c r="E115" s="24" t="inlineStr">
        <is>
          <t>国内沿海</t>
        </is>
      </c>
      <c r="F115" s="24" t="inlineStr">
        <is>
          <t>06号泊位</t>
        </is>
      </c>
      <c r="G115" s="25" t="n">
        <v>4368</v>
      </c>
      <c r="H115" s="41" t="n">
        <v>7.6</v>
      </c>
      <c r="I115" s="41" t="n">
        <v>0.5</v>
      </c>
      <c r="J115" s="41" t="n">
        <v>7.16</v>
      </c>
      <c r="K115" s="25" t="n">
        <v>0</v>
      </c>
      <c r="L115" s="26">
        <f>IF(H115&lt;=J115,1,0)</f>
        <v>0</v>
      </c>
    </row>
    <row r="116">
      <c r="A116" s="19" t="inlineStr">
        <is>
          <t>QL-019-1</t>
        </is>
      </c>
      <c r="B116" s="36" t="n">
        <v>45676</v>
      </c>
      <c r="C116" s="37" t="inlineStr">
        <is>
          <t>出港</t>
        </is>
      </c>
      <c r="D116" s="19" t="inlineStr">
        <is>
          <t>集装箱货物</t>
        </is>
      </c>
      <c r="E116" s="19" t="inlineStr">
        <is>
          <t>国内沿海</t>
        </is>
      </c>
      <c r="F116" s="19" t="inlineStr">
        <is>
          <t>01号泊位</t>
        </is>
      </c>
      <c r="G116" s="20" t="n">
        <v>8933</v>
      </c>
      <c r="H116" s="38" t="n">
        <v>9.26</v>
      </c>
      <c r="I116" s="38" t="n">
        <v>9.32</v>
      </c>
      <c r="J116" s="38" t="n">
        <v>9.93</v>
      </c>
      <c r="K116" s="20" t="n">
        <v>584</v>
      </c>
      <c r="L116" s="26">
        <f>IF(H116&lt;=J116,1,0)</f>
        <v>1</v>
      </c>
    </row>
    <row r="117">
      <c r="A117" s="24" t="inlineStr">
        <is>
          <t>QL-019-2</t>
        </is>
      </c>
      <c r="B117" s="39" t="n">
        <v>45676</v>
      </c>
      <c r="C117" s="40" t="inlineStr">
        <is>
          <t>进港</t>
        </is>
      </c>
      <c r="D117" s="24" t="inlineStr">
        <is>
          <t>金属矿石</t>
        </is>
      </c>
      <c r="E117" s="24" t="inlineStr">
        <is>
          <t>欧洲</t>
        </is>
      </c>
      <c r="F117" s="24" t="inlineStr">
        <is>
          <t>02号泊位</t>
        </is>
      </c>
      <c r="G117" s="25" t="n">
        <v>15339</v>
      </c>
      <c r="H117" s="41" t="n">
        <v>8.720000000000001</v>
      </c>
      <c r="I117" s="41" t="n">
        <v>2.68</v>
      </c>
      <c r="J117" s="41" t="n">
        <v>9.9</v>
      </c>
      <c r="K117" s="25" t="n">
        <v>0</v>
      </c>
      <c r="L117" s="26">
        <f>IF(H117&lt;=J117,1,0)</f>
        <v>1</v>
      </c>
    </row>
    <row r="118">
      <c r="A118" s="19" t="inlineStr">
        <is>
          <t>QL-019-3</t>
        </is>
      </c>
      <c r="B118" s="36" t="n">
        <v>45676</v>
      </c>
      <c r="C118" s="37" t="inlineStr">
        <is>
          <t>进港</t>
        </is>
      </c>
      <c r="D118" s="19" t="inlineStr">
        <is>
          <t>煤炭</t>
        </is>
      </c>
      <c r="E118" s="19" t="inlineStr">
        <is>
          <t>欧洲</t>
        </is>
      </c>
      <c r="F118" s="19" t="inlineStr">
        <is>
          <t>03号泊位</t>
        </is>
      </c>
      <c r="G118" s="20" t="n">
        <v>12620</v>
      </c>
      <c r="H118" s="38" t="n">
        <v>8.880000000000001</v>
      </c>
      <c r="I118" s="38" t="n">
        <v>2.18</v>
      </c>
      <c r="J118" s="38" t="n">
        <v>9.56</v>
      </c>
      <c r="K118" s="20" t="n">
        <v>0</v>
      </c>
      <c r="L118" s="26">
        <f>IF(H118&lt;=J118,1,0)</f>
        <v>1</v>
      </c>
    </row>
    <row r="119">
      <c r="A119" s="24" t="inlineStr">
        <is>
          <t>QL-019-4</t>
        </is>
      </c>
      <c r="B119" s="39" t="n">
        <v>45676</v>
      </c>
      <c r="C119" s="40" t="inlineStr">
        <is>
          <t>进港</t>
        </is>
      </c>
      <c r="D119" s="24" t="inlineStr">
        <is>
          <t>粮食</t>
        </is>
      </c>
      <c r="E119" s="24" t="inlineStr">
        <is>
          <t>东亚</t>
        </is>
      </c>
      <c r="F119" s="24" t="inlineStr">
        <is>
          <t>04号泊位</t>
        </is>
      </c>
      <c r="G119" s="25" t="n">
        <v>6466</v>
      </c>
      <c r="H119" s="41" t="n">
        <v>5.16</v>
      </c>
      <c r="I119" s="41" t="n">
        <v>4.56</v>
      </c>
      <c r="J119" s="41" t="n">
        <v>6.34</v>
      </c>
      <c r="K119" s="25" t="n">
        <v>0</v>
      </c>
      <c r="L119" s="26">
        <f>IF(H119&lt;=J119,1,0)</f>
        <v>1</v>
      </c>
    </row>
    <row r="120">
      <c r="A120" s="19" t="inlineStr">
        <is>
          <t>QL-019-5</t>
        </is>
      </c>
      <c r="B120" s="36" t="n">
        <v>45676</v>
      </c>
      <c r="C120" s="37" t="inlineStr">
        <is>
          <t>出港</t>
        </is>
      </c>
      <c r="D120" s="19" t="inlineStr">
        <is>
          <t>液体散货</t>
        </is>
      </c>
      <c r="E120" s="19" t="inlineStr">
        <is>
          <t>东南亚</t>
        </is>
      </c>
      <c r="F120" s="19" t="inlineStr">
        <is>
          <t>05号泊位</t>
        </is>
      </c>
      <c r="G120" s="20" t="n">
        <v>7799</v>
      </c>
      <c r="H120" s="38" t="n">
        <v>5.94</v>
      </c>
      <c r="I120" s="38" t="n">
        <v>0.52</v>
      </c>
      <c r="J120" s="38" t="n">
        <v>5.42</v>
      </c>
      <c r="K120" s="20" t="n">
        <v>0</v>
      </c>
      <c r="L120" s="26">
        <f>IF(H120&lt;=J120,1,0)</f>
        <v>0</v>
      </c>
    </row>
    <row r="121">
      <c r="A121" s="24" t="inlineStr">
        <is>
          <t>QL-019-6</t>
        </is>
      </c>
      <c r="B121" s="39" t="n">
        <v>45676</v>
      </c>
      <c r="C121" s="40" t="inlineStr">
        <is>
          <t>出港</t>
        </is>
      </c>
      <c r="D121" s="24" t="inlineStr">
        <is>
          <t>件杂货</t>
        </is>
      </c>
      <c r="E121" s="24" t="inlineStr">
        <is>
          <t>欧洲</t>
        </is>
      </c>
      <c r="F121" s="24" t="inlineStr">
        <is>
          <t>06号泊位</t>
        </is>
      </c>
      <c r="G121" s="25" t="n">
        <v>4314</v>
      </c>
      <c r="H121" s="41" t="n">
        <v>8.01</v>
      </c>
      <c r="I121" s="41" t="n">
        <v>4.18</v>
      </c>
      <c r="J121" s="41" t="n">
        <v>7.07</v>
      </c>
      <c r="K121" s="25" t="n">
        <v>0</v>
      </c>
      <c r="L121" s="26">
        <f>IF(H121&lt;=J121,1,0)</f>
        <v>0</v>
      </c>
    </row>
    <row r="122">
      <c r="A122" s="19" t="inlineStr">
        <is>
          <t>QL-020-1</t>
        </is>
      </c>
      <c r="B122" s="36" t="n">
        <v>45677</v>
      </c>
      <c r="C122" s="37" t="inlineStr">
        <is>
          <t>进港</t>
        </is>
      </c>
      <c r="D122" s="19" t="inlineStr">
        <is>
          <t>集装箱货物</t>
        </is>
      </c>
      <c r="E122" s="19" t="inlineStr">
        <is>
          <t>东亚</t>
        </is>
      </c>
      <c r="F122" s="19" t="inlineStr">
        <is>
          <t>01号泊位</t>
        </is>
      </c>
      <c r="G122" s="20" t="n">
        <v>12725</v>
      </c>
      <c r="H122" s="38" t="n">
        <v>15.32</v>
      </c>
      <c r="I122" s="38" t="n">
        <v>3.21</v>
      </c>
      <c r="J122" s="38" t="n">
        <v>14.14</v>
      </c>
      <c r="K122" s="20" t="n">
        <v>860</v>
      </c>
      <c r="L122" s="26">
        <f>IF(H122&lt;=J122,1,0)</f>
        <v>0</v>
      </c>
    </row>
    <row r="123">
      <c r="A123" s="24" t="inlineStr">
        <is>
          <t>QL-020-2</t>
        </is>
      </c>
      <c r="B123" s="39" t="n">
        <v>45677</v>
      </c>
      <c r="C123" s="40" t="inlineStr">
        <is>
          <t>出港</t>
        </is>
      </c>
      <c r="D123" s="24" t="inlineStr">
        <is>
          <t>金属矿石</t>
        </is>
      </c>
      <c r="E123" s="24" t="inlineStr">
        <is>
          <t>北美</t>
        </is>
      </c>
      <c r="F123" s="24" t="inlineStr">
        <is>
          <t>02号泊位</t>
        </is>
      </c>
      <c r="G123" s="25" t="n">
        <v>22658</v>
      </c>
      <c r="H123" s="41" t="n">
        <v>14.44</v>
      </c>
      <c r="I123" s="41" t="n">
        <v>0.3</v>
      </c>
      <c r="J123" s="41" t="n">
        <v>14.62</v>
      </c>
      <c r="K123" s="25" t="n">
        <v>0</v>
      </c>
      <c r="L123" s="26">
        <f>IF(H123&lt;=J123,1,0)</f>
        <v>1</v>
      </c>
    </row>
    <row r="124">
      <c r="A124" s="19" t="inlineStr">
        <is>
          <t>QL-020-3</t>
        </is>
      </c>
      <c r="B124" s="36" t="n">
        <v>45677</v>
      </c>
      <c r="C124" s="37" t="inlineStr">
        <is>
          <t>进港</t>
        </is>
      </c>
      <c r="D124" s="19" t="inlineStr">
        <is>
          <t>煤炭</t>
        </is>
      </c>
      <c r="E124" s="19" t="inlineStr">
        <is>
          <t>国内沿海</t>
        </is>
      </c>
      <c r="F124" s="19" t="inlineStr">
        <is>
          <t>03号泊位</t>
        </is>
      </c>
      <c r="G124" s="20" t="n">
        <v>11900</v>
      </c>
      <c r="H124" s="38" t="n">
        <v>7.44</v>
      </c>
      <c r="I124" s="38" t="n">
        <v>2.27</v>
      </c>
      <c r="J124" s="38" t="n">
        <v>9.02</v>
      </c>
      <c r="K124" s="20" t="n">
        <v>0</v>
      </c>
      <c r="L124" s="26">
        <f>IF(H124&lt;=J124,1,0)</f>
        <v>1</v>
      </c>
    </row>
    <row r="125">
      <c r="A125" s="24" t="inlineStr">
        <is>
          <t>QL-020-4</t>
        </is>
      </c>
      <c r="B125" s="39" t="n">
        <v>45677</v>
      </c>
      <c r="C125" s="40" t="inlineStr">
        <is>
          <t>进港</t>
        </is>
      </c>
      <c r="D125" s="24" t="inlineStr">
        <is>
          <t>粮食</t>
        </is>
      </c>
      <c r="E125" s="24" t="inlineStr">
        <is>
          <t>东亚</t>
        </is>
      </c>
      <c r="F125" s="24" t="inlineStr">
        <is>
          <t>04号泊位</t>
        </is>
      </c>
      <c r="G125" s="25" t="n">
        <v>8378</v>
      </c>
      <c r="H125" s="41" t="n">
        <v>8.640000000000001</v>
      </c>
      <c r="I125" s="41" t="n">
        <v>3.74</v>
      </c>
      <c r="J125" s="41" t="n">
        <v>8.210000000000001</v>
      </c>
      <c r="K125" s="25" t="n">
        <v>0</v>
      </c>
      <c r="L125" s="26">
        <f>IF(H125&lt;=J125,1,0)</f>
        <v>0</v>
      </c>
    </row>
    <row r="126">
      <c r="A126" s="19" t="inlineStr">
        <is>
          <t>QL-020-5</t>
        </is>
      </c>
      <c r="B126" s="36" t="n">
        <v>45677</v>
      </c>
      <c r="C126" s="37" t="inlineStr">
        <is>
          <t>出港</t>
        </is>
      </c>
      <c r="D126" s="19" t="inlineStr">
        <is>
          <t>液体散货</t>
        </is>
      </c>
      <c r="E126" s="19" t="inlineStr">
        <is>
          <t>东亚</t>
        </is>
      </c>
      <c r="F126" s="19" t="inlineStr">
        <is>
          <t>05号泊位</t>
        </is>
      </c>
      <c r="G126" s="20" t="n">
        <v>10620</v>
      </c>
      <c r="H126" s="38" t="n">
        <v>8.08</v>
      </c>
      <c r="I126" s="38" t="n">
        <v>1.88</v>
      </c>
      <c r="J126" s="38" t="n">
        <v>7.38</v>
      </c>
      <c r="K126" s="20" t="n">
        <v>0</v>
      </c>
      <c r="L126" s="26">
        <f>IF(H126&lt;=J126,1,0)</f>
        <v>0</v>
      </c>
    </row>
    <row r="127">
      <c r="A127" s="24" t="inlineStr">
        <is>
          <t>QL-020-6</t>
        </is>
      </c>
      <c r="B127" s="39" t="n">
        <v>45677</v>
      </c>
      <c r="C127" s="40" t="inlineStr">
        <is>
          <t>出港</t>
        </is>
      </c>
      <c r="D127" s="24" t="inlineStr">
        <is>
          <t>件杂货</t>
        </is>
      </c>
      <c r="E127" s="24" t="inlineStr">
        <is>
          <t>国内沿海</t>
        </is>
      </c>
      <c r="F127" s="24" t="inlineStr">
        <is>
          <t>06号泊位</t>
        </is>
      </c>
      <c r="G127" s="25" t="n">
        <v>5593</v>
      </c>
      <c r="H127" s="41" t="n">
        <v>10.27</v>
      </c>
      <c r="I127" s="41" t="n">
        <v>4.47</v>
      </c>
      <c r="J127" s="41" t="n">
        <v>9.17</v>
      </c>
      <c r="K127" s="25" t="n">
        <v>0</v>
      </c>
      <c r="L127" s="26">
        <f>IF(H127&lt;=J127,1,0)</f>
        <v>0</v>
      </c>
    </row>
    <row r="128">
      <c r="A128" s="19" t="inlineStr">
        <is>
          <t>QL-021-1</t>
        </is>
      </c>
      <c r="B128" s="36" t="n">
        <v>45678</v>
      </c>
      <c r="C128" s="37" t="inlineStr">
        <is>
          <t>出港</t>
        </is>
      </c>
      <c r="D128" s="19" t="inlineStr">
        <is>
          <t>集装箱货物</t>
        </is>
      </c>
      <c r="E128" s="19" t="inlineStr">
        <is>
          <t>东亚</t>
        </is>
      </c>
      <c r="F128" s="19" t="inlineStr">
        <is>
          <t>01号泊位</t>
        </is>
      </c>
      <c r="G128" s="20" t="n">
        <v>9595</v>
      </c>
      <c r="H128" s="38" t="n">
        <v>11.76</v>
      </c>
      <c r="I128" s="38" t="n">
        <v>4.6</v>
      </c>
      <c r="J128" s="38" t="n">
        <v>10.66</v>
      </c>
      <c r="K128" s="20" t="n">
        <v>722</v>
      </c>
      <c r="L128" s="26">
        <f>IF(H128&lt;=J128,1,0)</f>
        <v>0</v>
      </c>
    </row>
    <row r="129">
      <c r="A129" s="24" t="inlineStr">
        <is>
          <t>QL-021-2</t>
        </is>
      </c>
      <c r="B129" s="39" t="n">
        <v>45678</v>
      </c>
      <c r="C129" s="40" t="inlineStr">
        <is>
          <t>进港</t>
        </is>
      </c>
      <c r="D129" s="24" t="inlineStr">
        <is>
          <t>金属矿石</t>
        </is>
      </c>
      <c r="E129" s="24" t="inlineStr">
        <is>
          <t>东南亚</t>
        </is>
      </c>
      <c r="F129" s="24" t="inlineStr">
        <is>
          <t>02号泊位</t>
        </is>
      </c>
      <c r="G129" s="25" t="n">
        <v>21488</v>
      </c>
      <c r="H129" s="41" t="n">
        <v>12.34</v>
      </c>
      <c r="I129" s="41" t="n">
        <v>1.92</v>
      </c>
      <c r="J129" s="41" t="n">
        <v>13.86</v>
      </c>
      <c r="K129" s="25" t="n">
        <v>0</v>
      </c>
      <c r="L129" s="26">
        <f>IF(H129&lt;=J129,1,0)</f>
        <v>1</v>
      </c>
    </row>
    <row r="130">
      <c r="A130" s="19" t="inlineStr">
        <is>
          <t>QL-021-3</t>
        </is>
      </c>
      <c r="B130" s="36" t="n">
        <v>45678</v>
      </c>
      <c r="C130" s="37" t="inlineStr">
        <is>
          <t>进港</t>
        </is>
      </c>
      <c r="D130" s="19" t="inlineStr">
        <is>
          <t>煤炭</t>
        </is>
      </c>
      <c r="E130" s="19" t="inlineStr">
        <is>
          <t>国内沿海</t>
        </is>
      </c>
      <c r="F130" s="19" t="inlineStr">
        <is>
          <t>03号泊位</t>
        </is>
      </c>
      <c r="G130" s="20" t="n">
        <v>10603</v>
      </c>
      <c r="H130" s="38" t="n">
        <v>7.64</v>
      </c>
      <c r="I130" s="38" t="n">
        <v>0.47</v>
      </c>
      <c r="J130" s="38" t="n">
        <v>8.029999999999999</v>
      </c>
      <c r="K130" s="20" t="n">
        <v>0</v>
      </c>
      <c r="L130" s="26">
        <f>IF(H130&lt;=J130,1,0)</f>
        <v>1</v>
      </c>
    </row>
    <row r="131">
      <c r="A131" s="24" t="inlineStr">
        <is>
          <t>QL-021-4</t>
        </is>
      </c>
      <c r="B131" s="39" t="n">
        <v>45678</v>
      </c>
      <c r="C131" s="40" t="inlineStr">
        <is>
          <t>进港</t>
        </is>
      </c>
      <c r="D131" s="24" t="inlineStr">
        <is>
          <t>粮食</t>
        </is>
      </c>
      <c r="E131" s="24" t="inlineStr">
        <is>
          <t>国内沿海</t>
        </is>
      </c>
      <c r="F131" s="24" t="inlineStr">
        <is>
          <t>04号泊位</t>
        </is>
      </c>
      <c r="G131" s="25" t="n">
        <v>5412</v>
      </c>
      <c r="H131" s="41" t="n">
        <v>5.7</v>
      </c>
      <c r="I131" s="41" t="n">
        <v>1</v>
      </c>
      <c r="J131" s="41" t="n">
        <v>5.31</v>
      </c>
      <c r="K131" s="25" t="n">
        <v>0</v>
      </c>
      <c r="L131" s="26">
        <f>IF(H131&lt;=J131,1,0)</f>
        <v>0</v>
      </c>
    </row>
    <row r="132">
      <c r="A132" s="19" t="inlineStr">
        <is>
          <t>QL-021-5</t>
        </is>
      </c>
      <c r="B132" s="36" t="n">
        <v>45678</v>
      </c>
      <c r="C132" s="37" t="inlineStr">
        <is>
          <t>进港</t>
        </is>
      </c>
      <c r="D132" s="19" t="inlineStr">
        <is>
          <t>液体散货</t>
        </is>
      </c>
      <c r="E132" s="19" t="inlineStr">
        <is>
          <t>北美</t>
        </is>
      </c>
      <c r="F132" s="19" t="inlineStr">
        <is>
          <t>05号泊位</t>
        </is>
      </c>
      <c r="G132" s="20" t="n">
        <v>8362</v>
      </c>
      <c r="H132" s="38" t="n">
        <v>4.74</v>
      </c>
      <c r="I132" s="38" t="n">
        <v>2.56</v>
      </c>
      <c r="J132" s="38" t="n">
        <v>5.81</v>
      </c>
      <c r="K132" s="20" t="n">
        <v>0</v>
      </c>
      <c r="L132" s="26">
        <f>IF(H132&lt;=J132,1,0)</f>
        <v>1</v>
      </c>
    </row>
    <row r="133">
      <c r="A133" s="24" t="inlineStr">
        <is>
          <t>QL-021-6</t>
        </is>
      </c>
      <c r="B133" s="39" t="n">
        <v>45678</v>
      </c>
      <c r="C133" s="40" t="inlineStr">
        <is>
          <t>进港</t>
        </is>
      </c>
      <c r="D133" s="24" t="inlineStr">
        <is>
          <t>件杂货</t>
        </is>
      </c>
      <c r="E133" s="24" t="inlineStr">
        <is>
          <t>欧洲</t>
        </is>
      </c>
      <c r="F133" s="24" t="inlineStr">
        <is>
          <t>06号泊位</t>
        </is>
      </c>
      <c r="G133" s="25" t="n">
        <v>3957</v>
      </c>
      <c r="H133" s="41" t="n">
        <v>5.97</v>
      </c>
      <c r="I133" s="41" t="n">
        <v>1.79</v>
      </c>
      <c r="J133" s="41" t="n">
        <v>6.49</v>
      </c>
      <c r="K133" s="25" t="n">
        <v>0</v>
      </c>
      <c r="L133" s="26">
        <f>IF(H133&lt;=J133,1,0)</f>
        <v>1</v>
      </c>
    </row>
    <row r="134">
      <c r="A134" s="19" t="inlineStr">
        <is>
          <t>QL-022-1</t>
        </is>
      </c>
      <c r="B134" s="36" t="n">
        <v>45679</v>
      </c>
      <c r="C134" s="37" t="inlineStr">
        <is>
          <t>进港</t>
        </is>
      </c>
      <c r="D134" s="19" t="inlineStr">
        <is>
          <t>集装箱货物</t>
        </is>
      </c>
      <c r="E134" s="19" t="inlineStr">
        <is>
          <t>东亚</t>
        </is>
      </c>
      <c r="F134" s="19" t="inlineStr">
        <is>
          <t>01号泊位</t>
        </is>
      </c>
      <c r="G134" s="20" t="n">
        <v>5979</v>
      </c>
      <c r="H134" s="38" t="n">
        <v>6.74</v>
      </c>
      <c r="I134" s="38" t="n">
        <v>1.24</v>
      </c>
      <c r="J134" s="38" t="n">
        <v>6.64</v>
      </c>
      <c r="K134" s="20" t="n">
        <v>496</v>
      </c>
      <c r="L134" s="26">
        <f>IF(H134&lt;=J134,1,0)</f>
        <v>0</v>
      </c>
    </row>
    <row r="135">
      <c r="A135" s="24" t="inlineStr">
        <is>
          <t>QL-022-2</t>
        </is>
      </c>
      <c r="B135" s="39" t="n">
        <v>45679</v>
      </c>
      <c r="C135" s="40" t="inlineStr">
        <is>
          <t>进港</t>
        </is>
      </c>
      <c r="D135" s="24" t="inlineStr">
        <is>
          <t>金属矿石</t>
        </is>
      </c>
      <c r="E135" s="24" t="inlineStr">
        <is>
          <t>东南亚</t>
        </is>
      </c>
      <c r="F135" s="24" t="inlineStr">
        <is>
          <t>02号泊位</t>
        </is>
      </c>
      <c r="G135" s="25" t="n">
        <v>10255</v>
      </c>
      <c r="H135" s="41" t="n">
        <v>6.72</v>
      </c>
      <c r="I135" s="41" t="n">
        <v>0.99</v>
      </c>
      <c r="J135" s="41" t="n">
        <v>6.62</v>
      </c>
      <c r="K135" s="25" t="n">
        <v>0</v>
      </c>
      <c r="L135" s="26">
        <f>IF(H135&lt;=J135,1,0)</f>
        <v>0</v>
      </c>
    </row>
    <row r="136">
      <c r="A136" s="19" t="inlineStr">
        <is>
          <t>QL-022-3</t>
        </is>
      </c>
      <c r="B136" s="36" t="n">
        <v>45679</v>
      </c>
      <c r="C136" s="37" t="inlineStr">
        <is>
          <t>进港</t>
        </is>
      </c>
      <c r="D136" s="19" t="inlineStr">
        <is>
          <t>煤炭</t>
        </is>
      </c>
      <c r="E136" s="19" t="inlineStr">
        <is>
          <t>国内沿海</t>
        </is>
      </c>
      <c r="F136" s="19" t="inlineStr">
        <is>
          <t>03号泊位</t>
        </is>
      </c>
      <c r="G136" s="20" t="n">
        <v>8983</v>
      </c>
      <c r="H136" s="38" t="n">
        <v>7.69</v>
      </c>
      <c r="I136" s="38" t="n">
        <v>0.87</v>
      </c>
      <c r="J136" s="38" t="n">
        <v>6.81</v>
      </c>
      <c r="K136" s="20" t="n">
        <v>0</v>
      </c>
      <c r="L136" s="26">
        <f>IF(H136&lt;=J136,1,0)</f>
        <v>0</v>
      </c>
    </row>
    <row r="137">
      <c r="A137" s="24" t="inlineStr">
        <is>
          <t>QL-022-4</t>
        </is>
      </c>
      <c r="B137" s="39" t="n">
        <v>45679</v>
      </c>
      <c r="C137" s="40" t="inlineStr">
        <is>
          <t>进港</t>
        </is>
      </c>
      <c r="D137" s="24" t="inlineStr">
        <is>
          <t>粮食</t>
        </is>
      </c>
      <c r="E137" s="24" t="inlineStr">
        <is>
          <t>东亚</t>
        </is>
      </c>
      <c r="F137" s="24" t="inlineStr">
        <is>
          <t>04号泊位</t>
        </is>
      </c>
      <c r="G137" s="25" t="n">
        <v>6725</v>
      </c>
      <c r="H137" s="41" t="n">
        <v>6.15</v>
      </c>
      <c r="I137" s="41" t="n">
        <v>0.3</v>
      </c>
      <c r="J137" s="41" t="n">
        <v>6.59</v>
      </c>
      <c r="K137" s="25" t="n">
        <v>0</v>
      </c>
      <c r="L137" s="26">
        <f>IF(H137&lt;=J137,1,0)</f>
        <v>1</v>
      </c>
    </row>
    <row r="138">
      <c r="A138" s="19" t="inlineStr">
        <is>
          <t>QL-022-5</t>
        </is>
      </c>
      <c r="B138" s="36" t="n">
        <v>45679</v>
      </c>
      <c r="C138" s="37" t="inlineStr">
        <is>
          <t>进港</t>
        </is>
      </c>
      <c r="D138" s="19" t="inlineStr">
        <is>
          <t>液体散货</t>
        </is>
      </c>
      <c r="E138" s="19" t="inlineStr">
        <is>
          <t>东亚</t>
        </is>
      </c>
      <c r="F138" s="19" t="inlineStr">
        <is>
          <t>05号泊位</t>
        </is>
      </c>
      <c r="G138" s="20" t="n">
        <v>10276</v>
      </c>
      <c r="H138" s="38" t="n">
        <v>5.87</v>
      </c>
      <c r="I138" s="38" t="n">
        <v>0.76</v>
      </c>
      <c r="J138" s="38" t="n">
        <v>7.14</v>
      </c>
      <c r="K138" s="20" t="n">
        <v>0</v>
      </c>
      <c r="L138" s="26">
        <f>IF(H138&lt;=J138,1,0)</f>
        <v>1</v>
      </c>
    </row>
    <row r="139">
      <c r="A139" s="24" t="inlineStr">
        <is>
          <t>QL-022-6</t>
        </is>
      </c>
      <c r="B139" s="39" t="n">
        <v>45679</v>
      </c>
      <c r="C139" s="40" t="inlineStr">
        <is>
          <t>进港</t>
        </is>
      </c>
      <c r="D139" s="24" t="inlineStr">
        <is>
          <t>件杂货</t>
        </is>
      </c>
      <c r="E139" s="24" t="inlineStr">
        <is>
          <t>国内沿海</t>
        </is>
      </c>
      <c r="F139" s="24" t="inlineStr">
        <is>
          <t>06号泊位</t>
        </is>
      </c>
      <c r="G139" s="25" t="n">
        <v>5900</v>
      </c>
      <c r="H139" s="41" t="n">
        <v>10.41</v>
      </c>
      <c r="I139" s="41" t="n">
        <v>0.76</v>
      </c>
      <c r="J139" s="41" t="n">
        <v>9.67</v>
      </c>
      <c r="K139" s="25" t="n">
        <v>0</v>
      </c>
      <c r="L139" s="26">
        <f>IF(H139&lt;=J139,1,0)</f>
        <v>0</v>
      </c>
    </row>
    <row r="140">
      <c r="A140" s="19" t="inlineStr">
        <is>
          <t>QL-023-1</t>
        </is>
      </c>
      <c r="B140" s="36" t="n">
        <v>45680</v>
      </c>
      <c r="C140" s="37" t="inlineStr">
        <is>
          <t>出港</t>
        </is>
      </c>
      <c r="D140" s="19" t="inlineStr">
        <is>
          <t>集装箱货物</t>
        </is>
      </c>
      <c r="E140" s="19" t="inlineStr">
        <is>
          <t>欧洲</t>
        </is>
      </c>
      <c r="F140" s="19" t="inlineStr">
        <is>
          <t>01号泊位</t>
        </is>
      </c>
      <c r="G140" s="20" t="n">
        <v>8672</v>
      </c>
      <c r="H140" s="38" t="n">
        <v>10.07</v>
      </c>
      <c r="I140" s="38" t="n">
        <v>2.76</v>
      </c>
      <c r="J140" s="38" t="n">
        <v>9.640000000000001</v>
      </c>
      <c r="K140" s="20" t="n">
        <v>689</v>
      </c>
      <c r="L140" s="26">
        <f>IF(H140&lt;=J140,1,0)</f>
        <v>0</v>
      </c>
    </row>
    <row r="141">
      <c r="A141" s="24" t="inlineStr">
        <is>
          <t>QL-023-2</t>
        </is>
      </c>
      <c r="B141" s="39" t="n">
        <v>45680</v>
      </c>
      <c r="C141" s="40" t="inlineStr">
        <is>
          <t>进港</t>
        </is>
      </c>
      <c r="D141" s="24" t="inlineStr">
        <is>
          <t>金属矿石</t>
        </is>
      </c>
      <c r="E141" s="24" t="inlineStr">
        <is>
          <t>东南亚</t>
        </is>
      </c>
      <c r="F141" s="24" t="inlineStr">
        <is>
          <t>02号泊位</t>
        </is>
      </c>
      <c r="G141" s="25" t="n">
        <v>11384</v>
      </c>
      <c r="H141" s="41" t="n">
        <v>6.16</v>
      </c>
      <c r="I141" s="41" t="n">
        <v>1.26</v>
      </c>
      <c r="J141" s="41" t="n">
        <v>7.34</v>
      </c>
      <c r="K141" s="25" t="n">
        <v>0</v>
      </c>
      <c r="L141" s="26">
        <f>IF(H141&lt;=J141,1,0)</f>
        <v>1</v>
      </c>
    </row>
    <row r="142">
      <c r="A142" s="19" t="inlineStr">
        <is>
          <t>QL-023-3</t>
        </is>
      </c>
      <c r="B142" s="36" t="n">
        <v>45680</v>
      </c>
      <c r="C142" s="37" t="inlineStr">
        <is>
          <t>进港</t>
        </is>
      </c>
      <c r="D142" s="19" t="inlineStr">
        <is>
          <t>煤炭</t>
        </is>
      </c>
      <c r="E142" s="19" t="inlineStr">
        <is>
          <t>东亚</t>
        </is>
      </c>
      <c r="F142" s="19" t="inlineStr">
        <is>
          <t>03号泊位</t>
        </is>
      </c>
      <c r="G142" s="20" t="n">
        <v>7983</v>
      </c>
      <c r="H142" s="38" t="n">
        <v>6.41</v>
      </c>
      <c r="I142" s="38" t="n">
        <v>2.02</v>
      </c>
      <c r="J142" s="38" t="n">
        <v>6.05</v>
      </c>
      <c r="K142" s="20" t="n">
        <v>0</v>
      </c>
      <c r="L142" s="26">
        <f>IF(H142&lt;=J142,1,0)</f>
        <v>0</v>
      </c>
    </row>
    <row r="143">
      <c r="A143" s="24" t="inlineStr">
        <is>
          <t>QL-023-4</t>
        </is>
      </c>
      <c r="B143" s="39" t="n">
        <v>45680</v>
      </c>
      <c r="C143" s="40" t="inlineStr">
        <is>
          <t>进港</t>
        </is>
      </c>
      <c r="D143" s="24" t="inlineStr">
        <is>
          <t>粮食</t>
        </is>
      </c>
      <c r="E143" s="24" t="inlineStr">
        <is>
          <t>东亚</t>
        </is>
      </c>
      <c r="F143" s="24" t="inlineStr">
        <is>
          <t>04号泊位</t>
        </is>
      </c>
      <c r="G143" s="25" t="n">
        <v>7924</v>
      </c>
      <c r="H143" s="41" t="n">
        <v>8.210000000000001</v>
      </c>
      <c r="I143" s="41" t="n">
        <v>0.45</v>
      </c>
      <c r="J143" s="41" t="n">
        <v>7.77</v>
      </c>
      <c r="K143" s="25" t="n">
        <v>0</v>
      </c>
      <c r="L143" s="26">
        <f>IF(H143&lt;=J143,1,0)</f>
        <v>0</v>
      </c>
    </row>
    <row r="144">
      <c r="A144" s="19" t="inlineStr">
        <is>
          <t>QL-023-5</t>
        </is>
      </c>
      <c r="B144" s="36" t="n">
        <v>45680</v>
      </c>
      <c r="C144" s="37" t="inlineStr">
        <is>
          <t>进港</t>
        </is>
      </c>
      <c r="D144" s="19" t="inlineStr">
        <is>
          <t>液体散货</t>
        </is>
      </c>
      <c r="E144" s="19" t="inlineStr">
        <is>
          <t>东南亚</t>
        </is>
      </c>
      <c r="F144" s="19" t="inlineStr">
        <is>
          <t>05号泊位</t>
        </is>
      </c>
      <c r="G144" s="20" t="n">
        <v>9177</v>
      </c>
      <c r="H144" s="38" t="n">
        <v>6.21</v>
      </c>
      <c r="I144" s="38" t="n">
        <v>1.14</v>
      </c>
      <c r="J144" s="38" t="n">
        <v>6.37</v>
      </c>
      <c r="K144" s="20" t="n">
        <v>0</v>
      </c>
      <c r="L144" s="26">
        <f>IF(H144&lt;=J144,1,0)</f>
        <v>1</v>
      </c>
    </row>
    <row r="145">
      <c r="A145" s="24" t="inlineStr">
        <is>
          <t>QL-023-6</t>
        </is>
      </c>
      <c r="B145" s="39" t="n">
        <v>45680</v>
      </c>
      <c r="C145" s="40" t="inlineStr">
        <is>
          <t>进港</t>
        </is>
      </c>
      <c r="D145" s="24" t="inlineStr">
        <is>
          <t>件杂货</t>
        </is>
      </c>
      <c r="E145" s="24" t="inlineStr">
        <is>
          <t>东亚</t>
        </is>
      </c>
      <c r="F145" s="24" t="inlineStr">
        <is>
          <t>06号泊位</t>
        </is>
      </c>
      <c r="G145" s="25" t="n">
        <v>3961</v>
      </c>
      <c r="H145" s="41" t="n">
        <v>6.84</v>
      </c>
      <c r="I145" s="41" t="n">
        <v>4.78</v>
      </c>
      <c r="J145" s="41" t="n">
        <v>6.49</v>
      </c>
      <c r="K145" s="25" t="n">
        <v>0</v>
      </c>
      <c r="L145" s="26">
        <f>IF(H145&lt;=J145,1,0)</f>
        <v>0</v>
      </c>
    </row>
    <row r="146">
      <c r="A146" s="19" t="inlineStr">
        <is>
          <t>QL-024-1</t>
        </is>
      </c>
      <c r="B146" s="36" t="n">
        <v>45681</v>
      </c>
      <c r="C146" s="37" t="inlineStr">
        <is>
          <t>进港</t>
        </is>
      </c>
      <c r="D146" s="19" t="inlineStr">
        <is>
          <t>集装箱货物</t>
        </is>
      </c>
      <c r="E146" s="19" t="inlineStr">
        <is>
          <t>东南亚</t>
        </is>
      </c>
      <c r="F146" s="19" t="inlineStr">
        <is>
          <t>01号泊位</t>
        </is>
      </c>
      <c r="G146" s="20" t="n">
        <v>9206</v>
      </c>
      <c r="H146" s="38" t="n">
        <v>11.64</v>
      </c>
      <c r="I146" s="38" t="n">
        <v>1.94</v>
      </c>
      <c r="J146" s="38" t="n">
        <v>10.23</v>
      </c>
      <c r="K146" s="20" t="n">
        <v>606</v>
      </c>
      <c r="L146" s="26">
        <f>IF(H146&lt;=J146,1,0)</f>
        <v>0</v>
      </c>
    </row>
    <row r="147">
      <c r="A147" s="24" t="inlineStr">
        <is>
          <t>QL-024-2</t>
        </is>
      </c>
      <c r="B147" s="39" t="n">
        <v>45681</v>
      </c>
      <c r="C147" s="40" t="inlineStr">
        <is>
          <t>进港</t>
        </is>
      </c>
      <c r="D147" s="24" t="inlineStr">
        <is>
          <t>金属矿石</t>
        </is>
      </c>
      <c r="E147" s="24" t="inlineStr">
        <is>
          <t>东亚</t>
        </is>
      </c>
      <c r="F147" s="24" t="inlineStr">
        <is>
          <t>02号泊位</t>
        </is>
      </c>
      <c r="G147" s="25" t="n">
        <v>12110</v>
      </c>
      <c r="H147" s="41" t="n">
        <v>8.5</v>
      </c>
      <c r="I147" s="41" t="n">
        <v>1.67</v>
      </c>
      <c r="J147" s="41" t="n">
        <v>7.81</v>
      </c>
      <c r="K147" s="25" t="n">
        <v>0</v>
      </c>
      <c r="L147" s="26">
        <f>IF(H147&lt;=J147,1,0)</f>
        <v>0</v>
      </c>
    </row>
    <row r="148">
      <c r="A148" s="19" t="inlineStr">
        <is>
          <t>QL-024-3</t>
        </is>
      </c>
      <c r="B148" s="36" t="n">
        <v>45681</v>
      </c>
      <c r="C148" s="37" t="inlineStr">
        <is>
          <t>出港</t>
        </is>
      </c>
      <c r="D148" s="19" t="inlineStr">
        <is>
          <t>煤炭</t>
        </is>
      </c>
      <c r="E148" s="19" t="inlineStr">
        <is>
          <t>东南亚</t>
        </is>
      </c>
      <c r="F148" s="19" t="inlineStr">
        <is>
          <t>03号泊位</t>
        </is>
      </c>
      <c r="G148" s="20" t="n">
        <v>6874</v>
      </c>
      <c r="H148" s="38" t="n">
        <v>5.45</v>
      </c>
      <c r="I148" s="38" t="n">
        <v>0.3</v>
      </c>
      <c r="J148" s="38" t="n">
        <v>5.21</v>
      </c>
      <c r="K148" s="20" t="n">
        <v>0</v>
      </c>
      <c r="L148" s="26">
        <f>IF(H148&lt;=J148,1,0)</f>
        <v>0</v>
      </c>
    </row>
    <row r="149">
      <c r="A149" s="24" t="inlineStr">
        <is>
          <t>QL-024-4</t>
        </is>
      </c>
      <c r="B149" s="39" t="n">
        <v>45681</v>
      </c>
      <c r="C149" s="40" t="inlineStr">
        <is>
          <t>进港</t>
        </is>
      </c>
      <c r="D149" s="24" t="inlineStr">
        <is>
          <t>粮食</t>
        </is>
      </c>
      <c r="E149" s="24" t="inlineStr">
        <is>
          <t>国内沿海</t>
        </is>
      </c>
      <c r="F149" s="24" t="inlineStr">
        <is>
          <t>04号泊位</t>
        </is>
      </c>
      <c r="G149" s="25" t="n">
        <v>4378</v>
      </c>
      <c r="H149" s="41" t="n">
        <v>4.83</v>
      </c>
      <c r="I149" s="41" t="n">
        <v>1.1</v>
      </c>
      <c r="J149" s="41" t="n">
        <v>4.29</v>
      </c>
      <c r="K149" s="25" t="n">
        <v>0</v>
      </c>
      <c r="L149" s="26">
        <f>IF(H149&lt;=J149,1,0)</f>
        <v>0</v>
      </c>
    </row>
    <row r="150">
      <c r="A150" s="19" t="inlineStr">
        <is>
          <t>QL-024-5</t>
        </is>
      </c>
      <c r="B150" s="36" t="n">
        <v>45681</v>
      </c>
      <c r="C150" s="37" t="inlineStr">
        <is>
          <t>进港</t>
        </is>
      </c>
      <c r="D150" s="19" t="inlineStr">
        <is>
          <t>液体散货</t>
        </is>
      </c>
      <c r="E150" s="19" t="inlineStr">
        <is>
          <t>欧洲</t>
        </is>
      </c>
      <c r="F150" s="19" t="inlineStr">
        <is>
          <t>05号泊位</t>
        </is>
      </c>
      <c r="G150" s="20" t="n">
        <v>7844</v>
      </c>
      <c r="H150" s="38" t="n">
        <v>6.08</v>
      </c>
      <c r="I150" s="38" t="n">
        <v>0.34</v>
      </c>
      <c r="J150" s="38" t="n">
        <v>5.45</v>
      </c>
      <c r="K150" s="20" t="n">
        <v>0</v>
      </c>
      <c r="L150" s="26">
        <f>IF(H150&lt;=J150,1,0)</f>
        <v>0</v>
      </c>
    </row>
    <row r="151">
      <c r="A151" s="24" t="inlineStr">
        <is>
          <t>QL-024-6</t>
        </is>
      </c>
      <c r="B151" s="39" t="n">
        <v>45681</v>
      </c>
      <c r="C151" s="40" t="inlineStr">
        <is>
          <t>出港</t>
        </is>
      </c>
      <c r="D151" s="24" t="inlineStr">
        <is>
          <t>件杂货</t>
        </is>
      </c>
      <c r="E151" s="24" t="inlineStr">
        <is>
          <t>国内沿海</t>
        </is>
      </c>
      <c r="F151" s="24" t="inlineStr">
        <is>
          <t>06号泊位</t>
        </is>
      </c>
      <c r="G151" s="25" t="n">
        <v>3030</v>
      </c>
      <c r="H151" s="41" t="n">
        <v>5.54</v>
      </c>
      <c r="I151" s="41" t="n">
        <v>0.83</v>
      </c>
      <c r="J151" s="41" t="n">
        <v>4.97</v>
      </c>
      <c r="K151" s="25" t="n">
        <v>0</v>
      </c>
      <c r="L151" s="26">
        <f>IF(H151&lt;=J151,1,0)</f>
        <v>0</v>
      </c>
    </row>
    <row r="152">
      <c r="A152" s="19" t="inlineStr">
        <is>
          <t>QL-025-1</t>
        </is>
      </c>
      <c r="B152" s="36" t="n">
        <v>45682</v>
      </c>
      <c r="C152" s="37" t="inlineStr">
        <is>
          <t>进港</t>
        </is>
      </c>
      <c r="D152" s="19" t="inlineStr">
        <is>
          <t>集装箱货物</t>
        </is>
      </c>
      <c r="E152" s="19" t="inlineStr">
        <is>
          <t>欧洲</t>
        </is>
      </c>
      <c r="F152" s="19" t="inlineStr">
        <is>
          <t>01号泊位</t>
        </is>
      </c>
      <c r="G152" s="20" t="n">
        <v>6238</v>
      </c>
      <c r="H152" s="38" t="n">
        <v>8.32</v>
      </c>
      <c r="I152" s="38" t="n">
        <v>1.23</v>
      </c>
      <c r="J152" s="38" t="n">
        <v>6.93</v>
      </c>
      <c r="K152" s="20" t="n">
        <v>481</v>
      </c>
      <c r="L152" s="26">
        <f>IF(H152&lt;=J152,1,0)</f>
        <v>0</v>
      </c>
    </row>
    <row r="153">
      <c r="A153" s="24" t="inlineStr">
        <is>
          <t>QL-025-2</t>
        </is>
      </c>
      <c r="B153" s="39" t="n">
        <v>45682</v>
      </c>
      <c r="C153" s="40" t="inlineStr">
        <is>
          <t>进港</t>
        </is>
      </c>
      <c r="D153" s="24" t="inlineStr">
        <is>
          <t>金属矿石</t>
        </is>
      </c>
      <c r="E153" s="24" t="inlineStr">
        <is>
          <t>东南亚</t>
        </is>
      </c>
      <c r="F153" s="24" t="inlineStr">
        <is>
          <t>02号泊位</t>
        </is>
      </c>
      <c r="G153" s="25" t="n">
        <v>11240</v>
      </c>
      <c r="H153" s="41" t="n">
        <v>7.17</v>
      </c>
      <c r="I153" s="41" t="n">
        <v>1.94</v>
      </c>
      <c r="J153" s="41" t="n">
        <v>7.25</v>
      </c>
      <c r="K153" s="25" t="n">
        <v>0</v>
      </c>
      <c r="L153" s="26">
        <f>IF(H153&lt;=J153,1,0)</f>
        <v>1</v>
      </c>
    </row>
    <row r="154">
      <c r="A154" s="19" t="inlineStr">
        <is>
          <t>QL-025-3</t>
        </is>
      </c>
      <c r="B154" s="36" t="n">
        <v>45682</v>
      </c>
      <c r="C154" s="37" t="inlineStr">
        <is>
          <t>出港</t>
        </is>
      </c>
      <c r="D154" s="19" t="inlineStr">
        <is>
          <t>煤炭</t>
        </is>
      </c>
      <c r="E154" s="19" t="inlineStr">
        <is>
          <t>东南亚</t>
        </is>
      </c>
      <c r="F154" s="19" t="inlineStr">
        <is>
          <t>03号泊位</t>
        </is>
      </c>
      <c r="G154" s="20" t="n">
        <v>9232</v>
      </c>
      <c r="H154" s="38" t="n">
        <v>8</v>
      </c>
      <c r="I154" s="38" t="n">
        <v>1.33</v>
      </c>
      <c r="J154" s="38" t="n">
        <v>6.99</v>
      </c>
      <c r="K154" s="20" t="n">
        <v>0</v>
      </c>
      <c r="L154" s="26">
        <f>IF(H154&lt;=J154,1,0)</f>
        <v>0</v>
      </c>
    </row>
    <row r="155">
      <c r="A155" s="24" t="inlineStr">
        <is>
          <t>QL-025-4</t>
        </is>
      </c>
      <c r="B155" s="39" t="n">
        <v>45682</v>
      </c>
      <c r="C155" s="40" t="inlineStr">
        <is>
          <t>进港</t>
        </is>
      </c>
      <c r="D155" s="24" t="inlineStr">
        <is>
          <t>粮食</t>
        </is>
      </c>
      <c r="E155" s="24" t="inlineStr">
        <is>
          <t>欧洲</t>
        </is>
      </c>
      <c r="F155" s="24" t="inlineStr">
        <is>
          <t>04号泊位</t>
        </is>
      </c>
      <c r="G155" s="25" t="n">
        <v>6636</v>
      </c>
      <c r="H155" s="41" t="n">
        <v>6.54</v>
      </c>
      <c r="I155" s="41" t="n">
        <v>2.2</v>
      </c>
      <c r="J155" s="41" t="n">
        <v>6.51</v>
      </c>
      <c r="K155" s="25" t="n">
        <v>0</v>
      </c>
      <c r="L155" s="26">
        <f>IF(H155&lt;=J155,1,0)</f>
        <v>0</v>
      </c>
    </row>
    <row r="156">
      <c r="A156" s="19" t="inlineStr">
        <is>
          <t>QL-025-5</t>
        </is>
      </c>
      <c r="B156" s="36" t="n">
        <v>45682</v>
      </c>
      <c r="C156" s="37" t="inlineStr">
        <is>
          <t>出港</t>
        </is>
      </c>
      <c r="D156" s="19" t="inlineStr">
        <is>
          <t>液体散货</t>
        </is>
      </c>
      <c r="E156" s="19" t="inlineStr">
        <is>
          <t>北美</t>
        </is>
      </c>
      <c r="F156" s="19" t="inlineStr">
        <is>
          <t>05号泊位</t>
        </is>
      </c>
      <c r="G156" s="20" t="n">
        <v>10096</v>
      </c>
      <c r="H156" s="38" t="n">
        <v>6.35</v>
      </c>
      <c r="I156" s="38" t="n">
        <v>1.47</v>
      </c>
      <c r="J156" s="38" t="n">
        <v>7.01</v>
      </c>
      <c r="K156" s="20" t="n">
        <v>0</v>
      </c>
      <c r="L156" s="26">
        <f>IF(H156&lt;=J156,1,0)</f>
        <v>1</v>
      </c>
    </row>
    <row r="157">
      <c r="A157" s="24" t="inlineStr">
        <is>
          <t>QL-025-6</t>
        </is>
      </c>
      <c r="B157" s="39" t="n">
        <v>45682</v>
      </c>
      <c r="C157" s="40" t="inlineStr">
        <is>
          <t>进港</t>
        </is>
      </c>
      <c r="D157" s="24" t="inlineStr">
        <is>
          <t>件杂货</t>
        </is>
      </c>
      <c r="E157" s="24" t="inlineStr">
        <is>
          <t>国内沿海</t>
        </is>
      </c>
      <c r="F157" s="24" t="inlineStr">
        <is>
          <t>06号泊位</t>
        </is>
      </c>
      <c r="G157" s="25" t="n">
        <v>2759</v>
      </c>
      <c r="H157" s="41" t="n">
        <v>4.16</v>
      </c>
      <c r="I157" s="41" t="n">
        <v>1.84</v>
      </c>
      <c r="J157" s="41" t="n">
        <v>4.52</v>
      </c>
      <c r="K157" s="25" t="n">
        <v>0</v>
      </c>
      <c r="L157" s="26">
        <f>IF(H157&lt;=J157,1,0)</f>
        <v>1</v>
      </c>
    </row>
    <row r="158">
      <c r="A158" s="19" t="inlineStr">
        <is>
          <t>QL-026-1</t>
        </is>
      </c>
      <c r="B158" s="36" t="n">
        <v>45683</v>
      </c>
      <c r="C158" s="37" t="inlineStr">
        <is>
          <t>进港</t>
        </is>
      </c>
      <c r="D158" s="19" t="inlineStr">
        <is>
          <t>集装箱货物</t>
        </is>
      </c>
      <c r="E158" s="19" t="inlineStr">
        <is>
          <t>东亚</t>
        </is>
      </c>
      <c r="F158" s="19" t="inlineStr">
        <is>
          <t>01号泊位</t>
        </is>
      </c>
      <c r="G158" s="20" t="n">
        <v>5406</v>
      </c>
      <c r="H158" s="38" t="n">
        <v>5.51</v>
      </c>
      <c r="I158" s="38" t="n">
        <v>0.4</v>
      </c>
      <c r="J158" s="38" t="n">
        <v>6.01</v>
      </c>
      <c r="K158" s="20" t="n">
        <v>376</v>
      </c>
      <c r="L158" s="26">
        <f>IF(H158&lt;=J158,1,0)</f>
        <v>1</v>
      </c>
    </row>
    <row r="159">
      <c r="A159" s="24" t="inlineStr">
        <is>
          <t>QL-026-2</t>
        </is>
      </c>
      <c r="B159" s="39" t="n">
        <v>45683</v>
      </c>
      <c r="C159" s="40" t="inlineStr">
        <is>
          <t>进港</t>
        </is>
      </c>
      <c r="D159" s="24" t="inlineStr">
        <is>
          <t>金属矿石</t>
        </is>
      </c>
      <c r="E159" s="24" t="inlineStr">
        <is>
          <t>国内沿海</t>
        </is>
      </c>
      <c r="F159" s="24" t="inlineStr">
        <is>
          <t>02号泊位</t>
        </is>
      </c>
      <c r="G159" s="25" t="n">
        <v>17662</v>
      </c>
      <c r="H159" s="41" t="n">
        <v>10.54</v>
      </c>
      <c r="I159" s="41" t="n">
        <v>2.46</v>
      </c>
      <c r="J159" s="41" t="n">
        <v>11.39</v>
      </c>
      <c r="K159" s="25" t="n">
        <v>0</v>
      </c>
      <c r="L159" s="26">
        <f>IF(H159&lt;=J159,1,0)</f>
        <v>1</v>
      </c>
    </row>
    <row r="160">
      <c r="A160" s="19" t="inlineStr">
        <is>
          <t>QL-026-3</t>
        </is>
      </c>
      <c r="B160" s="36" t="n">
        <v>45683</v>
      </c>
      <c r="C160" s="37" t="inlineStr">
        <is>
          <t>出港</t>
        </is>
      </c>
      <c r="D160" s="19" t="inlineStr">
        <is>
          <t>煤炭</t>
        </is>
      </c>
      <c r="E160" s="19" t="inlineStr">
        <is>
          <t>北美</t>
        </is>
      </c>
      <c r="F160" s="19" t="inlineStr">
        <is>
          <t>03号泊位</t>
        </is>
      </c>
      <c r="G160" s="20" t="n">
        <v>10857</v>
      </c>
      <c r="H160" s="38" t="n">
        <v>9.07</v>
      </c>
      <c r="I160" s="38" t="n">
        <v>3.83</v>
      </c>
      <c r="J160" s="38" t="n">
        <v>8.220000000000001</v>
      </c>
      <c r="K160" s="20" t="n">
        <v>0</v>
      </c>
      <c r="L160" s="26">
        <f>IF(H160&lt;=J160,1,0)</f>
        <v>0</v>
      </c>
    </row>
    <row r="161">
      <c r="A161" s="24" t="inlineStr">
        <is>
          <t>QL-026-4</t>
        </is>
      </c>
      <c r="B161" s="39" t="n">
        <v>45683</v>
      </c>
      <c r="C161" s="40" t="inlineStr">
        <is>
          <t>进港</t>
        </is>
      </c>
      <c r="D161" s="24" t="inlineStr">
        <is>
          <t>粮食</t>
        </is>
      </c>
      <c r="E161" s="24" t="inlineStr">
        <is>
          <t>东亚</t>
        </is>
      </c>
      <c r="F161" s="24" t="inlineStr">
        <is>
          <t>04号泊位</t>
        </is>
      </c>
      <c r="G161" s="25" t="n">
        <v>7563</v>
      </c>
      <c r="H161" s="41" t="n">
        <v>7.24</v>
      </c>
      <c r="I161" s="41" t="n">
        <v>2.84</v>
      </c>
      <c r="J161" s="41" t="n">
        <v>7.41</v>
      </c>
      <c r="K161" s="25" t="n">
        <v>0</v>
      </c>
      <c r="L161" s="26">
        <f>IF(H161&lt;=J161,1,0)</f>
        <v>1</v>
      </c>
    </row>
    <row r="162">
      <c r="A162" s="19" t="inlineStr">
        <is>
          <t>QL-026-5</t>
        </is>
      </c>
      <c r="B162" s="36" t="n">
        <v>45683</v>
      </c>
      <c r="C162" s="37" t="inlineStr">
        <is>
          <t>进港</t>
        </is>
      </c>
      <c r="D162" s="19" t="inlineStr">
        <is>
          <t>液体散货</t>
        </is>
      </c>
      <c r="E162" s="19" t="inlineStr">
        <is>
          <t>国内沿海</t>
        </is>
      </c>
      <c r="F162" s="19" t="inlineStr">
        <is>
          <t>05号泊位</t>
        </is>
      </c>
      <c r="G162" s="20" t="n">
        <v>8806</v>
      </c>
      <c r="H162" s="38" t="n">
        <v>5.31</v>
      </c>
      <c r="I162" s="38" t="n">
        <v>4.54</v>
      </c>
      <c r="J162" s="38" t="n">
        <v>6.12</v>
      </c>
      <c r="K162" s="20" t="n">
        <v>0</v>
      </c>
      <c r="L162" s="26">
        <f>IF(H162&lt;=J162,1,0)</f>
        <v>1</v>
      </c>
    </row>
    <row r="163">
      <c r="A163" s="24" t="inlineStr">
        <is>
          <t>QL-026-6</t>
        </is>
      </c>
      <c r="B163" s="39" t="n">
        <v>45683</v>
      </c>
      <c r="C163" s="40" t="inlineStr">
        <is>
          <t>进港</t>
        </is>
      </c>
      <c r="D163" s="24" t="inlineStr">
        <is>
          <t>件杂货</t>
        </is>
      </c>
      <c r="E163" s="24" t="inlineStr">
        <is>
          <t>东亚</t>
        </is>
      </c>
      <c r="F163" s="24" t="inlineStr">
        <is>
          <t>06号泊位</t>
        </is>
      </c>
      <c r="G163" s="25" t="n">
        <v>3292</v>
      </c>
      <c r="H163" s="41" t="n">
        <v>4.8</v>
      </c>
      <c r="I163" s="41" t="n">
        <v>5.63</v>
      </c>
      <c r="J163" s="41" t="n">
        <v>5.4</v>
      </c>
      <c r="K163" s="25" t="n">
        <v>0</v>
      </c>
      <c r="L163" s="26">
        <f>IF(H163&lt;=J163,1,0)</f>
        <v>1</v>
      </c>
    </row>
    <row r="164">
      <c r="A164" s="19" t="inlineStr">
        <is>
          <t>QL-027-1</t>
        </is>
      </c>
      <c r="B164" s="36" t="n">
        <v>45684</v>
      </c>
      <c r="C164" s="37" t="inlineStr">
        <is>
          <t>出港</t>
        </is>
      </c>
      <c r="D164" s="19" t="inlineStr">
        <is>
          <t>集装箱货物</t>
        </is>
      </c>
      <c r="E164" s="19" t="inlineStr">
        <is>
          <t>东南亚</t>
        </is>
      </c>
      <c r="F164" s="19" t="inlineStr">
        <is>
          <t>01号泊位</t>
        </is>
      </c>
      <c r="G164" s="20" t="n">
        <v>4648</v>
      </c>
      <c r="H164" s="38" t="n">
        <v>5.13</v>
      </c>
      <c r="I164" s="38" t="n">
        <v>3.74</v>
      </c>
      <c r="J164" s="38" t="n">
        <v>5.16</v>
      </c>
      <c r="K164" s="20" t="n">
        <v>298</v>
      </c>
      <c r="L164" s="26">
        <f>IF(H164&lt;=J164,1,0)</f>
        <v>1</v>
      </c>
    </row>
    <row r="165">
      <c r="A165" s="24" t="inlineStr">
        <is>
          <t>QL-027-2</t>
        </is>
      </c>
      <c r="B165" s="39" t="n">
        <v>45684</v>
      </c>
      <c r="C165" s="40" t="inlineStr">
        <is>
          <t>进港</t>
        </is>
      </c>
      <c r="D165" s="24" t="inlineStr">
        <is>
          <t>金属矿石</t>
        </is>
      </c>
      <c r="E165" s="24" t="inlineStr">
        <is>
          <t>东亚</t>
        </is>
      </c>
      <c r="F165" s="24" t="inlineStr">
        <is>
          <t>02号泊位</t>
        </is>
      </c>
      <c r="G165" s="25" t="n">
        <v>11714</v>
      </c>
      <c r="H165" s="41" t="n">
        <v>8.77</v>
      </c>
      <c r="I165" s="41" t="n">
        <v>2.58</v>
      </c>
      <c r="J165" s="41" t="n">
        <v>7.56</v>
      </c>
      <c r="K165" s="25" t="n">
        <v>0</v>
      </c>
      <c r="L165" s="26">
        <f>IF(H165&lt;=J165,1,0)</f>
        <v>0</v>
      </c>
    </row>
    <row r="166">
      <c r="A166" s="19" t="inlineStr">
        <is>
          <t>QL-027-3</t>
        </is>
      </c>
      <c r="B166" s="36" t="n">
        <v>45684</v>
      </c>
      <c r="C166" s="37" t="inlineStr">
        <is>
          <t>进港</t>
        </is>
      </c>
      <c r="D166" s="19" t="inlineStr">
        <is>
          <t>煤炭</t>
        </is>
      </c>
      <c r="E166" s="19" t="inlineStr">
        <is>
          <t>国内沿海</t>
        </is>
      </c>
      <c r="F166" s="19" t="inlineStr">
        <is>
          <t>03号泊位</t>
        </is>
      </c>
      <c r="G166" s="20" t="n">
        <v>10907</v>
      </c>
      <c r="H166" s="38" t="n">
        <v>7.46</v>
      </c>
      <c r="I166" s="38" t="n">
        <v>1.2</v>
      </c>
      <c r="J166" s="38" t="n">
        <v>8.26</v>
      </c>
      <c r="K166" s="20" t="n">
        <v>0</v>
      </c>
      <c r="L166" s="26">
        <f>IF(H166&lt;=J166,1,0)</f>
        <v>1</v>
      </c>
    </row>
    <row r="167">
      <c r="A167" s="24" t="inlineStr">
        <is>
          <t>QL-027-4</t>
        </is>
      </c>
      <c r="B167" s="39" t="n">
        <v>45684</v>
      </c>
      <c r="C167" s="40" t="inlineStr">
        <is>
          <t>进港</t>
        </is>
      </c>
      <c r="D167" s="24" t="inlineStr">
        <is>
          <t>粮食</t>
        </is>
      </c>
      <c r="E167" s="24" t="inlineStr">
        <is>
          <t>东亚</t>
        </is>
      </c>
      <c r="F167" s="24" t="inlineStr">
        <is>
          <t>04号泊位</t>
        </is>
      </c>
      <c r="G167" s="25" t="n">
        <v>8140</v>
      </c>
      <c r="H167" s="41" t="n">
        <v>7.95</v>
      </c>
      <c r="I167" s="41" t="n">
        <v>0.82</v>
      </c>
      <c r="J167" s="41" t="n">
        <v>7.98</v>
      </c>
      <c r="K167" s="25" t="n">
        <v>0</v>
      </c>
      <c r="L167" s="26">
        <f>IF(H167&lt;=J167,1,0)</f>
        <v>1</v>
      </c>
    </row>
    <row r="168">
      <c r="A168" s="19" t="inlineStr">
        <is>
          <t>QL-027-5</t>
        </is>
      </c>
      <c r="B168" s="36" t="n">
        <v>45684</v>
      </c>
      <c r="C168" s="37" t="inlineStr">
        <is>
          <t>出港</t>
        </is>
      </c>
      <c r="D168" s="19" t="inlineStr">
        <is>
          <t>液体散货</t>
        </is>
      </c>
      <c r="E168" s="19" t="inlineStr">
        <is>
          <t>国内沿海</t>
        </is>
      </c>
      <c r="F168" s="19" t="inlineStr">
        <is>
          <t>05号泊位</t>
        </is>
      </c>
      <c r="G168" s="20" t="n">
        <v>8324</v>
      </c>
      <c r="H168" s="38" t="n">
        <v>6.26</v>
      </c>
      <c r="I168" s="38" t="n">
        <v>0.3</v>
      </c>
      <c r="J168" s="38" t="n">
        <v>5.78</v>
      </c>
      <c r="K168" s="20" t="n">
        <v>0</v>
      </c>
      <c r="L168" s="26">
        <f>IF(H168&lt;=J168,1,0)</f>
        <v>0</v>
      </c>
    </row>
    <row r="169">
      <c r="A169" s="24" t="inlineStr">
        <is>
          <t>QL-027-6</t>
        </is>
      </c>
      <c r="B169" s="39" t="n">
        <v>45684</v>
      </c>
      <c r="C169" s="40" t="inlineStr">
        <is>
          <t>出港</t>
        </is>
      </c>
      <c r="D169" s="24" t="inlineStr">
        <is>
          <t>件杂货</t>
        </is>
      </c>
      <c r="E169" s="24" t="inlineStr">
        <is>
          <t>国内沿海</t>
        </is>
      </c>
      <c r="F169" s="24" t="inlineStr">
        <is>
          <t>06号泊位</t>
        </is>
      </c>
      <c r="G169" s="25" t="n">
        <v>4032</v>
      </c>
      <c r="H169" s="41" t="n">
        <v>7.91</v>
      </c>
      <c r="I169" s="41" t="n">
        <v>1.02</v>
      </c>
      <c r="J169" s="41" t="n">
        <v>6.61</v>
      </c>
      <c r="K169" s="25" t="n">
        <v>0</v>
      </c>
      <c r="L169" s="26">
        <f>IF(H169&lt;=J169,1,0)</f>
        <v>0</v>
      </c>
    </row>
    <row r="170">
      <c r="A170" s="19" t="inlineStr">
        <is>
          <t>QL-028-1</t>
        </is>
      </c>
      <c r="B170" s="36" t="n">
        <v>45685</v>
      </c>
      <c r="C170" s="37" t="inlineStr">
        <is>
          <t>出港</t>
        </is>
      </c>
      <c r="D170" s="19" t="inlineStr">
        <is>
          <t>集装箱货物</t>
        </is>
      </c>
      <c r="E170" s="19" t="inlineStr">
        <is>
          <t>国内沿海</t>
        </is>
      </c>
      <c r="F170" s="19" t="inlineStr">
        <is>
          <t>01号泊位</t>
        </is>
      </c>
      <c r="G170" s="20" t="n">
        <v>7029</v>
      </c>
      <c r="H170" s="38" t="n">
        <v>8.01</v>
      </c>
      <c r="I170" s="38" t="n">
        <v>1.48</v>
      </c>
      <c r="J170" s="38" t="n">
        <v>7.81</v>
      </c>
      <c r="K170" s="20" t="n">
        <v>511</v>
      </c>
      <c r="L170" s="26">
        <f>IF(H170&lt;=J170,1,0)</f>
        <v>0</v>
      </c>
    </row>
    <row r="171">
      <c r="A171" s="24" t="inlineStr">
        <is>
          <t>QL-028-2</t>
        </is>
      </c>
      <c r="B171" s="39" t="n">
        <v>45685</v>
      </c>
      <c r="C171" s="40" t="inlineStr">
        <is>
          <t>进港</t>
        </is>
      </c>
      <c r="D171" s="24" t="inlineStr">
        <is>
          <t>金属矿石</t>
        </is>
      </c>
      <c r="E171" s="24" t="inlineStr">
        <is>
          <t>东南亚</t>
        </is>
      </c>
      <c r="F171" s="24" t="inlineStr">
        <is>
          <t>02号泊位</t>
        </is>
      </c>
      <c r="G171" s="25" t="n">
        <v>16927</v>
      </c>
      <c r="H171" s="41" t="n">
        <v>11.62</v>
      </c>
      <c r="I171" s="41" t="n">
        <v>1.68</v>
      </c>
      <c r="J171" s="41" t="n">
        <v>10.92</v>
      </c>
      <c r="K171" s="25" t="n">
        <v>0</v>
      </c>
      <c r="L171" s="26">
        <f>IF(H171&lt;=J171,1,0)</f>
        <v>0</v>
      </c>
    </row>
    <row r="172">
      <c r="A172" s="19" t="inlineStr">
        <is>
          <t>QL-028-3</t>
        </is>
      </c>
      <c r="B172" s="36" t="n">
        <v>45685</v>
      </c>
      <c r="C172" s="37" t="inlineStr">
        <is>
          <t>出港</t>
        </is>
      </c>
      <c r="D172" s="19" t="inlineStr">
        <is>
          <t>煤炭</t>
        </is>
      </c>
      <c r="E172" s="19" t="inlineStr">
        <is>
          <t>东南亚</t>
        </is>
      </c>
      <c r="F172" s="19" t="inlineStr">
        <is>
          <t>03号泊位</t>
        </is>
      </c>
      <c r="G172" s="20" t="n">
        <v>13466</v>
      </c>
      <c r="H172" s="38" t="n">
        <v>11.74</v>
      </c>
      <c r="I172" s="38" t="n">
        <v>1.16</v>
      </c>
      <c r="J172" s="38" t="n">
        <v>10.2</v>
      </c>
      <c r="K172" s="20" t="n">
        <v>0</v>
      </c>
      <c r="L172" s="26">
        <f>IF(H172&lt;=J172,1,0)</f>
        <v>0</v>
      </c>
    </row>
    <row r="173">
      <c r="A173" s="24" t="inlineStr">
        <is>
          <t>QL-028-4</t>
        </is>
      </c>
      <c r="B173" s="39" t="n">
        <v>45685</v>
      </c>
      <c r="C173" s="40" t="inlineStr">
        <is>
          <t>进港</t>
        </is>
      </c>
      <c r="D173" s="24" t="inlineStr">
        <is>
          <t>粮食</t>
        </is>
      </c>
      <c r="E173" s="24" t="inlineStr">
        <is>
          <t>国内沿海</t>
        </is>
      </c>
      <c r="F173" s="24" t="inlineStr">
        <is>
          <t>04号泊位</t>
        </is>
      </c>
      <c r="G173" s="25" t="n">
        <v>6910</v>
      </c>
      <c r="H173" s="41" t="n">
        <v>6.58</v>
      </c>
      <c r="I173" s="41" t="n">
        <v>1.51</v>
      </c>
      <c r="J173" s="41" t="n">
        <v>6.77</v>
      </c>
      <c r="K173" s="25" t="n">
        <v>0</v>
      </c>
      <c r="L173" s="26">
        <f>IF(H173&lt;=J173,1,0)</f>
        <v>1</v>
      </c>
    </row>
    <row r="174">
      <c r="A174" s="19" t="inlineStr">
        <is>
          <t>QL-028-5</t>
        </is>
      </c>
      <c r="B174" s="36" t="n">
        <v>45685</v>
      </c>
      <c r="C174" s="37" t="inlineStr">
        <is>
          <t>进港</t>
        </is>
      </c>
      <c r="D174" s="19" t="inlineStr">
        <is>
          <t>液体散货</t>
        </is>
      </c>
      <c r="E174" s="19" t="inlineStr">
        <is>
          <t>欧洲</t>
        </is>
      </c>
      <c r="F174" s="19" t="inlineStr">
        <is>
          <t>05号泊位</t>
        </is>
      </c>
      <c r="G174" s="20" t="n">
        <v>11134</v>
      </c>
      <c r="H174" s="38" t="n">
        <v>7.23</v>
      </c>
      <c r="I174" s="38" t="n">
        <v>0.3</v>
      </c>
      <c r="J174" s="38" t="n">
        <v>7.73</v>
      </c>
      <c r="K174" s="20" t="n">
        <v>0</v>
      </c>
      <c r="L174" s="26">
        <f>IF(H174&lt;=J174,1,0)</f>
        <v>1</v>
      </c>
    </row>
    <row r="175">
      <c r="A175" s="24" t="inlineStr">
        <is>
          <t>QL-028-6</t>
        </is>
      </c>
      <c r="B175" s="39" t="n">
        <v>45685</v>
      </c>
      <c r="C175" s="40" t="inlineStr">
        <is>
          <t>进港</t>
        </is>
      </c>
      <c r="D175" s="24" t="inlineStr">
        <is>
          <t>件杂货</t>
        </is>
      </c>
      <c r="E175" s="24" t="inlineStr">
        <is>
          <t>欧洲</t>
        </is>
      </c>
      <c r="F175" s="24" t="inlineStr">
        <is>
          <t>06号泊位</t>
        </is>
      </c>
      <c r="G175" s="25" t="n">
        <v>5801</v>
      </c>
      <c r="H175" s="41" t="n">
        <v>8.029999999999999</v>
      </c>
      <c r="I175" s="41" t="n">
        <v>2.54</v>
      </c>
      <c r="J175" s="41" t="n">
        <v>9.51</v>
      </c>
      <c r="K175" s="25" t="n">
        <v>0</v>
      </c>
      <c r="L175" s="26">
        <f>IF(H175&lt;=J175,1,0)</f>
        <v>1</v>
      </c>
    </row>
    <row r="176">
      <c r="A176" s="19" t="inlineStr">
        <is>
          <t>QL-029-1</t>
        </is>
      </c>
      <c r="B176" s="36" t="n">
        <v>45686</v>
      </c>
      <c r="C176" s="37" t="inlineStr">
        <is>
          <t>进港</t>
        </is>
      </c>
      <c r="D176" s="19" t="inlineStr">
        <is>
          <t>集装箱货物</t>
        </is>
      </c>
      <c r="E176" s="19" t="inlineStr">
        <is>
          <t>东南亚</t>
        </is>
      </c>
      <c r="F176" s="19" t="inlineStr">
        <is>
          <t>01号泊位</t>
        </is>
      </c>
      <c r="G176" s="20" t="n">
        <v>6921</v>
      </c>
      <c r="H176" s="38" t="n">
        <v>7.45</v>
      </c>
      <c r="I176" s="38" t="n">
        <v>3.67</v>
      </c>
      <c r="J176" s="38" t="n">
        <v>7.69</v>
      </c>
      <c r="K176" s="20" t="n">
        <v>459</v>
      </c>
      <c r="L176" s="26">
        <f>IF(H176&lt;=J176,1,0)</f>
        <v>1</v>
      </c>
    </row>
    <row r="177">
      <c r="A177" s="24" t="inlineStr">
        <is>
          <t>QL-029-2</t>
        </is>
      </c>
      <c r="B177" s="39" t="n">
        <v>45686</v>
      </c>
      <c r="C177" s="40" t="inlineStr">
        <is>
          <t>出港</t>
        </is>
      </c>
      <c r="D177" s="24" t="inlineStr">
        <is>
          <t>金属矿石</t>
        </is>
      </c>
      <c r="E177" s="24" t="inlineStr">
        <is>
          <t>东南亚</t>
        </is>
      </c>
      <c r="F177" s="24" t="inlineStr">
        <is>
          <t>02号泊位</t>
        </is>
      </c>
      <c r="G177" s="25" t="n">
        <v>14954</v>
      </c>
      <c r="H177" s="41" t="n">
        <v>9.52</v>
      </c>
      <c r="I177" s="41" t="n">
        <v>1.28</v>
      </c>
      <c r="J177" s="41" t="n">
        <v>9.65</v>
      </c>
      <c r="K177" s="25" t="n">
        <v>0</v>
      </c>
      <c r="L177" s="26">
        <f>IF(H177&lt;=J177,1,0)</f>
        <v>1</v>
      </c>
    </row>
    <row r="178">
      <c r="A178" s="19" t="inlineStr">
        <is>
          <t>QL-029-3</t>
        </is>
      </c>
      <c r="B178" s="36" t="n">
        <v>45686</v>
      </c>
      <c r="C178" s="37" t="inlineStr">
        <is>
          <t>出港</t>
        </is>
      </c>
      <c r="D178" s="19" t="inlineStr">
        <is>
          <t>煤炭</t>
        </is>
      </c>
      <c r="E178" s="19" t="inlineStr">
        <is>
          <t>东南亚</t>
        </is>
      </c>
      <c r="F178" s="19" t="inlineStr">
        <is>
          <t>03号泊位</t>
        </is>
      </c>
      <c r="G178" s="20" t="n">
        <v>10476</v>
      </c>
      <c r="H178" s="38" t="n">
        <v>8.49</v>
      </c>
      <c r="I178" s="38" t="n">
        <v>2.78</v>
      </c>
      <c r="J178" s="38" t="n">
        <v>7.94</v>
      </c>
      <c r="K178" s="20" t="n">
        <v>0</v>
      </c>
      <c r="L178" s="26">
        <f>IF(H178&lt;=J178,1,0)</f>
        <v>0</v>
      </c>
    </row>
    <row r="179">
      <c r="A179" s="24" t="inlineStr">
        <is>
          <t>QL-029-4</t>
        </is>
      </c>
      <c r="B179" s="39" t="n">
        <v>45686</v>
      </c>
      <c r="C179" s="40" t="inlineStr">
        <is>
          <t>出港</t>
        </is>
      </c>
      <c r="D179" s="24" t="inlineStr">
        <is>
          <t>粮食</t>
        </is>
      </c>
      <c r="E179" s="24" t="inlineStr">
        <is>
          <t>东南亚</t>
        </is>
      </c>
      <c r="F179" s="24" t="inlineStr">
        <is>
          <t>04号泊位</t>
        </is>
      </c>
      <c r="G179" s="25" t="n">
        <v>4744</v>
      </c>
      <c r="H179" s="41" t="n">
        <v>4.23</v>
      </c>
      <c r="I179" s="41" t="n">
        <v>0.4</v>
      </c>
      <c r="J179" s="41" t="n">
        <v>4.65</v>
      </c>
      <c r="K179" s="25" t="n">
        <v>0</v>
      </c>
      <c r="L179" s="26">
        <f>IF(H179&lt;=J179,1,0)</f>
        <v>1</v>
      </c>
    </row>
    <row r="180">
      <c r="A180" s="19" t="inlineStr">
        <is>
          <t>QL-029-5</t>
        </is>
      </c>
      <c r="B180" s="36" t="n">
        <v>45686</v>
      </c>
      <c r="C180" s="37" t="inlineStr">
        <is>
          <t>出港</t>
        </is>
      </c>
      <c r="D180" s="19" t="inlineStr">
        <is>
          <t>液体散货</t>
        </is>
      </c>
      <c r="E180" s="19" t="inlineStr">
        <is>
          <t>东亚</t>
        </is>
      </c>
      <c r="F180" s="19" t="inlineStr">
        <is>
          <t>05号泊位</t>
        </is>
      </c>
      <c r="G180" s="20" t="n">
        <v>8712</v>
      </c>
      <c r="H180" s="38" t="n">
        <v>6.15</v>
      </c>
      <c r="I180" s="38" t="n">
        <v>1.19</v>
      </c>
      <c r="J180" s="38" t="n">
        <v>6.05</v>
      </c>
      <c r="K180" s="20" t="n">
        <v>0</v>
      </c>
      <c r="L180" s="26">
        <f>IF(H180&lt;=J180,1,0)</f>
        <v>0</v>
      </c>
    </row>
    <row r="181">
      <c r="A181" s="24" t="inlineStr">
        <is>
          <t>QL-029-6</t>
        </is>
      </c>
      <c r="B181" s="39" t="n">
        <v>45686</v>
      </c>
      <c r="C181" s="40" t="inlineStr">
        <is>
          <t>进港</t>
        </is>
      </c>
      <c r="D181" s="24" t="inlineStr">
        <is>
          <t>件杂货</t>
        </is>
      </c>
      <c r="E181" s="24" t="inlineStr">
        <is>
          <t>欧洲</t>
        </is>
      </c>
      <c r="F181" s="24" t="inlineStr">
        <is>
          <t>06号泊位</t>
        </is>
      </c>
      <c r="G181" s="25" t="n">
        <v>4538</v>
      </c>
      <c r="H181" s="41" t="n">
        <v>8.800000000000001</v>
      </c>
      <c r="I181" s="41" t="n">
        <v>2.69</v>
      </c>
      <c r="J181" s="41" t="n">
        <v>7.44</v>
      </c>
      <c r="K181" s="25" t="n">
        <v>0</v>
      </c>
      <c r="L181" s="26">
        <f>IF(H181&lt;=J181,1,0)</f>
        <v>0</v>
      </c>
    </row>
    <row r="182">
      <c r="A182" s="19" t="inlineStr">
        <is>
          <t>QL-030-1</t>
        </is>
      </c>
      <c r="B182" s="36" t="n">
        <v>45687</v>
      </c>
      <c r="C182" s="37" t="inlineStr">
        <is>
          <t>进港</t>
        </is>
      </c>
      <c r="D182" s="19" t="inlineStr">
        <is>
          <t>集装箱货物</t>
        </is>
      </c>
      <c r="E182" s="19" t="inlineStr">
        <is>
          <t>东亚</t>
        </is>
      </c>
      <c r="F182" s="19" t="inlineStr">
        <is>
          <t>01号泊位</t>
        </is>
      </c>
      <c r="G182" s="20" t="n">
        <v>7333</v>
      </c>
      <c r="H182" s="38" t="n">
        <v>8.69</v>
      </c>
      <c r="I182" s="38" t="n">
        <v>2.92</v>
      </c>
      <c r="J182" s="38" t="n">
        <v>8.15</v>
      </c>
      <c r="K182" s="20" t="n">
        <v>493</v>
      </c>
      <c r="L182" s="26">
        <f>IF(H182&lt;=J182,1,0)</f>
        <v>0</v>
      </c>
    </row>
    <row r="183">
      <c r="A183" s="24" t="inlineStr">
        <is>
          <t>QL-030-2</t>
        </is>
      </c>
      <c r="B183" s="39" t="n">
        <v>45687</v>
      </c>
      <c r="C183" s="40" t="inlineStr">
        <is>
          <t>进港</t>
        </is>
      </c>
      <c r="D183" s="24" t="inlineStr">
        <is>
          <t>金属矿石</t>
        </is>
      </c>
      <c r="E183" s="24" t="inlineStr">
        <is>
          <t>北美</t>
        </is>
      </c>
      <c r="F183" s="24" t="inlineStr">
        <is>
          <t>02号泊位</t>
        </is>
      </c>
      <c r="G183" s="25" t="n">
        <v>11285</v>
      </c>
      <c r="H183" s="41" t="n">
        <v>7.89</v>
      </c>
      <c r="I183" s="41" t="n">
        <v>5.1</v>
      </c>
      <c r="J183" s="41" t="n">
        <v>7.28</v>
      </c>
      <c r="K183" s="25" t="n">
        <v>0</v>
      </c>
      <c r="L183" s="26">
        <f>IF(H183&lt;=J183,1,0)</f>
        <v>0</v>
      </c>
    </row>
    <row r="184">
      <c r="A184" s="19" t="inlineStr">
        <is>
          <t>QL-030-3</t>
        </is>
      </c>
      <c r="B184" s="36" t="n">
        <v>45687</v>
      </c>
      <c r="C184" s="37" t="inlineStr">
        <is>
          <t>进港</t>
        </is>
      </c>
      <c r="D184" s="19" t="inlineStr">
        <is>
          <t>煤炭</t>
        </is>
      </c>
      <c r="E184" s="19" t="inlineStr">
        <is>
          <t>东亚</t>
        </is>
      </c>
      <c r="F184" s="19" t="inlineStr">
        <is>
          <t>03号泊位</t>
        </is>
      </c>
      <c r="G184" s="20" t="n">
        <v>11287</v>
      </c>
      <c r="H184" s="38" t="n">
        <v>8.94</v>
      </c>
      <c r="I184" s="38" t="n">
        <v>4.94</v>
      </c>
      <c r="J184" s="38" t="n">
        <v>8.550000000000001</v>
      </c>
      <c r="K184" s="20" t="n">
        <v>0</v>
      </c>
      <c r="L184" s="26">
        <f>IF(H184&lt;=J184,1,0)</f>
        <v>0</v>
      </c>
    </row>
    <row r="185">
      <c r="A185" s="24" t="inlineStr">
        <is>
          <t>QL-030-4</t>
        </is>
      </c>
      <c r="B185" s="39" t="n">
        <v>45687</v>
      </c>
      <c r="C185" s="40" t="inlineStr">
        <is>
          <t>进港</t>
        </is>
      </c>
      <c r="D185" s="24" t="inlineStr">
        <is>
          <t>粮食</t>
        </is>
      </c>
      <c r="E185" s="24" t="inlineStr">
        <is>
          <t>北美</t>
        </is>
      </c>
      <c r="F185" s="24" t="inlineStr">
        <is>
          <t>04号泊位</t>
        </is>
      </c>
      <c r="G185" s="25" t="n">
        <v>9293</v>
      </c>
      <c r="H185" s="41" t="n">
        <v>8.6</v>
      </c>
      <c r="I185" s="41" t="n">
        <v>0.65</v>
      </c>
      <c r="J185" s="41" t="n">
        <v>9.109999999999999</v>
      </c>
      <c r="K185" s="25" t="n">
        <v>0</v>
      </c>
      <c r="L185" s="26">
        <f>IF(H185&lt;=J185,1,0)</f>
        <v>1</v>
      </c>
    </row>
    <row r="186">
      <c r="A186" s="19" t="inlineStr">
        <is>
          <t>QL-030-5</t>
        </is>
      </c>
      <c r="B186" s="36" t="n">
        <v>45687</v>
      </c>
      <c r="C186" s="37" t="inlineStr">
        <is>
          <t>出港</t>
        </is>
      </c>
      <c r="D186" s="19" t="inlineStr">
        <is>
          <t>液体散货</t>
        </is>
      </c>
      <c r="E186" s="19" t="inlineStr">
        <is>
          <t>欧洲</t>
        </is>
      </c>
      <c r="F186" s="19" t="inlineStr">
        <is>
          <t>05号泊位</t>
        </is>
      </c>
      <c r="G186" s="20" t="n">
        <v>13003</v>
      </c>
      <c r="H186" s="38" t="n">
        <v>7.38</v>
      </c>
      <c r="I186" s="38" t="n">
        <v>1.35</v>
      </c>
      <c r="J186" s="38" t="n">
        <v>9.029999999999999</v>
      </c>
      <c r="K186" s="20" t="n">
        <v>0</v>
      </c>
      <c r="L186" s="26">
        <f>IF(H186&lt;=J186,1,0)</f>
        <v>1</v>
      </c>
    </row>
    <row r="187">
      <c r="A187" s="24" t="inlineStr">
        <is>
          <t>QL-030-6</t>
        </is>
      </c>
      <c r="B187" s="39" t="n">
        <v>45687</v>
      </c>
      <c r="C187" s="40" t="inlineStr">
        <is>
          <t>进港</t>
        </is>
      </c>
      <c r="D187" s="24" t="inlineStr">
        <is>
          <t>件杂货</t>
        </is>
      </c>
      <c r="E187" s="24" t="inlineStr">
        <is>
          <t>东亚</t>
        </is>
      </c>
      <c r="F187" s="24" t="inlineStr">
        <is>
          <t>06号泊位</t>
        </is>
      </c>
      <c r="G187" s="25" t="n">
        <v>8075</v>
      </c>
      <c r="H187" s="41" t="n">
        <v>15.12</v>
      </c>
      <c r="I187" s="41" t="n">
        <v>1.58</v>
      </c>
      <c r="J187" s="41" t="n">
        <v>13.24</v>
      </c>
      <c r="K187" s="25" t="n">
        <v>0</v>
      </c>
      <c r="L187" s="26">
        <f>IF(H187&lt;=J187,1,0)</f>
        <v>0</v>
      </c>
    </row>
    <row r="188">
      <c r="A188" s="19" t="inlineStr">
        <is>
          <t>QL-031-1</t>
        </is>
      </c>
      <c r="B188" s="36" t="n">
        <v>45688</v>
      </c>
      <c r="C188" s="37" t="inlineStr">
        <is>
          <t>出港</t>
        </is>
      </c>
      <c r="D188" s="19" t="inlineStr">
        <is>
          <t>集装箱货物</t>
        </is>
      </c>
      <c r="E188" s="19" t="inlineStr">
        <is>
          <t>欧洲</t>
        </is>
      </c>
      <c r="F188" s="19" t="inlineStr">
        <is>
          <t>01号泊位</t>
        </is>
      </c>
      <c r="G188" s="20" t="n">
        <v>7288</v>
      </c>
      <c r="H188" s="38" t="n">
        <v>8.56</v>
      </c>
      <c r="I188" s="38" t="n">
        <v>3.81</v>
      </c>
      <c r="J188" s="38" t="n">
        <v>8.1</v>
      </c>
      <c r="K188" s="20" t="n">
        <v>505</v>
      </c>
      <c r="L188" s="26">
        <f>IF(H188&lt;=J188,1,0)</f>
        <v>0</v>
      </c>
    </row>
    <row r="189">
      <c r="A189" s="24" t="inlineStr">
        <is>
          <t>QL-031-2</t>
        </is>
      </c>
      <c r="B189" s="39" t="n">
        <v>45688</v>
      </c>
      <c r="C189" s="40" t="inlineStr">
        <is>
          <t>进港</t>
        </is>
      </c>
      <c r="D189" s="24" t="inlineStr">
        <is>
          <t>金属矿石</t>
        </is>
      </c>
      <c r="E189" s="24" t="inlineStr">
        <is>
          <t>北美</t>
        </is>
      </c>
      <c r="F189" s="24" t="inlineStr">
        <is>
          <t>02号泊位</t>
        </is>
      </c>
      <c r="G189" s="25" t="n">
        <v>16974</v>
      </c>
      <c r="H189" s="41" t="n">
        <v>12.74</v>
      </c>
      <c r="I189" s="41" t="n">
        <v>1.26</v>
      </c>
      <c r="J189" s="41" t="n">
        <v>10.95</v>
      </c>
      <c r="K189" s="25" t="n">
        <v>0</v>
      </c>
      <c r="L189" s="26">
        <f>IF(H189&lt;=J189,1,0)</f>
        <v>0</v>
      </c>
    </row>
    <row r="190">
      <c r="A190" s="19" t="inlineStr">
        <is>
          <t>QL-031-3</t>
        </is>
      </c>
      <c r="B190" s="36" t="n">
        <v>45688</v>
      </c>
      <c r="C190" s="37" t="inlineStr">
        <is>
          <t>出港</t>
        </is>
      </c>
      <c r="D190" s="19" t="inlineStr">
        <is>
          <t>煤炭</t>
        </is>
      </c>
      <c r="E190" s="19" t="inlineStr">
        <is>
          <t>东亚</t>
        </is>
      </c>
      <c r="F190" s="19" t="inlineStr">
        <is>
          <t>03号泊位</t>
        </is>
      </c>
      <c r="G190" s="20" t="n">
        <v>9681</v>
      </c>
      <c r="H190" s="38" t="n">
        <v>7.58</v>
      </c>
      <c r="I190" s="38" t="n">
        <v>3.63</v>
      </c>
      <c r="J190" s="38" t="n">
        <v>7.33</v>
      </c>
      <c r="K190" s="20" t="n">
        <v>0</v>
      </c>
      <c r="L190" s="26">
        <f>IF(H190&lt;=J190,1,0)</f>
        <v>0</v>
      </c>
    </row>
    <row r="191">
      <c r="A191" s="24" t="inlineStr">
        <is>
          <t>QL-031-4</t>
        </is>
      </c>
      <c r="B191" s="39" t="n">
        <v>45688</v>
      </c>
      <c r="C191" s="40" t="inlineStr">
        <is>
          <t>进港</t>
        </is>
      </c>
      <c r="D191" s="24" t="inlineStr">
        <is>
          <t>粮食</t>
        </is>
      </c>
      <c r="E191" s="24" t="inlineStr">
        <is>
          <t>东南亚</t>
        </is>
      </c>
      <c r="F191" s="24" t="inlineStr">
        <is>
          <t>04号泊位</t>
        </is>
      </c>
      <c r="G191" s="25" t="n">
        <v>10437</v>
      </c>
      <c r="H191" s="41" t="n">
        <v>10.62</v>
      </c>
      <c r="I191" s="41" t="n">
        <v>2.09</v>
      </c>
      <c r="J191" s="41" t="n">
        <v>10.23</v>
      </c>
      <c r="K191" s="25" t="n">
        <v>0</v>
      </c>
      <c r="L191" s="26">
        <f>IF(H191&lt;=J191,1,0)</f>
        <v>0</v>
      </c>
    </row>
    <row r="192">
      <c r="A192" s="19" t="inlineStr">
        <is>
          <t>QL-031-5</t>
        </is>
      </c>
      <c r="B192" s="36" t="n">
        <v>45688</v>
      </c>
      <c r="C192" s="37" t="inlineStr">
        <is>
          <t>进港</t>
        </is>
      </c>
      <c r="D192" s="19" t="inlineStr">
        <is>
          <t>液体散货</t>
        </is>
      </c>
      <c r="E192" s="19" t="inlineStr">
        <is>
          <t>欧洲</t>
        </is>
      </c>
      <c r="F192" s="19" t="inlineStr">
        <is>
          <t>05号泊位</t>
        </is>
      </c>
      <c r="G192" s="20" t="n">
        <v>12305</v>
      </c>
      <c r="H192" s="38" t="n">
        <v>9.81</v>
      </c>
      <c r="I192" s="38" t="n">
        <v>7.6</v>
      </c>
      <c r="J192" s="38" t="n">
        <v>8.550000000000001</v>
      </c>
      <c r="K192" s="20" t="n">
        <v>0</v>
      </c>
      <c r="L192" s="26">
        <f>IF(H192&lt;=J192,1,0)</f>
        <v>0</v>
      </c>
    </row>
    <row r="193">
      <c r="A193" s="24" t="inlineStr">
        <is>
          <t>QL-031-6</t>
        </is>
      </c>
      <c r="B193" s="39" t="n">
        <v>45688</v>
      </c>
      <c r="C193" s="40" t="inlineStr">
        <is>
          <t>出港</t>
        </is>
      </c>
      <c r="D193" s="24" t="inlineStr">
        <is>
          <t>件杂货</t>
        </is>
      </c>
      <c r="E193" s="24" t="inlineStr">
        <is>
          <t>东南亚</t>
        </is>
      </c>
      <c r="F193" s="24" t="inlineStr">
        <is>
          <t>06号泊位</t>
        </is>
      </c>
      <c r="G193" s="25" t="n">
        <v>4780</v>
      </c>
      <c r="H193" s="41" t="n">
        <v>9.09</v>
      </c>
      <c r="I193" s="41" t="n">
        <v>4.2</v>
      </c>
      <c r="J193" s="41" t="n">
        <v>7.84</v>
      </c>
      <c r="K193" s="25" t="n">
        <v>0</v>
      </c>
      <c r="L193" s="26">
        <f>IF(H193&lt;=J193,1,0)</f>
        <v>0</v>
      </c>
    </row>
    <row r="194">
      <c r="A194" s="19" t="inlineStr">
        <is>
          <t>QL-032-1</t>
        </is>
      </c>
      <c r="B194" s="36" t="n">
        <v>45689</v>
      </c>
      <c r="C194" s="37" t="inlineStr">
        <is>
          <t>进港</t>
        </is>
      </c>
      <c r="D194" s="19" t="inlineStr">
        <is>
          <t>集装箱货物</t>
        </is>
      </c>
      <c r="E194" s="19" t="inlineStr">
        <is>
          <t>国内沿海</t>
        </is>
      </c>
      <c r="F194" s="19" t="inlineStr">
        <is>
          <t>01号泊位</t>
        </is>
      </c>
      <c r="G194" s="20" t="n">
        <v>6180</v>
      </c>
      <c r="H194" s="38" t="n">
        <v>5.89</v>
      </c>
      <c r="I194" s="38" t="n">
        <v>0.96</v>
      </c>
      <c r="J194" s="38" t="n">
        <v>6.87</v>
      </c>
      <c r="K194" s="20" t="n">
        <v>427</v>
      </c>
      <c r="L194" s="26">
        <f>IF(H194&lt;=J194,1,0)</f>
        <v>1</v>
      </c>
    </row>
    <row r="195">
      <c r="A195" s="24" t="inlineStr">
        <is>
          <t>QL-032-2</t>
        </is>
      </c>
      <c r="B195" s="39" t="n">
        <v>45689</v>
      </c>
      <c r="C195" s="40" t="inlineStr">
        <is>
          <t>进港</t>
        </is>
      </c>
      <c r="D195" s="24" t="inlineStr">
        <is>
          <t>金属矿石</t>
        </is>
      </c>
      <c r="E195" s="24" t="inlineStr">
        <is>
          <t>欧洲</t>
        </is>
      </c>
      <c r="F195" s="24" t="inlineStr">
        <is>
          <t>02号泊位</t>
        </is>
      </c>
      <c r="G195" s="25" t="n">
        <v>25027</v>
      </c>
      <c r="H195" s="41" t="n">
        <v>16.45</v>
      </c>
      <c r="I195" s="41" t="n">
        <v>4.35</v>
      </c>
      <c r="J195" s="41" t="n">
        <v>16.15</v>
      </c>
      <c r="K195" s="25" t="n">
        <v>0</v>
      </c>
      <c r="L195" s="26">
        <f>IF(H195&lt;=J195,1,0)</f>
        <v>0</v>
      </c>
    </row>
    <row r="196">
      <c r="A196" s="19" t="inlineStr">
        <is>
          <t>QL-032-3</t>
        </is>
      </c>
      <c r="B196" s="36" t="n">
        <v>45689</v>
      </c>
      <c r="C196" s="37" t="inlineStr">
        <is>
          <t>出港</t>
        </is>
      </c>
      <c r="D196" s="19" t="inlineStr">
        <is>
          <t>煤炭</t>
        </is>
      </c>
      <c r="E196" s="19" t="inlineStr">
        <is>
          <t>国内沿海</t>
        </is>
      </c>
      <c r="F196" s="19" t="inlineStr">
        <is>
          <t>03号泊位</t>
        </is>
      </c>
      <c r="G196" s="20" t="n">
        <v>22146</v>
      </c>
      <c r="H196" s="38" t="n">
        <v>15.54</v>
      </c>
      <c r="I196" s="38" t="n">
        <v>2.35</v>
      </c>
      <c r="J196" s="38" t="n">
        <v>16.78</v>
      </c>
      <c r="K196" s="20" t="n">
        <v>0</v>
      </c>
      <c r="L196" s="26">
        <f>IF(H196&lt;=J196,1,0)</f>
        <v>1</v>
      </c>
    </row>
    <row r="197">
      <c r="A197" s="24" t="inlineStr">
        <is>
          <t>QL-032-4</t>
        </is>
      </c>
      <c r="B197" s="39" t="n">
        <v>45689</v>
      </c>
      <c r="C197" s="40" t="inlineStr">
        <is>
          <t>出港</t>
        </is>
      </c>
      <c r="D197" s="24" t="inlineStr">
        <is>
          <t>粮食</t>
        </is>
      </c>
      <c r="E197" s="24" t="inlineStr">
        <is>
          <t>东南亚</t>
        </is>
      </c>
      <c r="F197" s="24" t="inlineStr">
        <is>
          <t>04号泊位</t>
        </is>
      </c>
      <c r="G197" s="25" t="n">
        <v>6778</v>
      </c>
      <c r="H197" s="41" t="n">
        <v>6.48</v>
      </c>
      <c r="I197" s="41" t="n">
        <v>2.32</v>
      </c>
      <c r="J197" s="41" t="n">
        <v>6.65</v>
      </c>
      <c r="K197" s="25" t="n">
        <v>0</v>
      </c>
      <c r="L197" s="26">
        <f>IF(H197&lt;=J197,1,0)</f>
        <v>1</v>
      </c>
    </row>
    <row r="198">
      <c r="A198" s="19" t="inlineStr">
        <is>
          <t>QL-032-5</t>
        </is>
      </c>
      <c r="B198" s="36" t="n">
        <v>45689</v>
      </c>
      <c r="C198" s="37" t="inlineStr">
        <is>
          <t>进港</t>
        </is>
      </c>
      <c r="D198" s="19" t="inlineStr">
        <is>
          <t>液体散货</t>
        </is>
      </c>
      <c r="E198" s="19" t="inlineStr">
        <is>
          <t>欧洲</t>
        </is>
      </c>
      <c r="F198" s="19" t="inlineStr">
        <is>
          <t>05号泊位</t>
        </is>
      </c>
      <c r="G198" s="20" t="n">
        <v>12955</v>
      </c>
      <c r="H198" s="38" t="n">
        <v>7.4</v>
      </c>
      <c r="I198" s="38" t="n">
        <v>1.12</v>
      </c>
      <c r="J198" s="38" t="n">
        <v>9</v>
      </c>
      <c r="K198" s="20" t="n">
        <v>0</v>
      </c>
      <c r="L198" s="26">
        <f>IF(H198&lt;=J198,1,0)</f>
        <v>1</v>
      </c>
    </row>
    <row r="199">
      <c r="A199" s="24" t="inlineStr">
        <is>
          <t>QL-032-6</t>
        </is>
      </c>
      <c r="B199" s="39" t="n">
        <v>45689</v>
      </c>
      <c r="C199" s="40" t="inlineStr">
        <is>
          <t>出港</t>
        </is>
      </c>
      <c r="D199" s="24" t="inlineStr">
        <is>
          <t>件杂货</t>
        </is>
      </c>
      <c r="E199" s="24" t="inlineStr">
        <is>
          <t>东南亚</t>
        </is>
      </c>
      <c r="F199" s="24" t="inlineStr">
        <is>
          <t>06号泊位</t>
        </is>
      </c>
      <c r="G199" s="25" t="n">
        <v>2592</v>
      </c>
      <c r="H199" s="41" t="n">
        <v>4.87</v>
      </c>
      <c r="I199" s="41" t="n">
        <v>2.18</v>
      </c>
      <c r="J199" s="41" t="n">
        <v>4.25</v>
      </c>
      <c r="K199" s="25" t="n">
        <v>0</v>
      </c>
      <c r="L199" s="26">
        <f>IF(H199&lt;=J199,1,0)</f>
        <v>0</v>
      </c>
    </row>
    <row r="200">
      <c r="A200" s="19" t="inlineStr">
        <is>
          <t>QL-033-1</t>
        </is>
      </c>
      <c r="B200" s="36" t="n">
        <v>45690</v>
      </c>
      <c r="C200" s="37" t="inlineStr">
        <is>
          <t>进港</t>
        </is>
      </c>
      <c r="D200" s="19" t="inlineStr">
        <is>
          <t>集装箱货物</t>
        </is>
      </c>
      <c r="E200" s="19" t="inlineStr">
        <is>
          <t>国内沿海</t>
        </is>
      </c>
      <c r="F200" s="19" t="inlineStr">
        <is>
          <t>01号泊位</t>
        </is>
      </c>
      <c r="G200" s="20" t="n">
        <v>6348</v>
      </c>
      <c r="H200" s="38" t="n">
        <v>8.050000000000001</v>
      </c>
      <c r="I200" s="38" t="n">
        <v>0.8</v>
      </c>
      <c r="J200" s="38" t="n">
        <v>7.05</v>
      </c>
      <c r="K200" s="20" t="n">
        <v>393</v>
      </c>
      <c r="L200" s="26">
        <f>IF(H200&lt;=J200,1,0)</f>
        <v>0</v>
      </c>
    </row>
    <row r="201">
      <c r="A201" s="24" t="inlineStr">
        <is>
          <t>QL-033-2</t>
        </is>
      </c>
      <c r="B201" s="39" t="n">
        <v>45690</v>
      </c>
      <c r="C201" s="40" t="inlineStr">
        <is>
          <t>进港</t>
        </is>
      </c>
      <c r="D201" s="24" t="inlineStr">
        <is>
          <t>金属矿石</t>
        </is>
      </c>
      <c r="E201" s="24" t="inlineStr">
        <is>
          <t>东亚</t>
        </is>
      </c>
      <c r="F201" s="24" t="inlineStr">
        <is>
          <t>02号泊位</t>
        </is>
      </c>
      <c r="G201" s="25" t="n">
        <v>16157</v>
      </c>
      <c r="H201" s="41" t="n">
        <v>9.33</v>
      </c>
      <c r="I201" s="41" t="n">
        <v>1.36</v>
      </c>
      <c r="J201" s="41" t="n">
        <v>10.42</v>
      </c>
      <c r="K201" s="25" t="n">
        <v>0</v>
      </c>
      <c r="L201" s="26">
        <f>IF(H201&lt;=J201,1,0)</f>
        <v>1</v>
      </c>
    </row>
    <row r="202">
      <c r="A202" s="19" t="inlineStr">
        <is>
          <t>QL-033-3</t>
        </is>
      </c>
      <c r="B202" s="36" t="n">
        <v>45690</v>
      </c>
      <c r="C202" s="37" t="inlineStr">
        <is>
          <t>进港</t>
        </is>
      </c>
      <c r="D202" s="19" t="inlineStr">
        <is>
          <t>煤炭</t>
        </is>
      </c>
      <c r="E202" s="19" t="inlineStr">
        <is>
          <t>东亚</t>
        </is>
      </c>
      <c r="F202" s="19" t="inlineStr">
        <is>
          <t>03号泊位</t>
        </is>
      </c>
      <c r="G202" s="20" t="n">
        <v>10358</v>
      </c>
      <c r="H202" s="38" t="n">
        <v>7.41</v>
      </c>
      <c r="I202" s="38" t="n">
        <v>3.15</v>
      </c>
      <c r="J202" s="38" t="n">
        <v>7.85</v>
      </c>
      <c r="K202" s="20" t="n">
        <v>0</v>
      </c>
      <c r="L202" s="26">
        <f>IF(H202&lt;=J202,1,0)</f>
        <v>1</v>
      </c>
    </row>
    <row r="203">
      <c r="A203" s="24" t="inlineStr">
        <is>
          <t>QL-033-4</t>
        </is>
      </c>
      <c r="B203" s="39" t="n">
        <v>45690</v>
      </c>
      <c r="C203" s="40" t="inlineStr">
        <is>
          <t>进港</t>
        </is>
      </c>
      <c r="D203" s="24" t="inlineStr">
        <is>
          <t>粮食</t>
        </is>
      </c>
      <c r="E203" s="24" t="inlineStr">
        <is>
          <t>北美</t>
        </is>
      </c>
      <c r="F203" s="24" t="inlineStr">
        <is>
          <t>04号泊位</t>
        </is>
      </c>
      <c r="G203" s="25" t="n">
        <v>6161</v>
      </c>
      <c r="H203" s="41" t="n">
        <v>5.97</v>
      </c>
      <c r="I203" s="41" t="n">
        <v>1.2</v>
      </c>
      <c r="J203" s="41" t="n">
        <v>6.04</v>
      </c>
      <c r="K203" s="25" t="n">
        <v>0</v>
      </c>
      <c r="L203" s="26">
        <f>IF(H203&lt;=J203,1,0)</f>
        <v>1</v>
      </c>
    </row>
    <row r="204">
      <c r="A204" s="19" t="inlineStr">
        <is>
          <t>QL-033-5</t>
        </is>
      </c>
      <c r="B204" s="36" t="n">
        <v>45690</v>
      </c>
      <c r="C204" s="37" t="inlineStr">
        <is>
          <t>进港</t>
        </is>
      </c>
      <c r="D204" s="19" t="inlineStr">
        <is>
          <t>液体散货</t>
        </is>
      </c>
      <c r="E204" s="19" t="inlineStr">
        <is>
          <t>东南亚</t>
        </is>
      </c>
      <c r="F204" s="19" t="inlineStr">
        <is>
          <t>05号泊位</t>
        </is>
      </c>
      <c r="G204" s="20" t="n">
        <v>11173</v>
      </c>
      <c r="H204" s="38" t="n">
        <v>8.68</v>
      </c>
      <c r="I204" s="38" t="n">
        <v>2.01</v>
      </c>
      <c r="J204" s="38" t="n">
        <v>7.76</v>
      </c>
      <c r="K204" s="20" t="n">
        <v>0</v>
      </c>
      <c r="L204" s="26">
        <f>IF(H204&lt;=J204,1,0)</f>
        <v>0</v>
      </c>
    </row>
    <row r="205">
      <c r="A205" s="24" t="inlineStr">
        <is>
          <t>QL-033-6</t>
        </is>
      </c>
      <c r="B205" s="39" t="n">
        <v>45690</v>
      </c>
      <c r="C205" s="40" t="inlineStr">
        <is>
          <t>出港</t>
        </is>
      </c>
      <c r="D205" s="24" t="inlineStr">
        <is>
          <t>件杂货</t>
        </is>
      </c>
      <c r="E205" s="24" t="inlineStr">
        <is>
          <t>东南亚</t>
        </is>
      </c>
      <c r="F205" s="24" t="inlineStr">
        <is>
          <t>06号泊位</t>
        </is>
      </c>
      <c r="G205" s="25" t="n">
        <v>3342</v>
      </c>
      <c r="H205" s="41" t="n">
        <v>6.08</v>
      </c>
      <c r="I205" s="41" t="n">
        <v>1.74</v>
      </c>
      <c r="J205" s="41" t="n">
        <v>5.48</v>
      </c>
      <c r="K205" s="25" t="n">
        <v>0</v>
      </c>
      <c r="L205" s="26">
        <f>IF(H205&lt;=J205,1,0)</f>
        <v>0</v>
      </c>
    </row>
    <row r="206">
      <c r="A206" s="19" t="inlineStr">
        <is>
          <t>QL-034-1</t>
        </is>
      </c>
      <c r="B206" s="36" t="n">
        <v>45691</v>
      </c>
      <c r="C206" s="37" t="inlineStr">
        <is>
          <t>出港</t>
        </is>
      </c>
      <c r="D206" s="19" t="inlineStr">
        <is>
          <t>集装箱货物</t>
        </is>
      </c>
      <c r="E206" s="19" t="inlineStr">
        <is>
          <t>欧洲</t>
        </is>
      </c>
      <c r="F206" s="19" t="inlineStr">
        <is>
          <t>01号泊位</t>
        </is>
      </c>
      <c r="G206" s="20" t="n">
        <v>7130</v>
      </c>
      <c r="H206" s="38" t="n">
        <v>8.81</v>
      </c>
      <c r="I206" s="38" t="n">
        <v>0.3</v>
      </c>
      <c r="J206" s="38" t="n">
        <v>7.92</v>
      </c>
      <c r="K206" s="20" t="n">
        <v>472</v>
      </c>
      <c r="L206" s="26">
        <f>IF(H206&lt;=J206,1,0)</f>
        <v>0</v>
      </c>
    </row>
    <row r="207">
      <c r="A207" s="24" t="inlineStr">
        <is>
          <t>QL-034-2</t>
        </is>
      </c>
      <c r="B207" s="39" t="n">
        <v>45691</v>
      </c>
      <c r="C207" s="40" t="inlineStr">
        <is>
          <t>进港</t>
        </is>
      </c>
      <c r="D207" s="24" t="inlineStr">
        <is>
          <t>金属矿石</t>
        </is>
      </c>
      <c r="E207" s="24" t="inlineStr">
        <is>
          <t>东亚</t>
        </is>
      </c>
      <c r="F207" s="24" t="inlineStr">
        <is>
          <t>02号泊位</t>
        </is>
      </c>
      <c r="G207" s="25" t="n">
        <v>13229</v>
      </c>
      <c r="H207" s="41" t="n">
        <v>8.9</v>
      </c>
      <c r="I207" s="41" t="n">
        <v>0.3</v>
      </c>
      <c r="J207" s="41" t="n">
        <v>8.529999999999999</v>
      </c>
      <c r="K207" s="25" t="n">
        <v>0</v>
      </c>
      <c r="L207" s="26">
        <f>IF(H207&lt;=J207,1,0)</f>
        <v>0</v>
      </c>
    </row>
    <row r="208">
      <c r="A208" s="19" t="inlineStr">
        <is>
          <t>QL-034-3</t>
        </is>
      </c>
      <c r="B208" s="36" t="n">
        <v>45691</v>
      </c>
      <c r="C208" s="37" t="inlineStr">
        <is>
          <t>出港</t>
        </is>
      </c>
      <c r="D208" s="19" t="inlineStr">
        <is>
          <t>煤炭</t>
        </is>
      </c>
      <c r="E208" s="19" t="inlineStr">
        <is>
          <t>东亚</t>
        </is>
      </c>
      <c r="F208" s="19" t="inlineStr">
        <is>
          <t>03号泊位</t>
        </is>
      </c>
      <c r="G208" s="20" t="n">
        <v>7467</v>
      </c>
      <c r="H208" s="38" t="n">
        <v>6.49</v>
      </c>
      <c r="I208" s="38" t="n">
        <v>2.19</v>
      </c>
      <c r="J208" s="38" t="n">
        <v>5.66</v>
      </c>
      <c r="K208" s="20" t="n">
        <v>0</v>
      </c>
      <c r="L208" s="26">
        <f>IF(H208&lt;=J208,1,0)</f>
        <v>0</v>
      </c>
    </row>
    <row r="209">
      <c r="A209" s="24" t="inlineStr">
        <is>
          <t>QL-034-4</t>
        </is>
      </c>
      <c r="B209" s="39" t="n">
        <v>45691</v>
      </c>
      <c r="C209" s="40" t="inlineStr">
        <is>
          <t>进港</t>
        </is>
      </c>
      <c r="D209" s="24" t="inlineStr">
        <is>
          <t>粮食</t>
        </is>
      </c>
      <c r="E209" s="24" t="inlineStr">
        <is>
          <t>东南亚</t>
        </is>
      </c>
      <c r="F209" s="24" t="inlineStr">
        <is>
          <t>04号泊位</t>
        </is>
      </c>
      <c r="G209" s="25" t="n">
        <v>7045</v>
      </c>
      <c r="H209" s="41" t="n">
        <v>6.04</v>
      </c>
      <c r="I209" s="41" t="n">
        <v>2.42</v>
      </c>
      <c r="J209" s="41" t="n">
        <v>6.91</v>
      </c>
      <c r="K209" s="25" t="n">
        <v>0</v>
      </c>
      <c r="L209" s="26">
        <f>IF(H209&lt;=J209,1,0)</f>
        <v>1</v>
      </c>
    </row>
    <row r="210">
      <c r="A210" s="19" t="inlineStr">
        <is>
          <t>QL-034-5</t>
        </is>
      </c>
      <c r="B210" s="36" t="n">
        <v>45691</v>
      </c>
      <c r="C210" s="37" t="inlineStr">
        <is>
          <t>出港</t>
        </is>
      </c>
      <c r="D210" s="19" t="inlineStr">
        <is>
          <t>液体散货</t>
        </is>
      </c>
      <c r="E210" s="19" t="inlineStr">
        <is>
          <t>国内沿海</t>
        </is>
      </c>
      <c r="F210" s="19" t="inlineStr">
        <is>
          <t>05号泊位</t>
        </is>
      </c>
      <c r="G210" s="20" t="n">
        <v>11351</v>
      </c>
      <c r="H210" s="38" t="n">
        <v>7.95</v>
      </c>
      <c r="I210" s="38" t="n">
        <v>1.44</v>
      </c>
      <c r="J210" s="38" t="n">
        <v>7.88</v>
      </c>
      <c r="K210" s="20" t="n">
        <v>0</v>
      </c>
      <c r="L210" s="26">
        <f>IF(H210&lt;=J210,1,0)</f>
        <v>0</v>
      </c>
    </row>
    <row r="211">
      <c r="A211" s="24" t="inlineStr">
        <is>
          <t>QL-034-6</t>
        </is>
      </c>
      <c r="B211" s="39" t="n">
        <v>45691</v>
      </c>
      <c r="C211" s="40" t="inlineStr">
        <is>
          <t>进港</t>
        </is>
      </c>
      <c r="D211" s="24" t="inlineStr">
        <is>
          <t>件杂货</t>
        </is>
      </c>
      <c r="E211" s="24" t="inlineStr">
        <is>
          <t>东南亚</t>
        </is>
      </c>
      <c r="F211" s="24" t="inlineStr">
        <is>
          <t>06号泊位</t>
        </is>
      </c>
      <c r="G211" s="25" t="n">
        <v>3589</v>
      </c>
      <c r="H211" s="41" t="n">
        <v>6.44</v>
      </c>
      <c r="I211" s="41" t="n">
        <v>0.4</v>
      </c>
      <c r="J211" s="41" t="n">
        <v>5.88</v>
      </c>
      <c r="K211" s="25" t="n">
        <v>0</v>
      </c>
      <c r="L211" s="26">
        <f>IF(H211&lt;=J211,1,0)</f>
        <v>0</v>
      </c>
    </row>
    <row r="212">
      <c r="A212" s="19" t="inlineStr">
        <is>
          <t>QL-035-1</t>
        </is>
      </c>
      <c r="B212" s="36" t="n">
        <v>45692</v>
      </c>
      <c r="C212" s="37" t="inlineStr">
        <is>
          <t>出港</t>
        </is>
      </c>
      <c r="D212" s="19" t="inlineStr">
        <is>
          <t>集装箱货物</t>
        </is>
      </c>
      <c r="E212" s="19" t="inlineStr">
        <is>
          <t>国内沿海</t>
        </is>
      </c>
      <c r="F212" s="19" t="inlineStr">
        <is>
          <t>01号泊位</t>
        </is>
      </c>
      <c r="G212" s="20" t="n">
        <v>3267</v>
      </c>
      <c r="H212" s="38" t="n">
        <v>3.74</v>
      </c>
      <c r="I212" s="38" t="n">
        <v>5.19</v>
      </c>
      <c r="J212" s="38" t="n">
        <v>3.63</v>
      </c>
      <c r="K212" s="20" t="n">
        <v>198</v>
      </c>
      <c r="L212" s="26">
        <f>IF(H212&lt;=J212,1,0)</f>
        <v>0</v>
      </c>
    </row>
    <row r="213">
      <c r="A213" s="24" t="inlineStr">
        <is>
          <t>QL-035-2</t>
        </is>
      </c>
      <c r="B213" s="39" t="n">
        <v>45692</v>
      </c>
      <c r="C213" s="40" t="inlineStr">
        <is>
          <t>进港</t>
        </is>
      </c>
      <c r="D213" s="24" t="inlineStr">
        <is>
          <t>金属矿石</t>
        </is>
      </c>
      <c r="E213" s="24" t="inlineStr">
        <is>
          <t>国内沿海</t>
        </is>
      </c>
      <c r="F213" s="24" t="inlineStr">
        <is>
          <t>02号泊位</t>
        </is>
      </c>
      <c r="G213" s="25" t="n">
        <v>7220</v>
      </c>
      <c r="H213" s="41" t="n">
        <v>4.68</v>
      </c>
      <c r="I213" s="41" t="n">
        <v>0.59</v>
      </c>
      <c r="J213" s="41" t="n">
        <v>4.66</v>
      </c>
      <c r="K213" s="25" t="n">
        <v>0</v>
      </c>
      <c r="L213" s="26">
        <f>IF(H213&lt;=J213,1,0)</f>
        <v>0</v>
      </c>
    </row>
    <row r="214">
      <c r="A214" s="19" t="inlineStr">
        <is>
          <t>QL-035-3</t>
        </is>
      </c>
      <c r="B214" s="36" t="n">
        <v>45692</v>
      </c>
      <c r="C214" s="37" t="inlineStr">
        <is>
          <t>进港</t>
        </is>
      </c>
      <c r="D214" s="19" t="inlineStr">
        <is>
          <t>煤炭</t>
        </is>
      </c>
      <c r="E214" s="19" t="inlineStr">
        <is>
          <t>国内沿海</t>
        </is>
      </c>
      <c r="F214" s="19" t="inlineStr">
        <is>
          <t>03号泊位</t>
        </is>
      </c>
      <c r="G214" s="20" t="n">
        <v>6656</v>
      </c>
      <c r="H214" s="38" t="n">
        <v>5.22</v>
      </c>
      <c r="I214" s="38" t="n">
        <v>2.37</v>
      </c>
      <c r="J214" s="38" t="n">
        <v>5.04</v>
      </c>
      <c r="K214" s="20" t="n">
        <v>0</v>
      </c>
      <c r="L214" s="26">
        <f>IF(H214&lt;=J214,1,0)</f>
        <v>0</v>
      </c>
    </row>
    <row r="215">
      <c r="A215" s="24" t="inlineStr">
        <is>
          <t>QL-035-4</t>
        </is>
      </c>
      <c r="B215" s="39" t="n">
        <v>45692</v>
      </c>
      <c r="C215" s="40" t="inlineStr">
        <is>
          <t>出港</t>
        </is>
      </c>
      <c r="D215" s="24" t="inlineStr">
        <is>
          <t>粮食</t>
        </is>
      </c>
      <c r="E215" s="24" t="inlineStr">
        <is>
          <t>国内沿海</t>
        </is>
      </c>
      <c r="F215" s="24" t="inlineStr">
        <is>
          <t>04号泊位</t>
        </is>
      </c>
      <c r="G215" s="25" t="n">
        <v>4304</v>
      </c>
      <c r="H215" s="41" t="n">
        <v>3.99</v>
      </c>
      <c r="I215" s="41" t="n">
        <v>2.63</v>
      </c>
      <c r="J215" s="41" t="n">
        <v>4.22</v>
      </c>
      <c r="K215" s="25" t="n">
        <v>0</v>
      </c>
      <c r="L215" s="26">
        <f>IF(H215&lt;=J215,1,0)</f>
        <v>1</v>
      </c>
    </row>
    <row r="216">
      <c r="A216" s="19" t="inlineStr">
        <is>
          <t>QL-035-5</t>
        </is>
      </c>
      <c r="B216" s="36" t="n">
        <v>45692</v>
      </c>
      <c r="C216" s="37" t="inlineStr">
        <is>
          <t>出港</t>
        </is>
      </c>
      <c r="D216" s="19" t="inlineStr">
        <is>
          <t>液体散货</t>
        </is>
      </c>
      <c r="E216" s="19" t="inlineStr">
        <is>
          <t>东亚</t>
        </is>
      </c>
      <c r="F216" s="19" t="inlineStr">
        <is>
          <t>05号泊位</t>
        </is>
      </c>
      <c r="G216" s="20" t="n">
        <v>4655</v>
      </c>
      <c r="H216" s="38" t="n">
        <v>3.18</v>
      </c>
      <c r="I216" s="38" t="n">
        <v>3.52</v>
      </c>
      <c r="J216" s="38" t="n">
        <v>3.23</v>
      </c>
      <c r="K216" s="20" t="n">
        <v>0</v>
      </c>
      <c r="L216" s="26">
        <f>IF(H216&lt;=J216,1,0)</f>
        <v>1</v>
      </c>
    </row>
    <row r="217">
      <c r="A217" s="24" t="inlineStr">
        <is>
          <t>QL-035-6</t>
        </is>
      </c>
      <c r="B217" s="39" t="n">
        <v>45692</v>
      </c>
      <c r="C217" s="40" t="inlineStr">
        <is>
          <t>出港</t>
        </is>
      </c>
      <c r="D217" s="24" t="inlineStr">
        <is>
          <t>件杂货</t>
        </is>
      </c>
      <c r="E217" s="24" t="inlineStr">
        <is>
          <t>东南亚</t>
        </is>
      </c>
      <c r="F217" s="24" t="inlineStr">
        <is>
          <t>06号泊位</t>
        </is>
      </c>
      <c r="G217" s="25" t="n">
        <v>2784</v>
      </c>
      <c r="H217" s="41" t="n">
        <v>5.42</v>
      </c>
      <c r="I217" s="41" t="n">
        <v>0.32</v>
      </c>
      <c r="J217" s="41" t="n">
        <v>4.56</v>
      </c>
      <c r="K217" s="25" t="n">
        <v>0</v>
      </c>
      <c r="L217" s="26">
        <f>IF(H217&lt;=J217,1,0)</f>
        <v>0</v>
      </c>
    </row>
    <row r="218">
      <c r="A218" s="19" t="inlineStr">
        <is>
          <t>QL-036-1</t>
        </is>
      </c>
      <c r="B218" s="36" t="n">
        <v>45693</v>
      </c>
      <c r="C218" s="37" t="inlineStr">
        <is>
          <t>进港</t>
        </is>
      </c>
      <c r="D218" s="19" t="inlineStr">
        <is>
          <t>集装箱货物</t>
        </is>
      </c>
      <c r="E218" s="19" t="inlineStr">
        <is>
          <t>东亚</t>
        </is>
      </c>
      <c r="F218" s="19" t="inlineStr">
        <is>
          <t>01号泊位</t>
        </is>
      </c>
      <c r="G218" s="20" t="n">
        <v>4284</v>
      </c>
      <c r="H218" s="38" t="n">
        <v>4.72</v>
      </c>
      <c r="I218" s="38" t="n">
        <v>4.88</v>
      </c>
      <c r="J218" s="38" t="n">
        <v>4.76</v>
      </c>
      <c r="K218" s="20" t="n">
        <v>302</v>
      </c>
      <c r="L218" s="26">
        <f>IF(H218&lt;=J218,1,0)</f>
        <v>1</v>
      </c>
    </row>
    <row r="219">
      <c r="A219" s="24" t="inlineStr">
        <is>
          <t>QL-036-2</t>
        </is>
      </c>
      <c r="B219" s="39" t="n">
        <v>45693</v>
      </c>
      <c r="C219" s="40" t="inlineStr">
        <is>
          <t>出港</t>
        </is>
      </c>
      <c r="D219" s="24" t="inlineStr">
        <is>
          <t>金属矿石</t>
        </is>
      </c>
      <c r="E219" s="24" t="inlineStr">
        <is>
          <t>国内沿海</t>
        </is>
      </c>
      <c r="F219" s="24" t="inlineStr">
        <is>
          <t>02号泊位</t>
        </is>
      </c>
      <c r="G219" s="25" t="n">
        <v>9179</v>
      </c>
      <c r="H219" s="41" t="n">
        <v>6.62</v>
      </c>
      <c r="I219" s="41" t="n">
        <v>3.68</v>
      </c>
      <c r="J219" s="41" t="n">
        <v>5.92</v>
      </c>
      <c r="K219" s="25" t="n">
        <v>0</v>
      </c>
      <c r="L219" s="26">
        <f>IF(H219&lt;=J219,1,0)</f>
        <v>0</v>
      </c>
    </row>
    <row r="220">
      <c r="A220" s="19" t="inlineStr">
        <is>
          <t>QL-036-3</t>
        </is>
      </c>
      <c r="B220" s="36" t="n">
        <v>45693</v>
      </c>
      <c r="C220" s="37" t="inlineStr">
        <is>
          <t>进港</t>
        </is>
      </c>
      <c r="D220" s="19" t="inlineStr">
        <is>
          <t>煤炭</t>
        </is>
      </c>
      <c r="E220" s="19" t="inlineStr">
        <is>
          <t>国内沿海</t>
        </is>
      </c>
      <c r="F220" s="19" t="inlineStr">
        <is>
          <t>03号泊位</t>
        </is>
      </c>
      <c r="G220" s="20" t="n">
        <v>5287</v>
      </c>
      <c r="H220" s="38" t="n">
        <v>3.99</v>
      </c>
      <c r="I220" s="38" t="n">
        <v>3.88</v>
      </c>
      <c r="J220" s="38" t="n">
        <v>4.01</v>
      </c>
      <c r="K220" s="20" t="n">
        <v>0</v>
      </c>
      <c r="L220" s="26">
        <f>IF(H220&lt;=J220,1,0)</f>
        <v>1</v>
      </c>
    </row>
    <row r="221">
      <c r="A221" s="24" t="inlineStr">
        <is>
          <t>QL-036-4</t>
        </is>
      </c>
      <c r="B221" s="39" t="n">
        <v>45693</v>
      </c>
      <c r="C221" s="40" t="inlineStr">
        <is>
          <t>进港</t>
        </is>
      </c>
      <c r="D221" s="24" t="inlineStr">
        <is>
          <t>粮食</t>
        </is>
      </c>
      <c r="E221" s="24" t="inlineStr">
        <is>
          <t>北美</t>
        </is>
      </c>
      <c r="F221" s="24" t="inlineStr">
        <is>
          <t>04号泊位</t>
        </is>
      </c>
      <c r="G221" s="25" t="n">
        <v>2251</v>
      </c>
      <c r="H221" s="41" t="n">
        <v>1.89</v>
      </c>
      <c r="I221" s="41" t="n">
        <v>1.94</v>
      </c>
      <c r="J221" s="41" t="n">
        <v>2.21</v>
      </c>
      <c r="K221" s="25" t="n">
        <v>0</v>
      </c>
      <c r="L221" s="26">
        <f>IF(H221&lt;=J221,1,0)</f>
        <v>1</v>
      </c>
    </row>
    <row r="222">
      <c r="A222" s="19" t="inlineStr">
        <is>
          <t>QL-036-5</t>
        </is>
      </c>
      <c r="B222" s="36" t="n">
        <v>45693</v>
      </c>
      <c r="C222" s="37" t="inlineStr">
        <is>
          <t>进港</t>
        </is>
      </c>
      <c r="D222" s="19" t="inlineStr">
        <is>
          <t>液体散货</t>
        </is>
      </c>
      <c r="E222" s="19" t="inlineStr">
        <is>
          <t>东南亚</t>
        </is>
      </c>
      <c r="F222" s="19" t="inlineStr">
        <is>
          <t>05号泊位</t>
        </is>
      </c>
      <c r="G222" s="20" t="n">
        <v>4665</v>
      </c>
      <c r="H222" s="38" t="n">
        <v>3.26</v>
      </c>
      <c r="I222" s="38" t="n">
        <v>1.4</v>
      </c>
      <c r="J222" s="38" t="n">
        <v>3.24</v>
      </c>
      <c r="K222" s="20" t="n">
        <v>0</v>
      </c>
      <c r="L222" s="26">
        <f>IF(H222&lt;=J222,1,0)</f>
        <v>0</v>
      </c>
    </row>
    <row r="223">
      <c r="A223" s="24" t="inlineStr">
        <is>
          <t>QL-036-6</t>
        </is>
      </c>
      <c r="B223" s="39" t="n">
        <v>45693</v>
      </c>
      <c r="C223" s="40" t="inlineStr">
        <is>
          <t>进港</t>
        </is>
      </c>
      <c r="D223" s="24" t="inlineStr">
        <is>
          <t>件杂货</t>
        </is>
      </c>
      <c r="E223" s="24" t="inlineStr">
        <is>
          <t>国内沿海</t>
        </is>
      </c>
      <c r="F223" s="24" t="inlineStr">
        <is>
          <t>06号泊位</t>
        </is>
      </c>
      <c r="G223" s="25" t="n">
        <v>3511</v>
      </c>
      <c r="H223" s="41" t="n">
        <v>6.4</v>
      </c>
      <c r="I223" s="41" t="n">
        <v>1.07</v>
      </c>
      <c r="J223" s="41" t="n">
        <v>5.76</v>
      </c>
      <c r="K223" s="25" t="n">
        <v>0</v>
      </c>
      <c r="L223" s="26">
        <f>IF(H223&lt;=J223,1,0)</f>
        <v>0</v>
      </c>
    </row>
    <row r="224">
      <c r="A224" s="19" t="inlineStr">
        <is>
          <t>QL-037-1</t>
        </is>
      </c>
      <c r="B224" s="36" t="n">
        <v>45694</v>
      </c>
      <c r="C224" s="37" t="inlineStr">
        <is>
          <t>出港</t>
        </is>
      </c>
      <c r="D224" s="19" t="inlineStr">
        <is>
          <t>集装箱货物</t>
        </is>
      </c>
      <c r="E224" s="19" t="inlineStr">
        <is>
          <t>东亚</t>
        </is>
      </c>
      <c r="F224" s="19" t="inlineStr">
        <is>
          <t>01号泊位</t>
        </is>
      </c>
      <c r="G224" s="20" t="n">
        <v>3155</v>
      </c>
      <c r="H224" s="38" t="n">
        <v>3.21</v>
      </c>
      <c r="I224" s="38" t="n">
        <v>2.72</v>
      </c>
      <c r="J224" s="38" t="n">
        <v>3.51</v>
      </c>
      <c r="K224" s="20" t="n">
        <v>202</v>
      </c>
      <c r="L224" s="26">
        <f>IF(H224&lt;=J224,1,0)</f>
        <v>1</v>
      </c>
    </row>
    <row r="225">
      <c r="A225" s="24" t="inlineStr">
        <is>
          <t>QL-037-2</t>
        </is>
      </c>
      <c r="B225" s="39" t="n">
        <v>45694</v>
      </c>
      <c r="C225" s="40" t="inlineStr">
        <is>
          <t>进港</t>
        </is>
      </c>
      <c r="D225" s="24" t="inlineStr">
        <is>
          <t>金属矿石</t>
        </is>
      </c>
      <c r="E225" s="24" t="inlineStr">
        <is>
          <t>东南亚</t>
        </is>
      </c>
      <c r="F225" s="24" t="inlineStr">
        <is>
          <t>02号泊位</t>
        </is>
      </c>
      <c r="G225" s="25" t="n">
        <v>8445</v>
      </c>
      <c r="H225" s="41" t="n">
        <v>4.54</v>
      </c>
      <c r="I225" s="41" t="n">
        <v>1.36</v>
      </c>
      <c r="J225" s="41" t="n">
        <v>5.45</v>
      </c>
      <c r="K225" s="25" t="n">
        <v>0</v>
      </c>
      <c r="L225" s="26">
        <f>IF(H225&lt;=J225,1,0)</f>
        <v>1</v>
      </c>
    </row>
    <row r="226">
      <c r="A226" s="19" t="inlineStr">
        <is>
          <t>QL-037-3</t>
        </is>
      </c>
      <c r="B226" s="36" t="n">
        <v>45694</v>
      </c>
      <c r="C226" s="37" t="inlineStr">
        <is>
          <t>进港</t>
        </is>
      </c>
      <c r="D226" s="19" t="inlineStr">
        <is>
          <t>煤炭</t>
        </is>
      </c>
      <c r="E226" s="19" t="inlineStr">
        <is>
          <t>北美</t>
        </is>
      </c>
      <c r="F226" s="19" t="inlineStr">
        <is>
          <t>03号泊位</t>
        </is>
      </c>
      <c r="G226" s="20" t="n">
        <v>5849</v>
      </c>
      <c r="H226" s="38" t="n">
        <v>3.93</v>
      </c>
      <c r="I226" s="38" t="n">
        <v>4.79</v>
      </c>
      <c r="J226" s="38" t="n">
        <v>4.43</v>
      </c>
      <c r="K226" s="20" t="n">
        <v>0</v>
      </c>
      <c r="L226" s="26">
        <f>IF(H226&lt;=J226,1,0)</f>
        <v>1</v>
      </c>
    </row>
    <row r="227">
      <c r="A227" s="24" t="inlineStr">
        <is>
          <t>QL-037-4</t>
        </is>
      </c>
      <c r="B227" s="39" t="n">
        <v>45694</v>
      </c>
      <c r="C227" s="40" t="inlineStr">
        <is>
          <t>进港</t>
        </is>
      </c>
      <c r="D227" s="24" t="inlineStr">
        <is>
          <t>粮食</t>
        </is>
      </c>
      <c r="E227" s="24" t="inlineStr">
        <is>
          <t>东亚</t>
        </is>
      </c>
      <c r="F227" s="24" t="inlineStr">
        <is>
          <t>04号泊位</t>
        </is>
      </c>
      <c r="G227" s="25" t="n">
        <v>3992</v>
      </c>
      <c r="H227" s="41" t="n">
        <v>3.79</v>
      </c>
      <c r="I227" s="41" t="n">
        <v>4.52</v>
      </c>
      <c r="J227" s="41" t="n">
        <v>3.91</v>
      </c>
      <c r="K227" s="25" t="n">
        <v>0</v>
      </c>
      <c r="L227" s="26">
        <f>IF(H227&lt;=J227,1,0)</f>
        <v>1</v>
      </c>
    </row>
    <row r="228">
      <c r="A228" s="19" t="inlineStr">
        <is>
          <t>QL-037-5</t>
        </is>
      </c>
      <c r="B228" s="36" t="n">
        <v>45694</v>
      </c>
      <c r="C228" s="37" t="inlineStr">
        <is>
          <t>进港</t>
        </is>
      </c>
      <c r="D228" s="19" t="inlineStr">
        <is>
          <t>液体散货</t>
        </is>
      </c>
      <c r="E228" s="19" t="inlineStr">
        <is>
          <t>东南亚</t>
        </is>
      </c>
      <c r="F228" s="19" t="inlineStr">
        <is>
          <t>05号泊位</t>
        </is>
      </c>
      <c r="G228" s="20" t="n">
        <v>4175</v>
      </c>
      <c r="H228" s="38" t="n">
        <v>3.08</v>
      </c>
      <c r="I228" s="38" t="n">
        <v>0.9399999999999999</v>
      </c>
      <c r="J228" s="38" t="n">
        <v>2.9</v>
      </c>
      <c r="K228" s="20" t="n">
        <v>0</v>
      </c>
      <c r="L228" s="26">
        <f>IF(H228&lt;=J228,1,0)</f>
        <v>0</v>
      </c>
    </row>
    <row r="229">
      <c r="A229" s="24" t="inlineStr">
        <is>
          <t>QL-037-6</t>
        </is>
      </c>
      <c r="B229" s="39" t="n">
        <v>45694</v>
      </c>
      <c r="C229" s="40" t="inlineStr">
        <is>
          <t>进港</t>
        </is>
      </c>
      <c r="D229" s="24" t="inlineStr">
        <is>
          <t>件杂货</t>
        </is>
      </c>
      <c r="E229" s="24" t="inlineStr">
        <is>
          <t>国内沿海</t>
        </is>
      </c>
      <c r="F229" s="24" t="inlineStr">
        <is>
          <t>06号泊位</t>
        </is>
      </c>
      <c r="G229" s="25" t="n">
        <v>4049</v>
      </c>
      <c r="H229" s="41" t="n">
        <v>7.91</v>
      </c>
      <c r="I229" s="41" t="n">
        <v>1.2</v>
      </c>
      <c r="J229" s="41" t="n">
        <v>6.64</v>
      </c>
      <c r="K229" s="25" t="n">
        <v>0</v>
      </c>
      <c r="L229" s="26">
        <f>IF(H229&lt;=J229,1,0)</f>
        <v>0</v>
      </c>
    </row>
    <row r="230">
      <c r="A230" s="19" t="inlineStr">
        <is>
          <t>QL-038-1</t>
        </is>
      </c>
      <c r="B230" s="36" t="n">
        <v>45695</v>
      </c>
      <c r="C230" s="37" t="inlineStr">
        <is>
          <t>进港</t>
        </is>
      </c>
      <c r="D230" s="19" t="inlineStr">
        <is>
          <t>集装箱货物</t>
        </is>
      </c>
      <c r="E230" s="19" t="inlineStr">
        <is>
          <t>国内沿海</t>
        </is>
      </c>
      <c r="F230" s="19" t="inlineStr">
        <is>
          <t>01号泊位</t>
        </is>
      </c>
      <c r="G230" s="20" t="n">
        <v>2204</v>
      </c>
      <c r="H230" s="38" t="n">
        <v>2.85</v>
      </c>
      <c r="I230" s="38" t="n">
        <v>2.27</v>
      </c>
      <c r="J230" s="38" t="n">
        <v>2.45</v>
      </c>
      <c r="K230" s="20" t="n">
        <v>135</v>
      </c>
      <c r="L230" s="26">
        <f>IF(H230&lt;=J230,1,0)</f>
        <v>0</v>
      </c>
    </row>
    <row r="231">
      <c r="A231" s="24" t="inlineStr">
        <is>
          <t>QL-038-2</t>
        </is>
      </c>
      <c r="B231" s="39" t="n">
        <v>45695</v>
      </c>
      <c r="C231" s="40" t="inlineStr">
        <is>
          <t>进港</t>
        </is>
      </c>
      <c r="D231" s="24" t="inlineStr">
        <is>
          <t>金属矿石</t>
        </is>
      </c>
      <c r="E231" s="24" t="inlineStr">
        <is>
          <t>北美</t>
        </is>
      </c>
      <c r="F231" s="24" t="inlineStr">
        <is>
          <t>02号泊位</t>
        </is>
      </c>
      <c r="G231" s="25" t="n">
        <v>6217</v>
      </c>
      <c r="H231" s="41" t="n">
        <v>3.79</v>
      </c>
      <c r="I231" s="41" t="n">
        <v>2.07</v>
      </c>
      <c r="J231" s="41" t="n">
        <v>4.01</v>
      </c>
      <c r="K231" s="25" t="n">
        <v>0</v>
      </c>
      <c r="L231" s="26">
        <f>IF(H231&lt;=J231,1,0)</f>
        <v>1</v>
      </c>
    </row>
    <row r="232">
      <c r="A232" s="19" t="inlineStr">
        <is>
          <t>QL-038-3</t>
        </is>
      </c>
      <c r="B232" s="36" t="n">
        <v>45695</v>
      </c>
      <c r="C232" s="37" t="inlineStr">
        <is>
          <t>进港</t>
        </is>
      </c>
      <c r="D232" s="19" t="inlineStr">
        <is>
          <t>煤炭</t>
        </is>
      </c>
      <c r="E232" s="19" t="inlineStr">
        <is>
          <t>国内沿海</t>
        </is>
      </c>
      <c r="F232" s="19" t="inlineStr">
        <is>
          <t>03号泊位</t>
        </is>
      </c>
      <c r="G232" s="20" t="n">
        <v>5799</v>
      </c>
      <c r="H232" s="38" t="n">
        <v>4.78</v>
      </c>
      <c r="I232" s="38" t="n">
        <v>1.88</v>
      </c>
      <c r="J232" s="38" t="n">
        <v>4.39</v>
      </c>
      <c r="K232" s="20" t="n">
        <v>0</v>
      </c>
      <c r="L232" s="26">
        <f>IF(H232&lt;=J232,1,0)</f>
        <v>0</v>
      </c>
    </row>
    <row r="233">
      <c r="A233" s="24" t="inlineStr">
        <is>
          <t>QL-038-4</t>
        </is>
      </c>
      <c r="B233" s="39" t="n">
        <v>45695</v>
      </c>
      <c r="C233" s="40" t="inlineStr">
        <is>
          <t>出港</t>
        </is>
      </c>
      <c r="D233" s="24" t="inlineStr">
        <is>
          <t>粮食</t>
        </is>
      </c>
      <c r="E233" s="24" t="inlineStr">
        <is>
          <t>国内沿海</t>
        </is>
      </c>
      <c r="F233" s="24" t="inlineStr">
        <is>
          <t>04号泊位</t>
        </is>
      </c>
      <c r="G233" s="25" t="n">
        <v>2751</v>
      </c>
      <c r="H233" s="41" t="n">
        <v>2.71</v>
      </c>
      <c r="I233" s="41" t="n">
        <v>1.82</v>
      </c>
      <c r="J233" s="41" t="n">
        <v>2.7</v>
      </c>
      <c r="K233" s="25" t="n">
        <v>0</v>
      </c>
      <c r="L233" s="26">
        <f>IF(H233&lt;=J233,1,0)</f>
        <v>0</v>
      </c>
    </row>
    <row r="234">
      <c r="A234" s="19" t="inlineStr">
        <is>
          <t>QL-038-5</t>
        </is>
      </c>
      <c r="B234" s="36" t="n">
        <v>45695</v>
      </c>
      <c r="C234" s="37" t="inlineStr">
        <is>
          <t>出港</t>
        </is>
      </c>
      <c r="D234" s="19" t="inlineStr">
        <is>
          <t>液体散货</t>
        </is>
      </c>
      <c r="E234" s="19" t="inlineStr">
        <is>
          <t>欧洲</t>
        </is>
      </c>
      <c r="F234" s="19" t="inlineStr">
        <is>
          <t>05号泊位</t>
        </is>
      </c>
      <c r="G234" s="20" t="n">
        <v>5123</v>
      </c>
      <c r="H234" s="38" t="n">
        <v>3.92</v>
      </c>
      <c r="I234" s="38" t="n">
        <v>0.3</v>
      </c>
      <c r="J234" s="38" t="n">
        <v>3.56</v>
      </c>
      <c r="K234" s="20" t="n">
        <v>0</v>
      </c>
      <c r="L234" s="26">
        <f>IF(H234&lt;=J234,1,0)</f>
        <v>0</v>
      </c>
    </row>
    <row r="235">
      <c r="A235" s="24" t="inlineStr">
        <is>
          <t>QL-038-6</t>
        </is>
      </c>
      <c r="B235" s="39" t="n">
        <v>45695</v>
      </c>
      <c r="C235" s="40" t="inlineStr">
        <is>
          <t>出港</t>
        </is>
      </c>
      <c r="D235" s="24" t="inlineStr">
        <is>
          <t>件杂货</t>
        </is>
      </c>
      <c r="E235" s="24" t="inlineStr">
        <is>
          <t>东南亚</t>
        </is>
      </c>
      <c r="F235" s="24" t="inlineStr">
        <is>
          <t>06号泊位</t>
        </is>
      </c>
      <c r="G235" s="25" t="n">
        <v>2415</v>
      </c>
      <c r="H235" s="41" t="n">
        <v>3.69</v>
      </c>
      <c r="I235" s="41" t="n">
        <v>2.15</v>
      </c>
      <c r="J235" s="41" t="n">
        <v>3.96</v>
      </c>
      <c r="K235" s="25" t="n">
        <v>0</v>
      </c>
      <c r="L235" s="26">
        <f>IF(H235&lt;=J235,1,0)</f>
        <v>1</v>
      </c>
    </row>
    <row r="236">
      <c r="A236" s="19" t="inlineStr">
        <is>
          <t>QL-039-1</t>
        </is>
      </c>
      <c r="B236" s="36" t="n">
        <v>45696</v>
      </c>
      <c r="C236" s="37" t="inlineStr">
        <is>
          <t>出港</t>
        </is>
      </c>
      <c r="D236" s="19" t="inlineStr">
        <is>
          <t>集装箱货物</t>
        </is>
      </c>
      <c r="E236" s="19" t="inlineStr">
        <is>
          <t>国内沿海</t>
        </is>
      </c>
      <c r="F236" s="19" t="inlineStr">
        <is>
          <t>01号泊位</t>
        </is>
      </c>
      <c r="G236" s="20" t="n">
        <v>4186</v>
      </c>
      <c r="H236" s="38" t="n">
        <v>4.37</v>
      </c>
      <c r="I236" s="38" t="n">
        <v>0.95</v>
      </c>
      <c r="J236" s="38" t="n">
        <v>4.65</v>
      </c>
      <c r="K236" s="20" t="n">
        <v>314</v>
      </c>
      <c r="L236" s="26">
        <f>IF(H236&lt;=J236,1,0)</f>
        <v>1</v>
      </c>
    </row>
    <row r="237">
      <c r="A237" s="24" t="inlineStr">
        <is>
          <t>QL-039-2</t>
        </is>
      </c>
      <c r="B237" s="39" t="n">
        <v>45696</v>
      </c>
      <c r="C237" s="40" t="inlineStr">
        <is>
          <t>进港</t>
        </is>
      </c>
      <c r="D237" s="24" t="inlineStr">
        <is>
          <t>金属矿石</t>
        </is>
      </c>
      <c r="E237" s="24" t="inlineStr">
        <is>
          <t>东南亚</t>
        </is>
      </c>
      <c r="F237" s="24" t="inlineStr">
        <is>
          <t>02号泊位</t>
        </is>
      </c>
      <c r="G237" s="25" t="n">
        <v>4640</v>
      </c>
      <c r="H237" s="41" t="n">
        <v>2.51</v>
      </c>
      <c r="I237" s="41" t="n">
        <v>2.53</v>
      </c>
      <c r="J237" s="41" t="n">
        <v>2.99</v>
      </c>
      <c r="K237" s="25" t="n">
        <v>0</v>
      </c>
      <c r="L237" s="26">
        <f>IF(H237&lt;=J237,1,0)</f>
        <v>1</v>
      </c>
    </row>
    <row r="238">
      <c r="A238" s="19" t="inlineStr">
        <is>
          <t>QL-039-3</t>
        </is>
      </c>
      <c r="B238" s="36" t="n">
        <v>45696</v>
      </c>
      <c r="C238" s="37" t="inlineStr">
        <is>
          <t>进港</t>
        </is>
      </c>
      <c r="D238" s="19" t="inlineStr">
        <is>
          <t>煤炭</t>
        </is>
      </c>
      <c r="E238" s="19" t="inlineStr">
        <is>
          <t>北美</t>
        </is>
      </c>
      <c r="F238" s="19" t="inlineStr">
        <is>
          <t>03号泊位</t>
        </is>
      </c>
      <c r="G238" s="20" t="n">
        <v>8721</v>
      </c>
      <c r="H238" s="38" t="n">
        <v>6.54</v>
      </c>
      <c r="I238" s="38" t="n">
        <v>1.59</v>
      </c>
      <c r="J238" s="38" t="n">
        <v>6.61</v>
      </c>
      <c r="K238" s="20" t="n">
        <v>0</v>
      </c>
      <c r="L238" s="26">
        <f>IF(H238&lt;=J238,1,0)</f>
        <v>1</v>
      </c>
    </row>
    <row r="239">
      <c r="A239" s="24" t="inlineStr">
        <is>
          <t>QL-039-4</t>
        </is>
      </c>
      <c r="B239" s="39" t="n">
        <v>45696</v>
      </c>
      <c r="C239" s="40" t="inlineStr">
        <is>
          <t>出港</t>
        </is>
      </c>
      <c r="D239" s="24" t="inlineStr">
        <is>
          <t>粮食</t>
        </is>
      </c>
      <c r="E239" s="24" t="inlineStr">
        <is>
          <t>国内沿海</t>
        </is>
      </c>
      <c r="F239" s="24" t="inlineStr">
        <is>
          <t>04号泊位</t>
        </is>
      </c>
      <c r="G239" s="25" t="n">
        <v>2986</v>
      </c>
      <c r="H239" s="41" t="n">
        <v>3.06</v>
      </c>
      <c r="I239" s="41" t="n">
        <v>2.94</v>
      </c>
      <c r="J239" s="41" t="n">
        <v>2.93</v>
      </c>
      <c r="K239" s="25" t="n">
        <v>0</v>
      </c>
      <c r="L239" s="26">
        <f>IF(H239&lt;=J239,1,0)</f>
        <v>0</v>
      </c>
    </row>
    <row r="240">
      <c r="A240" s="19" t="inlineStr">
        <is>
          <t>QL-039-5</t>
        </is>
      </c>
      <c r="B240" s="36" t="n">
        <v>45696</v>
      </c>
      <c r="C240" s="37" t="inlineStr">
        <is>
          <t>进港</t>
        </is>
      </c>
      <c r="D240" s="19" t="inlineStr">
        <is>
          <t>液体散货</t>
        </is>
      </c>
      <c r="E240" s="19" t="inlineStr">
        <is>
          <t>北美</t>
        </is>
      </c>
      <c r="F240" s="19" t="inlineStr">
        <is>
          <t>05号泊位</t>
        </is>
      </c>
      <c r="G240" s="20" t="n">
        <v>4068</v>
      </c>
      <c r="H240" s="38" t="n">
        <v>3.28</v>
      </c>
      <c r="I240" s="38" t="n">
        <v>5.26</v>
      </c>
      <c r="J240" s="38" t="n">
        <v>2.83</v>
      </c>
      <c r="K240" s="20" t="n">
        <v>0</v>
      </c>
      <c r="L240" s="26">
        <f>IF(H240&lt;=J240,1,0)</f>
        <v>0</v>
      </c>
    </row>
    <row r="241">
      <c r="A241" s="24" t="inlineStr">
        <is>
          <t>QL-039-6</t>
        </is>
      </c>
      <c r="B241" s="39" t="n">
        <v>45696</v>
      </c>
      <c r="C241" s="40" t="inlineStr">
        <is>
          <t>出港</t>
        </is>
      </c>
      <c r="D241" s="24" t="inlineStr">
        <is>
          <t>件杂货</t>
        </is>
      </c>
      <c r="E241" s="24" t="inlineStr">
        <is>
          <t>国内沿海</t>
        </is>
      </c>
      <c r="F241" s="24" t="inlineStr">
        <is>
          <t>06号泊位</t>
        </is>
      </c>
      <c r="G241" s="25" t="n">
        <v>4167</v>
      </c>
      <c r="H241" s="41" t="n">
        <v>7.85</v>
      </c>
      <c r="I241" s="41" t="n">
        <v>2.89</v>
      </c>
      <c r="J241" s="41" t="n">
        <v>6.83</v>
      </c>
      <c r="K241" s="25" t="n">
        <v>0</v>
      </c>
      <c r="L241" s="26">
        <f>IF(H241&lt;=J241,1,0)</f>
        <v>0</v>
      </c>
    </row>
    <row r="242">
      <c r="A242" s="19" t="inlineStr">
        <is>
          <t>QL-040-1</t>
        </is>
      </c>
      <c r="B242" s="36" t="n">
        <v>45697</v>
      </c>
      <c r="C242" s="37" t="inlineStr">
        <is>
          <t>进港</t>
        </is>
      </c>
      <c r="D242" s="19" t="inlineStr">
        <is>
          <t>集装箱货物</t>
        </is>
      </c>
      <c r="E242" s="19" t="inlineStr">
        <is>
          <t>东亚</t>
        </is>
      </c>
      <c r="F242" s="19" t="inlineStr">
        <is>
          <t>01号泊位</t>
        </is>
      </c>
      <c r="G242" s="20" t="n">
        <v>4499</v>
      </c>
      <c r="H242" s="38" t="n">
        <v>4.64</v>
      </c>
      <c r="I242" s="38" t="n">
        <v>1.21</v>
      </c>
      <c r="J242" s="38" t="n">
        <v>5</v>
      </c>
      <c r="K242" s="20" t="n">
        <v>301</v>
      </c>
      <c r="L242" s="26">
        <f>IF(H242&lt;=J242,1,0)</f>
        <v>1</v>
      </c>
    </row>
    <row r="243">
      <c r="A243" s="24" t="inlineStr">
        <is>
          <t>QL-040-2</t>
        </is>
      </c>
      <c r="B243" s="39" t="n">
        <v>45697</v>
      </c>
      <c r="C243" s="40" t="inlineStr">
        <is>
          <t>进港</t>
        </is>
      </c>
      <c r="D243" s="24" t="inlineStr">
        <is>
          <t>金属矿石</t>
        </is>
      </c>
      <c r="E243" s="24" t="inlineStr">
        <is>
          <t>东南亚</t>
        </is>
      </c>
      <c r="F243" s="24" t="inlineStr">
        <is>
          <t>02号泊位</t>
        </is>
      </c>
      <c r="G243" s="25" t="n">
        <v>16319</v>
      </c>
      <c r="H243" s="41" t="n">
        <v>9.550000000000001</v>
      </c>
      <c r="I243" s="41" t="n">
        <v>1.81</v>
      </c>
      <c r="J243" s="41" t="n">
        <v>10.53</v>
      </c>
      <c r="K243" s="25" t="n">
        <v>0</v>
      </c>
      <c r="L243" s="26">
        <f>IF(H243&lt;=J243,1,0)</f>
        <v>1</v>
      </c>
    </row>
    <row r="244">
      <c r="A244" s="19" t="inlineStr">
        <is>
          <t>QL-040-3</t>
        </is>
      </c>
      <c r="B244" s="36" t="n">
        <v>45697</v>
      </c>
      <c r="C244" s="37" t="inlineStr">
        <is>
          <t>出港</t>
        </is>
      </c>
      <c r="D244" s="19" t="inlineStr">
        <is>
          <t>煤炭</t>
        </is>
      </c>
      <c r="E244" s="19" t="inlineStr">
        <is>
          <t>欧洲</t>
        </is>
      </c>
      <c r="F244" s="19" t="inlineStr">
        <is>
          <t>03号泊位</t>
        </is>
      </c>
      <c r="G244" s="20" t="n">
        <v>6158</v>
      </c>
      <c r="H244" s="38" t="n">
        <v>3.92</v>
      </c>
      <c r="I244" s="38" t="n">
        <v>3.1</v>
      </c>
      <c r="J244" s="38" t="n">
        <v>4.67</v>
      </c>
      <c r="K244" s="20" t="n">
        <v>0</v>
      </c>
      <c r="L244" s="26">
        <f>IF(H244&lt;=J244,1,0)</f>
        <v>1</v>
      </c>
    </row>
    <row r="245">
      <c r="A245" s="24" t="inlineStr">
        <is>
          <t>QL-040-4</t>
        </is>
      </c>
      <c r="B245" s="39" t="n">
        <v>45697</v>
      </c>
      <c r="C245" s="40" t="inlineStr">
        <is>
          <t>进港</t>
        </is>
      </c>
      <c r="D245" s="24" t="inlineStr">
        <is>
          <t>粮食</t>
        </is>
      </c>
      <c r="E245" s="24" t="inlineStr">
        <is>
          <t>国内沿海</t>
        </is>
      </c>
      <c r="F245" s="24" t="inlineStr">
        <is>
          <t>04号泊位</t>
        </is>
      </c>
      <c r="G245" s="25" t="n">
        <v>3822</v>
      </c>
      <c r="H245" s="41" t="n">
        <v>3.28</v>
      </c>
      <c r="I245" s="41" t="n">
        <v>2.45</v>
      </c>
      <c r="J245" s="41" t="n">
        <v>3.75</v>
      </c>
      <c r="K245" s="25" t="n">
        <v>0</v>
      </c>
      <c r="L245" s="26">
        <f>IF(H245&lt;=J245,1,0)</f>
        <v>1</v>
      </c>
    </row>
    <row r="246">
      <c r="A246" s="19" t="inlineStr">
        <is>
          <t>QL-040-5</t>
        </is>
      </c>
      <c r="B246" s="36" t="n">
        <v>45697</v>
      </c>
      <c r="C246" s="37" t="inlineStr">
        <is>
          <t>出港</t>
        </is>
      </c>
      <c r="D246" s="19" t="inlineStr">
        <is>
          <t>液体散货</t>
        </is>
      </c>
      <c r="E246" s="19" t="inlineStr">
        <is>
          <t>国内沿海</t>
        </is>
      </c>
      <c r="F246" s="19" t="inlineStr">
        <is>
          <t>05号泊位</t>
        </is>
      </c>
      <c r="G246" s="20" t="n">
        <v>3663</v>
      </c>
      <c r="H246" s="38" t="n">
        <v>2.38</v>
      </c>
      <c r="I246" s="38" t="n">
        <v>2.72</v>
      </c>
      <c r="J246" s="38" t="n">
        <v>2.54</v>
      </c>
      <c r="K246" s="20" t="n">
        <v>0</v>
      </c>
      <c r="L246" s="26">
        <f>IF(H246&lt;=J246,1,0)</f>
        <v>1</v>
      </c>
    </row>
    <row r="247">
      <c r="A247" s="24" t="inlineStr">
        <is>
          <t>QL-040-6</t>
        </is>
      </c>
      <c r="B247" s="39" t="n">
        <v>45697</v>
      </c>
      <c r="C247" s="40" t="inlineStr">
        <is>
          <t>进港</t>
        </is>
      </c>
      <c r="D247" s="24" t="inlineStr">
        <is>
          <t>件杂货</t>
        </is>
      </c>
      <c r="E247" s="24" t="inlineStr">
        <is>
          <t>东南亚</t>
        </is>
      </c>
      <c r="F247" s="24" t="inlineStr">
        <is>
          <t>06号泊位</t>
        </is>
      </c>
      <c r="G247" s="25" t="n">
        <v>3406</v>
      </c>
      <c r="H247" s="41" t="n">
        <v>5.1</v>
      </c>
      <c r="I247" s="41" t="n">
        <v>6.09</v>
      </c>
      <c r="J247" s="41" t="n">
        <v>5.58</v>
      </c>
      <c r="K247" s="25" t="n">
        <v>0</v>
      </c>
      <c r="L247" s="26">
        <f>IF(H247&lt;=J247,1,0)</f>
        <v>1</v>
      </c>
    </row>
    <row r="248">
      <c r="A248" s="19" t="inlineStr">
        <is>
          <t>QL-041-1</t>
        </is>
      </c>
      <c r="B248" s="36" t="n">
        <v>45698</v>
      </c>
      <c r="C248" s="37" t="inlineStr">
        <is>
          <t>出港</t>
        </is>
      </c>
      <c r="D248" s="19" t="inlineStr">
        <is>
          <t>集装箱货物</t>
        </is>
      </c>
      <c r="E248" s="19" t="inlineStr">
        <is>
          <t>国内沿海</t>
        </is>
      </c>
      <c r="F248" s="19" t="inlineStr">
        <is>
          <t>01号泊位</t>
        </is>
      </c>
      <c r="G248" s="20" t="n">
        <v>4454</v>
      </c>
      <c r="H248" s="38" t="n">
        <v>4.5</v>
      </c>
      <c r="I248" s="38" t="n">
        <v>3.93</v>
      </c>
      <c r="J248" s="38" t="n">
        <v>4.95</v>
      </c>
      <c r="K248" s="20" t="n">
        <v>367</v>
      </c>
      <c r="L248" s="26">
        <f>IF(H248&lt;=J248,1,0)</f>
        <v>1</v>
      </c>
    </row>
    <row r="249">
      <c r="A249" s="24" t="inlineStr">
        <is>
          <t>QL-041-2</t>
        </is>
      </c>
      <c r="B249" s="39" t="n">
        <v>45698</v>
      </c>
      <c r="C249" s="40" t="inlineStr">
        <is>
          <t>进港</t>
        </is>
      </c>
      <c r="D249" s="24" t="inlineStr">
        <is>
          <t>金属矿石</t>
        </is>
      </c>
      <c r="E249" s="24" t="inlineStr">
        <is>
          <t>东南亚</t>
        </is>
      </c>
      <c r="F249" s="24" t="inlineStr">
        <is>
          <t>02号泊位</t>
        </is>
      </c>
      <c r="G249" s="25" t="n">
        <v>6659</v>
      </c>
      <c r="H249" s="41" t="n">
        <v>3.99</v>
      </c>
      <c r="I249" s="41" t="n">
        <v>3.36</v>
      </c>
      <c r="J249" s="41" t="n">
        <v>4.3</v>
      </c>
      <c r="K249" s="25" t="n">
        <v>0</v>
      </c>
      <c r="L249" s="26">
        <f>IF(H249&lt;=J249,1,0)</f>
        <v>1</v>
      </c>
    </row>
    <row r="250">
      <c r="A250" s="19" t="inlineStr">
        <is>
          <t>QL-041-3</t>
        </is>
      </c>
      <c r="B250" s="36" t="n">
        <v>45698</v>
      </c>
      <c r="C250" s="37" t="inlineStr">
        <is>
          <t>进港</t>
        </is>
      </c>
      <c r="D250" s="19" t="inlineStr">
        <is>
          <t>煤炭</t>
        </is>
      </c>
      <c r="E250" s="19" t="inlineStr">
        <is>
          <t>东亚</t>
        </is>
      </c>
      <c r="F250" s="19" t="inlineStr">
        <is>
          <t>03号泊位</t>
        </is>
      </c>
      <c r="G250" s="20" t="n">
        <v>8060</v>
      </c>
      <c r="H250" s="38" t="n">
        <v>6.7</v>
      </c>
      <c r="I250" s="38" t="n">
        <v>2.98</v>
      </c>
      <c r="J250" s="38" t="n">
        <v>6.11</v>
      </c>
      <c r="K250" s="20" t="n">
        <v>0</v>
      </c>
      <c r="L250" s="26">
        <f>IF(H250&lt;=J250,1,0)</f>
        <v>0</v>
      </c>
    </row>
    <row r="251">
      <c r="A251" s="24" t="inlineStr">
        <is>
          <t>QL-041-4</t>
        </is>
      </c>
      <c r="B251" s="39" t="n">
        <v>45698</v>
      </c>
      <c r="C251" s="40" t="inlineStr">
        <is>
          <t>进港</t>
        </is>
      </c>
      <c r="D251" s="24" t="inlineStr">
        <is>
          <t>粮食</t>
        </is>
      </c>
      <c r="E251" s="24" t="inlineStr">
        <is>
          <t>东南亚</t>
        </is>
      </c>
      <c r="F251" s="24" t="inlineStr">
        <is>
          <t>04号泊位</t>
        </is>
      </c>
      <c r="G251" s="25" t="n">
        <v>6471</v>
      </c>
      <c r="H251" s="41" t="n">
        <v>6.32</v>
      </c>
      <c r="I251" s="41" t="n">
        <v>2.36</v>
      </c>
      <c r="J251" s="41" t="n">
        <v>6.34</v>
      </c>
      <c r="K251" s="25" t="n">
        <v>0</v>
      </c>
      <c r="L251" s="26">
        <f>IF(H251&lt;=J251,1,0)</f>
        <v>1</v>
      </c>
    </row>
    <row r="252">
      <c r="A252" s="19" t="inlineStr">
        <is>
          <t>QL-041-5</t>
        </is>
      </c>
      <c r="B252" s="36" t="n">
        <v>45698</v>
      </c>
      <c r="C252" s="37" t="inlineStr">
        <is>
          <t>进港</t>
        </is>
      </c>
      <c r="D252" s="19" t="inlineStr">
        <is>
          <t>液体散货</t>
        </is>
      </c>
      <c r="E252" s="19" t="inlineStr">
        <is>
          <t>东亚</t>
        </is>
      </c>
      <c r="F252" s="19" t="inlineStr">
        <is>
          <t>05号泊位</t>
        </is>
      </c>
      <c r="G252" s="20" t="n">
        <v>6550</v>
      </c>
      <c r="H252" s="38" t="n">
        <v>4.76</v>
      </c>
      <c r="I252" s="38" t="n">
        <v>1.37</v>
      </c>
      <c r="J252" s="38" t="n">
        <v>4.55</v>
      </c>
      <c r="K252" s="20" t="n">
        <v>0</v>
      </c>
      <c r="L252" s="26">
        <f>IF(H252&lt;=J252,1,0)</f>
        <v>0</v>
      </c>
    </row>
    <row r="253">
      <c r="A253" s="24" t="inlineStr">
        <is>
          <t>QL-041-6</t>
        </is>
      </c>
      <c r="B253" s="39" t="n">
        <v>45698</v>
      </c>
      <c r="C253" s="40" t="inlineStr">
        <is>
          <t>出港</t>
        </is>
      </c>
      <c r="D253" s="24" t="inlineStr">
        <is>
          <t>件杂货</t>
        </is>
      </c>
      <c r="E253" s="24" t="inlineStr">
        <is>
          <t>东亚</t>
        </is>
      </c>
      <c r="F253" s="24" t="inlineStr">
        <is>
          <t>06号泊位</t>
        </is>
      </c>
      <c r="G253" s="25" t="n">
        <v>2255</v>
      </c>
      <c r="H253" s="41" t="n">
        <v>4.11</v>
      </c>
      <c r="I253" s="41" t="n">
        <v>2.04</v>
      </c>
      <c r="J253" s="41" t="n">
        <v>3.7</v>
      </c>
      <c r="K253" s="25" t="n">
        <v>0</v>
      </c>
      <c r="L253" s="26">
        <f>IF(H253&lt;=J253,1,0)</f>
        <v>0</v>
      </c>
    </row>
    <row r="254">
      <c r="A254" s="19" t="inlineStr">
        <is>
          <t>QL-042-1</t>
        </is>
      </c>
      <c r="B254" s="36" t="n">
        <v>45699</v>
      </c>
      <c r="C254" s="37" t="inlineStr">
        <is>
          <t>出港</t>
        </is>
      </c>
      <c r="D254" s="19" t="inlineStr">
        <is>
          <t>集装箱货物</t>
        </is>
      </c>
      <c r="E254" s="19" t="inlineStr">
        <is>
          <t>东南亚</t>
        </is>
      </c>
      <c r="F254" s="19" t="inlineStr">
        <is>
          <t>01号泊位</t>
        </is>
      </c>
      <c r="G254" s="20" t="n">
        <v>3190</v>
      </c>
      <c r="H254" s="38" t="n">
        <v>4.14</v>
      </c>
      <c r="I254" s="38" t="n">
        <v>5.89</v>
      </c>
      <c r="J254" s="38" t="n">
        <v>3.54</v>
      </c>
      <c r="K254" s="20" t="n">
        <v>194</v>
      </c>
      <c r="L254" s="26">
        <f>IF(H254&lt;=J254,1,0)</f>
        <v>0</v>
      </c>
    </row>
    <row r="255">
      <c r="A255" s="24" t="inlineStr">
        <is>
          <t>QL-042-2</t>
        </is>
      </c>
      <c r="B255" s="39" t="n">
        <v>45699</v>
      </c>
      <c r="C255" s="40" t="inlineStr">
        <is>
          <t>进港</t>
        </is>
      </c>
      <c r="D255" s="24" t="inlineStr">
        <is>
          <t>金属矿石</t>
        </is>
      </c>
      <c r="E255" s="24" t="inlineStr">
        <is>
          <t>国内沿海</t>
        </is>
      </c>
      <c r="F255" s="24" t="inlineStr">
        <is>
          <t>02号泊位</t>
        </is>
      </c>
      <c r="G255" s="25" t="n">
        <v>9782</v>
      </c>
      <c r="H255" s="41" t="n">
        <v>6.3</v>
      </c>
      <c r="I255" s="41" t="n">
        <v>4.41</v>
      </c>
      <c r="J255" s="41" t="n">
        <v>6.31</v>
      </c>
      <c r="K255" s="25" t="n">
        <v>0</v>
      </c>
      <c r="L255" s="26">
        <f>IF(H255&lt;=J255,1,0)</f>
        <v>1</v>
      </c>
    </row>
    <row r="256">
      <c r="A256" s="19" t="inlineStr">
        <is>
          <t>QL-042-3</t>
        </is>
      </c>
      <c r="B256" s="36" t="n">
        <v>45699</v>
      </c>
      <c r="C256" s="37" t="inlineStr">
        <is>
          <t>进港</t>
        </is>
      </c>
      <c r="D256" s="19" t="inlineStr">
        <is>
          <t>煤炭</t>
        </is>
      </c>
      <c r="E256" s="19" t="inlineStr">
        <is>
          <t>国内沿海</t>
        </is>
      </c>
      <c r="F256" s="19" t="inlineStr">
        <is>
          <t>03号泊位</t>
        </is>
      </c>
      <c r="G256" s="20" t="n">
        <v>11717</v>
      </c>
      <c r="H256" s="38" t="n">
        <v>9.42</v>
      </c>
      <c r="I256" s="38" t="n">
        <v>3.91</v>
      </c>
      <c r="J256" s="38" t="n">
        <v>8.880000000000001</v>
      </c>
      <c r="K256" s="20" t="n">
        <v>0</v>
      </c>
      <c r="L256" s="26">
        <f>IF(H256&lt;=J256,1,0)</f>
        <v>0</v>
      </c>
    </row>
    <row r="257">
      <c r="A257" s="24" t="inlineStr">
        <is>
          <t>QL-042-4</t>
        </is>
      </c>
      <c r="B257" s="39" t="n">
        <v>45699</v>
      </c>
      <c r="C257" s="40" t="inlineStr">
        <is>
          <t>进港</t>
        </is>
      </c>
      <c r="D257" s="24" t="inlineStr">
        <is>
          <t>粮食</t>
        </is>
      </c>
      <c r="E257" s="24" t="inlineStr">
        <is>
          <t>欧洲</t>
        </is>
      </c>
      <c r="F257" s="24" t="inlineStr">
        <is>
          <t>04号泊位</t>
        </is>
      </c>
      <c r="G257" s="25" t="n">
        <v>3975</v>
      </c>
      <c r="H257" s="41" t="n">
        <v>3.97</v>
      </c>
      <c r="I257" s="41" t="n">
        <v>6.02</v>
      </c>
      <c r="J257" s="41" t="n">
        <v>3.9</v>
      </c>
      <c r="K257" s="25" t="n">
        <v>0</v>
      </c>
      <c r="L257" s="26">
        <f>IF(H257&lt;=J257,1,0)</f>
        <v>0</v>
      </c>
    </row>
    <row r="258">
      <c r="A258" s="19" t="inlineStr">
        <is>
          <t>QL-042-5</t>
        </is>
      </c>
      <c r="B258" s="36" t="n">
        <v>45699</v>
      </c>
      <c r="C258" s="37" t="inlineStr">
        <is>
          <t>出港</t>
        </is>
      </c>
      <c r="D258" s="19" t="inlineStr">
        <is>
          <t>液体散货</t>
        </is>
      </c>
      <c r="E258" s="19" t="inlineStr">
        <is>
          <t>东亚</t>
        </is>
      </c>
      <c r="F258" s="19" t="inlineStr">
        <is>
          <t>05号泊位</t>
        </is>
      </c>
      <c r="G258" s="20" t="n">
        <v>7131</v>
      </c>
      <c r="H258" s="38" t="n">
        <v>5.03</v>
      </c>
      <c r="I258" s="38" t="n">
        <v>3.26</v>
      </c>
      <c r="J258" s="38" t="n">
        <v>4.95</v>
      </c>
      <c r="K258" s="20" t="n">
        <v>0</v>
      </c>
      <c r="L258" s="26">
        <f>IF(H258&lt;=J258,1,0)</f>
        <v>0</v>
      </c>
    </row>
    <row r="259">
      <c r="A259" s="24" t="inlineStr">
        <is>
          <t>QL-042-6</t>
        </is>
      </c>
      <c r="B259" s="39" t="n">
        <v>45699</v>
      </c>
      <c r="C259" s="40" t="inlineStr">
        <is>
          <t>出港</t>
        </is>
      </c>
      <c r="D259" s="24" t="inlineStr">
        <is>
          <t>件杂货</t>
        </is>
      </c>
      <c r="E259" s="24" t="inlineStr">
        <is>
          <t>国内沿海</t>
        </is>
      </c>
      <c r="F259" s="24" t="inlineStr">
        <is>
          <t>06号泊位</t>
        </is>
      </c>
      <c r="G259" s="25" t="n">
        <v>2220</v>
      </c>
      <c r="H259" s="41" t="n">
        <v>3.56</v>
      </c>
      <c r="I259" s="41" t="n">
        <v>2.67</v>
      </c>
      <c r="J259" s="41" t="n">
        <v>3.64</v>
      </c>
      <c r="K259" s="25" t="n">
        <v>0</v>
      </c>
      <c r="L259" s="26">
        <f>IF(H259&lt;=J259,1,0)</f>
        <v>1</v>
      </c>
    </row>
    <row r="260">
      <c r="A260" s="19" t="inlineStr">
        <is>
          <t>QL-043-1</t>
        </is>
      </c>
      <c r="B260" s="36" t="n">
        <v>45700</v>
      </c>
      <c r="C260" s="37" t="inlineStr">
        <is>
          <t>出港</t>
        </is>
      </c>
      <c r="D260" s="19" t="inlineStr">
        <is>
          <t>集装箱货物</t>
        </is>
      </c>
      <c r="E260" s="19" t="inlineStr">
        <is>
          <t>国内沿海</t>
        </is>
      </c>
      <c r="F260" s="19" t="inlineStr">
        <is>
          <t>01号泊位</t>
        </is>
      </c>
      <c r="G260" s="20" t="n">
        <v>4356</v>
      </c>
      <c r="H260" s="38" t="n">
        <v>4.36</v>
      </c>
      <c r="I260" s="38" t="n">
        <v>5.67</v>
      </c>
      <c r="J260" s="38" t="n">
        <v>4.84</v>
      </c>
      <c r="K260" s="20" t="n">
        <v>304</v>
      </c>
      <c r="L260" s="26">
        <f>IF(H260&lt;=J260,1,0)</f>
        <v>1</v>
      </c>
    </row>
    <row r="261">
      <c r="A261" s="24" t="inlineStr">
        <is>
          <t>QL-043-2</t>
        </is>
      </c>
      <c r="B261" s="39" t="n">
        <v>45700</v>
      </c>
      <c r="C261" s="40" t="inlineStr">
        <is>
          <t>进港</t>
        </is>
      </c>
      <c r="D261" s="24" t="inlineStr">
        <is>
          <t>金属矿石</t>
        </is>
      </c>
      <c r="E261" s="24" t="inlineStr">
        <is>
          <t>东南亚</t>
        </is>
      </c>
      <c r="F261" s="24" t="inlineStr">
        <is>
          <t>02号泊位</t>
        </is>
      </c>
      <c r="G261" s="25" t="n">
        <v>8173</v>
      </c>
      <c r="H261" s="41" t="n">
        <v>5.48</v>
      </c>
      <c r="I261" s="41" t="n">
        <v>0.46</v>
      </c>
      <c r="J261" s="41" t="n">
        <v>5.27</v>
      </c>
      <c r="K261" s="25" t="n">
        <v>0</v>
      </c>
      <c r="L261" s="26">
        <f>IF(H261&lt;=J261,1,0)</f>
        <v>0</v>
      </c>
    </row>
    <row r="262">
      <c r="A262" s="19" t="inlineStr">
        <is>
          <t>QL-043-3</t>
        </is>
      </c>
      <c r="B262" s="36" t="n">
        <v>45700</v>
      </c>
      <c r="C262" s="37" t="inlineStr">
        <is>
          <t>进港</t>
        </is>
      </c>
      <c r="D262" s="19" t="inlineStr">
        <is>
          <t>煤炭</t>
        </is>
      </c>
      <c r="E262" s="19" t="inlineStr">
        <is>
          <t>东亚</t>
        </is>
      </c>
      <c r="F262" s="19" t="inlineStr">
        <is>
          <t>03号泊位</t>
        </is>
      </c>
      <c r="G262" s="20" t="n">
        <v>4462</v>
      </c>
      <c r="H262" s="38" t="n">
        <v>3.54</v>
      </c>
      <c r="I262" s="38" t="n">
        <v>3.09</v>
      </c>
      <c r="J262" s="38" t="n">
        <v>3.38</v>
      </c>
      <c r="K262" s="20" t="n">
        <v>0</v>
      </c>
      <c r="L262" s="26">
        <f>IF(H262&lt;=J262,1,0)</f>
        <v>0</v>
      </c>
    </row>
    <row r="263">
      <c r="A263" s="24" t="inlineStr">
        <is>
          <t>QL-043-4</t>
        </is>
      </c>
      <c r="B263" s="39" t="n">
        <v>45700</v>
      </c>
      <c r="C263" s="40" t="inlineStr">
        <is>
          <t>进港</t>
        </is>
      </c>
      <c r="D263" s="24" t="inlineStr">
        <is>
          <t>粮食</t>
        </is>
      </c>
      <c r="E263" s="24" t="inlineStr">
        <is>
          <t>国内沿海</t>
        </is>
      </c>
      <c r="F263" s="24" t="inlineStr">
        <is>
          <t>04号泊位</t>
        </is>
      </c>
      <c r="G263" s="25" t="n">
        <v>3724</v>
      </c>
      <c r="H263" s="41" t="n">
        <v>3.06</v>
      </c>
      <c r="I263" s="41" t="n">
        <v>1.42</v>
      </c>
      <c r="J263" s="41" t="n">
        <v>3.65</v>
      </c>
      <c r="K263" s="25" t="n">
        <v>0</v>
      </c>
      <c r="L263" s="26">
        <f>IF(H263&lt;=J263,1,0)</f>
        <v>1</v>
      </c>
    </row>
    <row r="264">
      <c r="A264" s="19" t="inlineStr">
        <is>
          <t>QL-043-5</t>
        </is>
      </c>
      <c r="B264" s="36" t="n">
        <v>45700</v>
      </c>
      <c r="C264" s="37" t="inlineStr">
        <is>
          <t>出港</t>
        </is>
      </c>
      <c r="D264" s="19" t="inlineStr">
        <is>
          <t>液体散货</t>
        </is>
      </c>
      <c r="E264" s="19" t="inlineStr">
        <is>
          <t>东南亚</t>
        </is>
      </c>
      <c r="F264" s="19" t="inlineStr">
        <is>
          <t>05号泊位</t>
        </is>
      </c>
      <c r="G264" s="20" t="n">
        <v>3368</v>
      </c>
      <c r="H264" s="38" t="n">
        <v>2.58</v>
      </c>
      <c r="I264" s="38" t="n">
        <v>0.32</v>
      </c>
      <c r="J264" s="38" t="n">
        <v>2.34</v>
      </c>
      <c r="K264" s="20" t="n">
        <v>0</v>
      </c>
      <c r="L264" s="26">
        <f>IF(H264&lt;=J264,1,0)</f>
        <v>0</v>
      </c>
    </row>
    <row r="265">
      <c r="A265" s="24" t="inlineStr">
        <is>
          <t>QL-043-6</t>
        </is>
      </c>
      <c r="B265" s="39" t="n">
        <v>45700</v>
      </c>
      <c r="C265" s="40" t="inlineStr">
        <is>
          <t>出港</t>
        </is>
      </c>
      <c r="D265" s="24" t="inlineStr">
        <is>
          <t>件杂货</t>
        </is>
      </c>
      <c r="E265" s="24" t="inlineStr">
        <is>
          <t>国内沿海</t>
        </is>
      </c>
      <c r="F265" s="24" t="inlineStr">
        <is>
          <t>06号泊位</t>
        </is>
      </c>
      <c r="G265" s="25" t="n">
        <v>2083</v>
      </c>
      <c r="H265" s="41" t="n">
        <v>3.02</v>
      </c>
      <c r="I265" s="41" t="n">
        <v>5.27</v>
      </c>
      <c r="J265" s="41" t="n">
        <v>3.41</v>
      </c>
      <c r="K265" s="25" t="n">
        <v>0</v>
      </c>
      <c r="L265" s="26">
        <f>IF(H265&lt;=J265,1,0)</f>
        <v>1</v>
      </c>
    </row>
    <row r="266">
      <c r="A266" s="19" t="inlineStr">
        <is>
          <t>QL-044-1</t>
        </is>
      </c>
      <c r="B266" s="36" t="n">
        <v>45701</v>
      </c>
      <c r="C266" s="37" t="inlineStr">
        <is>
          <t>出港</t>
        </is>
      </c>
      <c r="D266" s="19" t="inlineStr">
        <is>
          <t>集装箱货物</t>
        </is>
      </c>
      <c r="E266" s="19" t="inlineStr">
        <is>
          <t>东亚</t>
        </is>
      </c>
      <c r="F266" s="19" t="inlineStr">
        <is>
          <t>01号泊位</t>
        </is>
      </c>
      <c r="G266" s="20" t="n">
        <v>10338</v>
      </c>
      <c r="H266" s="38" t="n">
        <v>11.11</v>
      </c>
      <c r="I266" s="38" t="n">
        <v>0.3</v>
      </c>
      <c r="J266" s="38" t="n">
        <v>11.49</v>
      </c>
      <c r="K266" s="20" t="n">
        <v>628</v>
      </c>
      <c r="L266" s="26">
        <f>IF(H266&lt;=J266,1,0)</f>
        <v>1</v>
      </c>
    </row>
    <row r="267">
      <c r="A267" s="24" t="inlineStr">
        <is>
          <t>QL-044-2</t>
        </is>
      </c>
      <c r="B267" s="39" t="n">
        <v>45701</v>
      </c>
      <c r="C267" s="40" t="inlineStr">
        <is>
          <t>进港</t>
        </is>
      </c>
      <c r="D267" s="24" t="inlineStr">
        <is>
          <t>金属矿石</t>
        </is>
      </c>
      <c r="E267" s="24" t="inlineStr">
        <is>
          <t>国内沿海</t>
        </is>
      </c>
      <c r="F267" s="24" t="inlineStr">
        <is>
          <t>02号泊位</t>
        </is>
      </c>
      <c r="G267" s="25" t="n">
        <v>24989</v>
      </c>
      <c r="H267" s="41" t="n">
        <v>15.59</v>
      </c>
      <c r="I267" s="41" t="n">
        <v>3.94</v>
      </c>
      <c r="J267" s="41" t="n">
        <v>16.12</v>
      </c>
      <c r="K267" s="25" t="n">
        <v>0</v>
      </c>
      <c r="L267" s="26">
        <f>IF(H267&lt;=J267,1,0)</f>
        <v>1</v>
      </c>
    </row>
    <row r="268">
      <c r="A268" s="19" t="inlineStr">
        <is>
          <t>QL-044-3</t>
        </is>
      </c>
      <c r="B268" s="36" t="n">
        <v>45701</v>
      </c>
      <c r="C268" s="37" t="inlineStr">
        <is>
          <t>进港</t>
        </is>
      </c>
      <c r="D268" s="19" t="inlineStr">
        <is>
          <t>煤炭</t>
        </is>
      </c>
      <c r="E268" s="19" t="inlineStr">
        <is>
          <t>东亚</t>
        </is>
      </c>
      <c r="F268" s="19" t="inlineStr">
        <is>
          <t>03号泊位</t>
        </is>
      </c>
      <c r="G268" s="20" t="n">
        <v>7826</v>
      </c>
      <c r="H268" s="38" t="n">
        <v>5.3</v>
      </c>
      <c r="I268" s="38" t="n">
        <v>3.19</v>
      </c>
      <c r="J268" s="38" t="n">
        <v>5.93</v>
      </c>
      <c r="K268" s="20" t="n">
        <v>0</v>
      </c>
      <c r="L268" s="26">
        <f>IF(H268&lt;=J268,1,0)</f>
        <v>1</v>
      </c>
    </row>
    <row r="269">
      <c r="A269" s="24" t="inlineStr">
        <is>
          <t>QL-044-4</t>
        </is>
      </c>
      <c r="B269" s="39" t="n">
        <v>45701</v>
      </c>
      <c r="C269" s="40" t="inlineStr">
        <is>
          <t>进港</t>
        </is>
      </c>
      <c r="D269" s="24" t="inlineStr">
        <is>
          <t>粮食</t>
        </is>
      </c>
      <c r="E269" s="24" t="inlineStr">
        <is>
          <t>北美</t>
        </is>
      </c>
      <c r="F269" s="24" t="inlineStr">
        <is>
          <t>04号泊位</t>
        </is>
      </c>
      <c r="G269" s="25" t="n">
        <v>8939</v>
      </c>
      <c r="H269" s="41" t="n">
        <v>7.73</v>
      </c>
      <c r="I269" s="41" t="n">
        <v>4.92</v>
      </c>
      <c r="J269" s="41" t="n">
        <v>8.76</v>
      </c>
      <c r="K269" s="25" t="n">
        <v>0</v>
      </c>
      <c r="L269" s="26">
        <f>IF(H269&lt;=J269,1,0)</f>
        <v>1</v>
      </c>
    </row>
    <row r="270">
      <c r="A270" s="19" t="inlineStr">
        <is>
          <t>QL-044-5</t>
        </is>
      </c>
      <c r="B270" s="36" t="n">
        <v>45701</v>
      </c>
      <c r="C270" s="37" t="inlineStr">
        <is>
          <t>进港</t>
        </is>
      </c>
      <c r="D270" s="19" t="inlineStr">
        <is>
          <t>液体散货</t>
        </is>
      </c>
      <c r="E270" s="19" t="inlineStr">
        <is>
          <t>北美</t>
        </is>
      </c>
      <c r="F270" s="19" t="inlineStr">
        <is>
          <t>05号泊位</t>
        </is>
      </c>
      <c r="G270" s="20" t="n">
        <v>7583</v>
      </c>
      <c r="H270" s="38" t="n">
        <v>5.74</v>
      </c>
      <c r="I270" s="38" t="n">
        <v>2.72</v>
      </c>
      <c r="J270" s="38" t="n">
        <v>5.27</v>
      </c>
      <c r="K270" s="20" t="n">
        <v>0</v>
      </c>
      <c r="L270" s="26">
        <f>IF(H270&lt;=J270,1,0)</f>
        <v>0</v>
      </c>
    </row>
    <row r="271">
      <c r="A271" s="24" t="inlineStr">
        <is>
          <t>QL-044-6</t>
        </is>
      </c>
      <c r="B271" s="39" t="n">
        <v>45701</v>
      </c>
      <c r="C271" s="40" t="inlineStr">
        <is>
          <t>出港</t>
        </is>
      </c>
      <c r="D271" s="24" t="inlineStr">
        <is>
          <t>件杂货</t>
        </is>
      </c>
      <c r="E271" s="24" t="inlineStr">
        <is>
          <t>国内沿海</t>
        </is>
      </c>
      <c r="F271" s="24" t="inlineStr">
        <is>
          <t>06号泊位</t>
        </is>
      </c>
      <c r="G271" s="25" t="n">
        <v>5291</v>
      </c>
      <c r="H271" s="41" t="n">
        <v>10.13</v>
      </c>
      <c r="I271" s="41" t="n">
        <v>1.66</v>
      </c>
      <c r="J271" s="41" t="n">
        <v>8.67</v>
      </c>
      <c r="K271" s="25" t="n">
        <v>0</v>
      </c>
      <c r="L271" s="26">
        <f>IF(H271&lt;=J271,1,0)</f>
        <v>0</v>
      </c>
    </row>
    <row r="272">
      <c r="A272" s="19" t="inlineStr">
        <is>
          <t>QL-045-1</t>
        </is>
      </c>
      <c r="B272" s="36" t="n">
        <v>45702</v>
      </c>
      <c r="C272" s="37" t="inlineStr">
        <is>
          <t>出港</t>
        </is>
      </c>
      <c r="D272" s="19" t="inlineStr">
        <is>
          <t>集装箱货物</t>
        </is>
      </c>
      <c r="E272" s="19" t="inlineStr">
        <is>
          <t>东亚</t>
        </is>
      </c>
      <c r="F272" s="19" t="inlineStr">
        <is>
          <t>01号泊位</t>
        </is>
      </c>
      <c r="G272" s="20" t="n">
        <v>7292</v>
      </c>
      <c r="H272" s="38" t="n">
        <v>7.92</v>
      </c>
      <c r="I272" s="38" t="n">
        <v>2.23</v>
      </c>
      <c r="J272" s="38" t="n">
        <v>8.1</v>
      </c>
      <c r="K272" s="20" t="n">
        <v>524</v>
      </c>
      <c r="L272" s="26">
        <f>IF(H272&lt;=J272,1,0)</f>
        <v>1</v>
      </c>
    </row>
    <row r="273">
      <c r="A273" s="24" t="inlineStr">
        <is>
          <t>QL-045-2</t>
        </is>
      </c>
      <c r="B273" s="39" t="n">
        <v>45702</v>
      </c>
      <c r="C273" s="40" t="inlineStr">
        <is>
          <t>进港</t>
        </is>
      </c>
      <c r="D273" s="24" t="inlineStr">
        <is>
          <t>金属矿石</t>
        </is>
      </c>
      <c r="E273" s="24" t="inlineStr">
        <is>
          <t>北美</t>
        </is>
      </c>
      <c r="F273" s="24" t="inlineStr">
        <is>
          <t>02号泊位</t>
        </is>
      </c>
      <c r="G273" s="25" t="n">
        <v>19071</v>
      </c>
      <c r="H273" s="41" t="n">
        <v>14.18</v>
      </c>
      <c r="I273" s="41" t="n">
        <v>1.19</v>
      </c>
      <c r="J273" s="41" t="n">
        <v>12.3</v>
      </c>
      <c r="K273" s="25" t="n">
        <v>0</v>
      </c>
      <c r="L273" s="26">
        <f>IF(H273&lt;=J273,1,0)</f>
        <v>0</v>
      </c>
    </row>
    <row r="274">
      <c r="A274" s="19" t="inlineStr">
        <is>
          <t>QL-045-3</t>
        </is>
      </c>
      <c r="B274" s="36" t="n">
        <v>45702</v>
      </c>
      <c r="C274" s="37" t="inlineStr">
        <is>
          <t>出港</t>
        </is>
      </c>
      <c r="D274" s="19" t="inlineStr">
        <is>
          <t>煤炭</t>
        </is>
      </c>
      <c r="E274" s="19" t="inlineStr">
        <is>
          <t>欧洲</t>
        </is>
      </c>
      <c r="F274" s="19" t="inlineStr">
        <is>
          <t>03号泊位</t>
        </is>
      </c>
      <c r="G274" s="20" t="n">
        <v>11855</v>
      </c>
      <c r="H274" s="38" t="n">
        <v>8.99</v>
      </c>
      <c r="I274" s="38" t="n">
        <v>3.16</v>
      </c>
      <c r="J274" s="38" t="n">
        <v>8.98</v>
      </c>
      <c r="K274" s="20" t="n">
        <v>0</v>
      </c>
      <c r="L274" s="26">
        <f>IF(H274&lt;=J274,1,0)</f>
        <v>0</v>
      </c>
    </row>
    <row r="275">
      <c r="A275" s="24" t="inlineStr">
        <is>
          <t>QL-045-4</t>
        </is>
      </c>
      <c r="B275" s="39" t="n">
        <v>45702</v>
      </c>
      <c r="C275" s="40" t="inlineStr">
        <is>
          <t>进港</t>
        </is>
      </c>
      <c r="D275" s="24" t="inlineStr">
        <is>
          <t>粮食</t>
        </is>
      </c>
      <c r="E275" s="24" t="inlineStr">
        <is>
          <t>东南亚</t>
        </is>
      </c>
      <c r="F275" s="24" t="inlineStr">
        <is>
          <t>04号泊位</t>
        </is>
      </c>
      <c r="G275" s="25" t="n">
        <v>5581</v>
      </c>
      <c r="H275" s="41" t="n">
        <v>6.3</v>
      </c>
      <c r="I275" s="41" t="n">
        <v>0.4</v>
      </c>
      <c r="J275" s="41" t="n">
        <v>5.47</v>
      </c>
      <c r="K275" s="25" t="n">
        <v>0</v>
      </c>
      <c r="L275" s="26">
        <f>IF(H275&lt;=J275,1,0)</f>
        <v>0</v>
      </c>
    </row>
    <row r="276">
      <c r="A276" s="19" t="inlineStr">
        <is>
          <t>QL-045-5</t>
        </is>
      </c>
      <c r="B276" s="36" t="n">
        <v>45702</v>
      </c>
      <c r="C276" s="37" t="inlineStr">
        <is>
          <t>出港</t>
        </is>
      </c>
      <c r="D276" s="19" t="inlineStr">
        <is>
          <t>液体散货</t>
        </is>
      </c>
      <c r="E276" s="19" t="inlineStr">
        <is>
          <t>国内沿海</t>
        </is>
      </c>
      <c r="F276" s="19" t="inlineStr">
        <is>
          <t>05号泊位</t>
        </is>
      </c>
      <c r="G276" s="20" t="n">
        <v>12947</v>
      </c>
      <c r="H276" s="38" t="n">
        <v>8.93</v>
      </c>
      <c r="I276" s="38" t="n">
        <v>3.54</v>
      </c>
      <c r="J276" s="38" t="n">
        <v>8.99</v>
      </c>
      <c r="K276" s="20" t="n">
        <v>0</v>
      </c>
      <c r="L276" s="26">
        <f>IF(H276&lt;=J276,1,0)</f>
        <v>1</v>
      </c>
    </row>
    <row r="277">
      <c r="A277" s="24" t="inlineStr">
        <is>
          <t>QL-045-6</t>
        </is>
      </c>
      <c r="B277" s="39" t="n">
        <v>45702</v>
      </c>
      <c r="C277" s="40" t="inlineStr">
        <is>
          <t>进港</t>
        </is>
      </c>
      <c r="D277" s="24" t="inlineStr">
        <is>
          <t>件杂货</t>
        </is>
      </c>
      <c r="E277" s="24" t="inlineStr">
        <is>
          <t>东亚</t>
        </is>
      </c>
      <c r="F277" s="24" t="inlineStr">
        <is>
          <t>06号泊位</t>
        </is>
      </c>
      <c r="G277" s="25" t="n">
        <v>5715</v>
      </c>
      <c r="H277" s="41" t="n">
        <v>9.77</v>
      </c>
      <c r="I277" s="41" t="n">
        <v>0.64</v>
      </c>
      <c r="J277" s="41" t="n">
        <v>9.369999999999999</v>
      </c>
      <c r="K277" s="25" t="n">
        <v>0</v>
      </c>
      <c r="L277" s="26">
        <f>IF(H277&lt;=J277,1,0)</f>
        <v>0</v>
      </c>
    </row>
    <row r="278">
      <c r="A278" s="19" t="inlineStr">
        <is>
          <t>QL-046-1</t>
        </is>
      </c>
      <c r="B278" s="36" t="n">
        <v>45703</v>
      </c>
      <c r="C278" s="37" t="inlineStr">
        <is>
          <t>出港</t>
        </is>
      </c>
      <c r="D278" s="19" t="inlineStr">
        <is>
          <t>集装箱货物</t>
        </is>
      </c>
      <c r="E278" s="19" t="inlineStr">
        <is>
          <t>东南亚</t>
        </is>
      </c>
      <c r="F278" s="19" t="inlineStr">
        <is>
          <t>01号泊位</t>
        </is>
      </c>
      <c r="G278" s="20" t="n">
        <v>8324</v>
      </c>
      <c r="H278" s="38" t="n">
        <v>10.19</v>
      </c>
      <c r="I278" s="38" t="n">
        <v>0.55</v>
      </c>
      <c r="J278" s="38" t="n">
        <v>9.25</v>
      </c>
      <c r="K278" s="20" t="n">
        <v>672</v>
      </c>
      <c r="L278" s="26">
        <f>IF(H278&lt;=J278,1,0)</f>
        <v>0</v>
      </c>
    </row>
    <row r="279">
      <c r="A279" s="24" t="inlineStr">
        <is>
          <t>QL-046-2</t>
        </is>
      </c>
      <c r="B279" s="39" t="n">
        <v>45703</v>
      </c>
      <c r="C279" s="40" t="inlineStr">
        <is>
          <t>进港</t>
        </is>
      </c>
      <c r="D279" s="24" t="inlineStr">
        <is>
          <t>金属矿石</t>
        </is>
      </c>
      <c r="E279" s="24" t="inlineStr">
        <is>
          <t>东亚</t>
        </is>
      </c>
      <c r="F279" s="24" t="inlineStr">
        <is>
          <t>02号泊位</t>
        </is>
      </c>
      <c r="G279" s="25" t="n">
        <v>13087</v>
      </c>
      <c r="H279" s="41" t="n">
        <v>8.19</v>
      </c>
      <c r="I279" s="41" t="n">
        <v>0.7</v>
      </c>
      <c r="J279" s="41" t="n">
        <v>8.44</v>
      </c>
      <c r="K279" s="25" t="n">
        <v>0</v>
      </c>
      <c r="L279" s="26">
        <f>IF(H279&lt;=J279,1,0)</f>
        <v>1</v>
      </c>
    </row>
    <row r="280">
      <c r="A280" s="19" t="inlineStr">
        <is>
          <t>QL-046-3</t>
        </is>
      </c>
      <c r="B280" s="36" t="n">
        <v>45703</v>
      </c>
      <c r="C280" s="37" t="inlineStr">
        <is>
          <t>出港</t>
        </is>
      </c>
      <c r="D280" s="19" t="inlineStr">
        <is>
          <t>煤炭</t>
        </is>
      </c>
      <c r="E280" s="19" t="inlineStr">
        <is>
          <t>国内沿海</t>
        </is>
      </c>
      <c r="F280" s="19" t="inlineStr">
        <is>
          <t>03号泊位</t>
        </is>
      </c>
      <c r="G280" s="20" t="n">
        <v>6999</v>
      </c>
      <c r="H280" s="38" t="n">
        <v>5.62</v>
      </c>
      <c r="I280" s="38" t="n">
        <v>5.65</v>
      </c>
      <c r="J280" s="38" t="n">
        <v>5.3</v>
      </c>
      <c r="K280" s="20" t="n">
        <v>0</v>
      </c>
      <c r="L280" s="26">
        <f>IF(H280&lt;=J280,1,0)</f>
        <v>0</v>
      </c>
    </row>
    <row r="281">
      <c r="A281" s="24" t="inlineStr">
        <is>
          <t>QL-046-4</t>
        </is>
      </c>
      <c r="B281" s="39" t="n">
        <v>45703</v>
      </c>
      <c r="C281" s="40" t="inlineStr">
        <is>
          <t>进港</t>
        </is>
      </c>
      <c r="D281" s="24" t="inlineStr">
        <is>
          <t>粮食</t>
        </is>
      </c>
      <c r="E281" s="24" t="inlineStr">
        <is>
          <t>欧洲</t>
        </is>
      </c>
      <c r="F281" s="24" t="inlineStr">
        <is>
          <t>04号泊位</t>
        </is>
      </c>
      <c r="G281" s="25" t="n">
        <v>7972</v>
      </c>
      <c r="H281" s="41" t="n">
        <v>7.91</v>
      </c>
      <c r="I281" s="41" t="n">
        <v>1.66</v>
      </c>
      <c r="J281" s="41" t="n">
        <v>7.82</v>
      </c>
      <c r="K281" s="25" t="n">
        <v>0</v>
      </c>
      <c r="L281" s="26">
        <f>IF(H281&lt;=J281,1,0)</f>
        <v>0</v>
      </c>
    </row>
    <row r="282">
      <c r="A282" s="19" t="inlineStr">
        <is>
          <t>QL-046-5</t>
        </is>
      </c>
      <c r="B282" s="36" t="n">
        <v>45703</v>
      </c>
      <c r="C282" s="37" t="inlineStr">
        <is>
          <t>进港</t>
        </is>
      </c>
      <c r="D282" s="19" t="inlineStr">
        <is>
          <t>液体散货</t>
        </is>
      </c>
      <c r="E282" s="19" t="inlineStr">
        <is>
          <t>东亚</t>
        </is>
      </c>
      <c r="F282" s="19" t="inlineStr">
        <is>
          <t>05号泊位</t>
        </is>
      </c>
      <c r="G282" s="20" t="n">
        <v>9379</v>
      </c>
      <c r="H282" s="38" t="n">
        <v>6.44</v>
      </c>
      <c r="I282" s="38" t="n">
        <v>4.89</v>
      </c>
      <c r="J282" s="38" t="n">
        <v>6.51</v>
      </c>
      <c r="K282" s="20" t="n">
        <v>0</v>
      </c>
      <c r="L282" s="26">
        <f>IF(H282&lt;=J282,1,0)</f>
        <v>1</v>
      </c>
    </row>
    <row r="283">
      <c r="A283" s="24" t="inlineStr">
        <is>
          <t>QL-046-6</t>
        </is>
      </c>
      <c r="B283" s="39" t="n">
        <v>45703</v>
      </c>
      <c r="C283" s="40" t="inlineStr">
        <is>
          <t>出港</t>
        </is>
      </c>
      <c r="D283" s="24" t="inlineStr">
        <is>
          <t>件杂货</t>
        </is>
      </c>
      <c r="E283" s="24" t="inlineStr">
        <is>
          <t>北美</t>
        </is>
      </c>
      <c r="F283" s="24" t="inlineStr">
        <is>
          <t>06号泊位</t>
        </is>
      </c>
      <c r="G283" s="25" t="n">
        <v>3902</v>
      </c>
      <c r="H283" s="41" t="n">
        <v>6.83</v>
      </c>
      <c r="I283" s="41" t="n">
        <v>2.67</v>
      </c>
      <c r="J283" s="41" t="n">
        <v>6.4</v>
      </c>
      <c r="K283" s="25" t="n">
        <v>0</v>
      </c>
      <c r="L283" s="26">
        <f>IF(H283&lt;=J283,1,0)</f>
        <v>0</v>
      </c>
    </row>
    <row r="284">
      <c r="A284" s="19" t="inlineStr">
        <is>
          <t>QL-047-1</t>
        </is>
      </c>
      <c r="B284" s="36" t="n">
        <v>45704</v>
      </c>
      <c r="C284" s="37" t="inlineStr">
        <is>
          <t>进港</t>
        </is>
      </c>
      <c r="D284" s="19" t="inlineStr">
        <is>
          <t>集装箱货物</t>
        </is>
      </c>
      <c r="E284" s="19" t="inlineStr">
        <is>
          <t>东亚</t>
        </is>
      </c>
      <c r="F284" s="19" t="inlineStr">
        <is>
          <t>01号泊位</t>
        </is>
      </c>
      <c r="G284" s="20" t="n">
        <v>7353</v>
      </c>
      <c r="H284" s="38" t="n">
        <v>7.77</v>
      </c>
      <c r="I284" s="38" t="n">
        <v>1.66</v>
      </c>
      <c r="J284" s="38" t="n">
        <v>8.17</v>
      </c>
      <c r="K284" s="20" t="n">
        <v>516</v>
      </c>
      <c r="L284" s="26">
        <f>IF(H284&lt;=J284,1,0)</f>
        <v>1</v>
      </c>
    </row>
    <row r="285">
      <c r="A285" s="24" t="inlineStr">
        <is>
          <t>QL-047-2</t>
        </is>
      </c>
      <c r="B285" s="39" t="n">
        <v>45704</v>
      </c>
      <c r="C285" s="40" t="inlineStr">
        <is>
          <t>出港</t>
        </is>
      </c>
      <c r="D285" s="24" t="inlineStr">
        <is>
          <t>金属矿石</t>
        </is>
      </c>
      <c r="E285" s="24" t="inlineStr">
        <is>
          <t>东亚</t>
        </is>
      </c>
      <c r="F285" s="24" t="inlineStr">
        <is>
          <t>02号泊位</t>
        </is>
      </c>
      <c r="G285" s="25" t="n">
        <v>16059</v>
      </c>
      <c r="H285" s="41" t="n">
        <v>9.44</v>
      </c>
      <c r="I285" s="41" t="n">
        <v>1.47</v>
      </c>
      <c r="J285" s="41" t="n">
        <v>10.36</v>
      </c>
      <c r="K285" s="25" t="n">
        <v>0</v>
      </c>
      <c r="L285" s="26">
        <f>IF(H285&lt;=J285,1,0)</f>
        <v>1</v>
      </c>
    </row>
    <row r="286">
      <c r="A286" s="19" t="inlineStr">
        <is>
          <t>QL-047-3</t>
        </is>
      </c>
      <c r="B286" s="36" t="n">
        <v>45704</v>
      </c>
      <c r="C286" s="37" t="inlineStr">
        <is>
          <t>出港</t>
        </is>
      </c>
      <c r="D286" s="19" t="inlineStr">
        <is>
          <t>煤炭</t>
        </is>
      </c>
      <c r="E286" s="19" t="inlineStr">
        <is>
          <t>东亚</t>
        </is>
      </c>
      <c r="F286" s="19" t="inlineStr">
        <is>
          <t>03号泊位</t>
        </is>
      </c>
      <c r="G286" s="20" t="n">
        <v>6669</v>
      </c>
      <c r="H286" s="38" t="n">
        <v>4.68</v>
      </c>
      <c r="I286" s="38" t="n">
        <v>2.08</v>
      </c>
      <c r="J286" s="38" t="n">
        <v>5.05</v>
      </c>
      <c r="K286" s="20" t="n">
        <v>0</v>
      </c>
      <c r="L286" s="26">
        <f>IF(H286&lt;=J286,1,0)</f>
        <v>1</v>
      </c>
    </row>
    <row r="287">
      <c r="A287" s="24" t="inlineStr">
        <is>
          <t>QL-047-4</t>
        </is>
      </c>
      <c r="B287" s="39" t="n">
        <v>45704</v>
      </c>
      <c r="C287" s="40" t="inlineStr">
        <is>
          <t>出港</t>
        </is>
      </c>
      <c r="D287" s="24" t="inlineStr">
        <is>
          <t>粮食</t>
        </is>
      </c>
      <c r="E287" s="24" t="inlineStr">
        <is>
          <t>东南亚</t>
        </is>
      </c>
      <c r="F287" s="24" t="inlineStr">
        <is>
          <t>04号泊位</t>
        </is>
      </c>
      <c r="G287" s="25" t="n">
        <v>5160</v>
      </c>
      <c r="H287" s="41" t="n">
        <v>4.52</v>
      </c>
      <c r="I287" s="41" t="n">
        <v>2.68</v>
      </c>
      <c r="J287" s="41" t="n">
        <v>5.06</v>
      </c>
      <c r="K287" s="25" t="n">
        <v>0</v>
      </c>
      <c r="L287" s="26">
        <f>IF(H287&lt;=J287,1,0)</f>
        <v>1</v>
      </c>
    </row>
    <row r="288">
      <c r="A288" s="19" t="inlineStr">
        <is>
          <t>QL-047-5</t>
        </is>
      </c>
      <c r="B288" s="36" t="n">
        <v>45704</v>
      </c>
      <c r="C288" s="37" t="inlineStr">
        <is>
          <t>进港</t>
        </is>
      </c>
      <c r="D288" s="19" t="inlineStr">
        <is>
          <t>液体散货</t>
        </is>
      </c>
      <c r="E288" s="19" t="inlineStr">
        <is>
          <t>北美</t>
        </is>
      </c>
      <c r="F288" s="19" t="inlineStr">
        <is>
          <t>05号泊位</t>
        </is>
      </c>
      <c r="G288" s="20" t="n">
        <v>7258</v>
      </c>
      <c r="H288" s="38" t="n">
        <v>4.64</v>
      </c>
      <c r="I288" s="38" t="n">
        <v>2.13</v>
      </c>
      <c r="J288" s="38" t="n">
        <v>5.04</v>
      </c>
      <c r="K288" s="20" t="n">
        <v>0</v>
      </c>
      <c r="L288" s="26">
        <f>IF(H288&lt;=J288,1,0)</f>
        <v>1</v>
      </c>
    </row>
    <row r="289">
      <c r="A289" s="24" t="inlineStr">
        <is>
          <t>QL-047-6</t>
        </is>
      </c>
      <c r="B289" s="39" t="n">
        <v>45704</v>
      </c>
      <c r="C289" s="40" t="inlineStr">
        <is>
          <t>进港</t>
        </is>
      </c>
      <c r="D289" s="24" t="inlineStr">
        <is>
          <t>件杂货</t>
        </is>
      </c>
      <c r="E289" s="24" t="inlineStr">
        <is>
          <t>东南亚</t>
        </is>
      </c>
      <c r="F289" s="24" t="inlineStr">
        <is>
          <t>06号泊位</t>
        </is>
      </c>
      <c r="G289" s="25" t="n">
        <v>3388</v>
      </c>
      <c r="H289" s="41" t="n">
        <v>5.23</v>
      </c>
      <c r="I289" s="41" t="n">
        <v>0.98</v>
      </c>
      <c r="J289" s="41" t="n">
        <v>5.55</v>
      </c>
      <c r="K289" s="25" t="n">
        <v>0</v>
      </c>
      <c r="L289" s="26">
        <f>IF(H289&lt;=J289,1,0)</f>
        <v>1</v>
      </c>
    </row>
    <row r="290">
      <c r="A290" s="19" t="inlineStr">
        <is>
          <t>QL-048-1</t>
        </is>
      </c>
      <c r="B290" s="36" t="n">
        <v>45705</v>
      </c>
      <c r="C290" s="37" t="inlineStr">
        <is>
          <t>出港</t>
        </is>
      </c>
      <c r="D290" s="19" t="inlineStr">
        <is>
          <t>集装箱货物</t>
        </is>
      </c>
      <c r="E290" s="19" t="inlineStr">
        <is>
          <t>东亚</t>
        </is>
      </c>
      <c r="F290" s="19" t="inlineStr">
        <is>
          <t>01号泊位</t>
        </is>
      </c>
      <c r="G290" s="20" t="n">
        <v>4682</v>
      </c>
      <c r="H290" s="38" t="n">
        <v>6.14</v>
      </c>
      <c r="I290" s="38" t="n">
        <v>2.02</v>
      </c>
      <c r="J290" s="38" t="n">
        <v>5.2</v>
      </c>
      <c r="K290" s="20" t="n">
        <v>324</v>
      </c>
      <c r="L290" s="26">
        <f>IF(H290&lt;=J290,1,0)</f>
        <v>0</v>
      </c>
    </row>
    <row r="291">
      <c r="A291" s="24" t="inlineStr">
        <is>
          <t>QL-048-2</t>
        </is>
      </c>
      <c r="B291" s="39" t="n">
        <v>45705</v>
      </c>
      <c r="C291" s="40" t="inlineStr">
        <is>
          <t>进港</t>
        </is>
      </c>
      <c r="D291" s="24" t="inlineStr">
        <is>
          <t>金属矿石</t>
        </is>
      </c>
      <c r="E291" s="24" t="inlineStr">
        <is>
          <t>东亚</t>
        </is>
      </c>
      <c r="F291" s="24" t="inlineStr">
        <is>
          <t>02号泊位</t>
        </is>
      </c>
      <c r="G291" s="25" t="n">
        <v>16360</v>
      </c>
      <c r="H291" s="41" t="n">
        <v>10.89</v>
      </c>
      <c r="I291" s="41" t="n">
        <v>0.72</v>
      </c>
      <c r="J291" s="41" t="n">
        <v>10.55</v>
      </c>
      <c r="K291" s="25" t="n">
        <v>0</v>
      </c>
      <c r="L291" s="26">
        <f>IF(H291&lt;=J291,1,0)</f>
        <v>0</v>
      </c>
    </row>
    <row r="292">
      <c r="A292" s="19" t="inlineStr">
        <is>
          <t>QL-048-3</t>
        </is>
      </c>
      <c r="B292" s="36" t="n">
        <v>45705</v>
      </c>
      <c r="C292" s="37" t="inlineStr">
        <is>
          <t>出港</t>
        </is>
      </c>
      <c r="D292" s="19" t="inlineStr">
        <is>
          <t>煤炭</t>
        </is>
      </c>
      <c r="E292" s="19" t="inlineStr">
        <is>
          <t>东亚</t>
        </is>
      </c>
      <c r="F292" s="19" t="inlineStr">
        <is>
          <t>03号泊位</t>
        </is>
      </c>
      <c r="G292" s="20" t="n">
        <v>10466</v>
      </c>
      <c r="H292" s="38" t="n">
        <v>7.68</v>
      </c>
      <c r="I292" s="38" t="n">
        <v>2.7</v>
      </c>
      <c r="J292" s="38" t="n">
        <v>7.93</v>
      </c>
      <c r="K292" s="20" t="n">
        <v>0</v>
      </c>
      <c r="L292" s="26">
        <f>IF(H292&lt;=J292,1,0)</f>
        <v>1</v>
      </c>
    </row>
    <row r="293">
      <c r="A293" s="24" t="inlineStr">
        <is>
          <t>QL-048-4</t>
        </is>
      </c>
      <c r="B293" s="39" t="n">
        <v>45705</v>
      </c>
      <c r="C293" s="40" t="inlineStr">
        <is>
          <t>进港</t>
        </is>
      </c>
      <c r="D293" s="24" t="inlineStr">
        <is>
          <t>粮食</t>
        </is>
      </c>
      <c r="E293" s="24" t="inlineStr">
        <is>
          <t>东南亚</t>
        </is>
      </c>
      <c r="F293" s="24" t="inlineStr">
        <is>
          <t>04号泊位</t>
        </is>
      </c>
      <c r="G293" s="25" t="n">
        <v>8013</v>
      </c>
      <c r="H293" s="41" t="n">
        <v>6.88</v>
      </c>
      <c r="I293" s="41" t="n">
        <v>2.32</v>
      </c>
      <c r="J293" s="41" t="n">
        <v>7.86</v>
      </c>
      <c r="K293" s="25" t="n">
        <v>0</v>
      </c>
      <c r="L293" s="26">
        <f>IF(H293&lt;=J293,1,0)</f>
        <v>1</v>
      </c>
    </row>
    <row r="294">
      <c r="A294" s="19" t="inlineStr">
        <is>
          <t>QL-048-5</t>
        </is>
      </c>
      <c r="B294" s="36" t="n">
        <v>45705</v>
      </c>
      <c r="C294" s="37" t="inlineStr">
        <is>
          <t>进港</t>
        </is>
      </c>
      <c r="D294" s="19" t="inlineStr">
        <is>
          <t>液体散货</t>
        </is>
      </c>
      <c r="E294" s="19" t="inlineStr">
        <is>
          <t>国内沿海</t>
        </is>
      </c>
      <c r="F294" s="19" t="inlineStr">
        <is>
          <t>05号泊位</t>
        </is>
      </c>
      <c r="G294" s="20" t="n">
        <v>8617</v>
      </c>
      <c r="H294" s="38" t="n">
        <v>5.19</v>
      </c>
      <c r="I294" s="38" t="n">
        <v>1.3</v>
      </c>
      <c r="J294" s="38" t="n">
        <v>5.98</v>
      </c>
      <c r="K294" s="20" t="n">
        <v>0</v>
      </c>
      <c r="L294" s="26">
        <f>IF(H294&lt;=J294,1,0)</f>
        <v>1</v>
      </c>
    </row>
    <row r="295">
      <c r="A295" s="24" t="inlineStr">
        <is>
          <t>QL-048-6</t>
        </is>
      </c>
      <c r="B295" s="39" t="n">
        <v>45705</v>
      </c>
      <c r="C295" s="40" t="inlineStr">
        <is>
          <t>进港</t>
        </is>
      </c>
      <c r="D295" s="24" t="inlineStr">
        <is>
          <t>件杂货</t>
        </is>
      </c>
      <c r="E295" s="24" t="inlineStr">
        <is>
          <t>东亚</t>
        </is>
      </c>
      <c r="F295" s="24" t="inlineStr">
        <is>
          <t>06号泊位</t>
        </is>
      </c>
      <c r="G295" s="25" t="n">
        <v>2394</v>
      </c>
      <c r="H295" s="41" t="n">
        <v>3.31</v>
      </c>
      <c r="I295" s="41" t="n">
        <v>1.11</v>
      </c>
      <c r="J295" s="41" t="n">
        <v>3.92</v>
      </c>
      <c r="K295" s="25" t="n">
        <v>0</v>
      </c>
      <c r="L295" s="26">
        <f>IF(H295&lt;=J295,1,0)</f>
        <v>1</v>
      </c>
    </row>
    <row r="296">
      <c r="A296" s="19" t="inlineStr">
        <is>
          <t>QL-049-1</t>
        </is>
      </c>
      <c r="B296" s="36" t="n">
        <v>45706</v>
      </c>
      <c r="C296" s="37" t="inlineStr">
        <is>
          <t>出港</t>
        </is>
      </c>
      <c r="D296" s="19" t="inlineStr">
        <is>
          <t>集装箱货物</t>
        </is>
      </c>
      <c r="E296" s="19" t="inlineStr">
        <is>
          <t>东南亚</t>
        </is>
      </c>
      <c r="F296" s="19" t="inlineStr">
        <is>
          <t>01号泊位</t>
        </is>
      </c>
      <c r="G296" s="20" t="n">
        <v>5210</v>
      </c>
      <c r="H296" s="38" t="n">
        <v>6.5</v>
      </c>
      <c r="I296" s="38" t="n">
        <v>1.82</v>
      </c>
      <c r="J296" s="38" t="n">
        <v>5.79</v>
      </c>
      <c r="K296" s="20" t="n">
        <v>385</v>
      </c>
      <c r="L296" s="26">
        <f>IF(H296&lt;=J296,1,0)</f>
        <v>0</v>
      </c>
    </row>
    <row r="297">
      <c r="A297" s="24" t="inlineStr">
        <is>
          <t>QL-049-2</t>
        </is>
      </c>
      <c r="B297" s="39" t="n">
        <v>45706</v>
      </c>
      <c r="C297" s="40" t="inlineStr">
        <is>
          <t>进港</t>
        </is>
      </c>
      <c r="D297" s="24" t="inlineStr">
        <is>
          <t>金属矿石</t>
        </is>
      </c>
      <c r="E297" s="24" t="inlineStr">
        <is>
          <t>东南亚</t>
        </is>
      </c>
      <c r="F297" s="24" t="inlineStr">
        <is>
          <t>02号泊位</t>
        </is>
      </c>
      <c r="G297" s="25" t="n">
        <v>10310</v>
      </c>
      <c r="H297" s="41" t="n">
        <v>6.86</v>
      </c>
      <c r="I297" s="41" t="n">
        <v>1.91</v>
      </c>
      <c r="J297" s="41" t="n">
        <v>6.65</v>
      </c>
      <c r="K297" s="25" t="n">
        <v>0</v>
      </c>
      <c r="L297" s="26">
        <f>IF(H297&lt;=J297,1,0)</f>
        <v>0</v>
      </c>
    </row>
    <row r="298">
      <c r="A298" s="19" t="inlineStr">
        <is>
          <t>QL-049-3</t>
        </is>
      </c>
      <c r="B298" s="36" t="n">
        <v>45706</v>
      </c>
      <c r="C298" s="37" t="inlineStr">
        <is>
          <t>出港</t>
        </is>
      </c>
      <c r="D298" s="19" t="inlineStr">
        <is>
          <t>煤炭</t>
        </is>
      </c>
      <c r="E298" s="19" t="inlineStr">
        <is>
          <t>国内沿海</t>
        </is>
      </c>
      <c r="F298" s="19" t="inlineStr">
        <is>
          <t>03号泊位</t>
        </is>
      </c>
      <c r="G298" s="20" t="n">
        <v>13524</v>
      </c>
      <c r="H298" s="38" t="n">
        <v>11.26</v>
      </c>
      <c r="I298" s="38" t="n">
        <v>0.3</v>
      </c>
      <c r="J298" s="38" t="n">
        <v>10.25</v>
      </c>
      <c r="K298" s="20" t="n">
        <v>0</v>
      </c>
      <c r="L298" s="26">
        <f>IF(H298&lt;=J298,1,0)</f>
        <v>0</v>
      </c>
    </row>
    <row r="299">
      <c r="A299" s="24" t="inlineStr">
        <is>
          <t>QL-049-4</t>
        </is>
      </c>
      <c r="B299" s="39" t="n">
        <v>45706</v>
      </c>
      <c r="C299" s="40" t="inlineStr">
        <is>
          <t>出港</t>
        </is>
      </c>
      <c r="D299" s="24" t="inlineStr">
        <is>
          <t>粮食</t>
        </is>
      </c>
      <c r="E299" s="24" t="inlineStr">
        <is>
          <t>国内沿海</t>
        </is>
      </c>
      <c r="F299" s="24" t="inlineStr">
        <is>
          <t>04号泊位</t>
        </is>
      </c>
      <c r="G299" s="25" t="n">
        <v>4433</v>
      </c>
      <c r="H299" s="41" t="n">
        <v>4.02</v>
      </c>
      <c r="I299" s="41" t="n">
        <v>2.24</v>
      </c>
      <c r="J299" s="41" t="n">
        <v>4.35</v>
      </c>
      <c r="K299" s="25" t="n">
        <v>0</v>
      </c>
      <c r="L299" s="26">
        <f>IF(H299&lt;=J299,1,0)</f>
        <v>1</v>
      </c>
    </row>
    <row r="300">
      <c r="A300" s="19" t="inlineStr">
        <is>
          <t>QL-049-5</t>
        </is>
      </c>
      <c r="B300" s="36" t="n">
        <v>45706</v>
      </c>
      <c r="C300" s="37" t="inlineStr">
        <is>
          <t>出港</t>
        </is>
      </c>
      <c r="D300" s="19" t="inlineStr">
        <is>
          <t>液体散货</t>
        </is>
      </c>
      <c r="E300" s="19" t="inlineStr">
        <is>
          <t>国内沿海</t>
        </is>
      </c>
      <c r="F300" s="19" t="inlineStr">
        <is>
          <t>05号泊位</t>
        </is>
      </c>
      <c r="G300" s="20" t="n">
        <v>7866</v>
      </c>
      <c r="H300" s="38" t="n">
        <v>5.29</v>
      </c>
      <c r="I300" s="38" t="n">
        <v>1.61</v>
      </c>
      <c r="J300" s="38" t="n">
        <v>5.46</v>
      </c>
      <c r="K300" s="20" t="n">
        <v>0</v>
      </c>
      <c r="L300" s="26">
        <f>IF(H300&lt;=J300,1,0)</f>
        <v>1</v>
      </c>
    </row>
    <row r="301">
      <c r="A301" s="24" t="inlineStr">
        <is>
          <t>QL-049-6</t>
        </is>
      </c>
      <c r="B301" s="39" t="n">
        <v>45706</v>
      </c>
      <c r="C301" s="40" t="inlineStr">
        <is>
          <t>进港</t>
        </is>
      </c>
      <c r="D301" s="24" t="inlineStr">
        <is>
          <t>件杂货</t>
        </is>
      </c>
      <c r="E301" s="24" t="inlineStr">
        <is>
          <t>东亚</t>
        </is>
      </c>
      <c r="F301" s="24" t="inlineStr">
        <is>
          <t>06号泊位</t>
        </is>
      </c>
      <c r="G301" s="25" t="n">
        <v>5510</v>
      </c>
      <c r="H301" s="41" t="n">
        <v>10.66</v>
      </c>
      <c r="I301" s="41" t="n">
        <v>0.57</v>
      </c>
      <c r="J301" s="41" t="n">
        <v>9.029999999999999</v>
      </c>
      <c r="K301" s="25" t="n">
        <v>0</v>
      </c>
      <c r="L301" s="26">
        <f>IF(H301&lt;=J301,1,0)</f>
        <v>0</v>
      </c>
    </row>
    <row r="302">
      <c r="A302" s="19" t="inlineStr">
        <is>
          <t>QL-050-1</t>
        </is>
      </c>
      <c r="B302" s="36" t="n">
        <v>45707</v>
      </c>
      <c r="C302" s="37" t="inlineStr">
        <is>
          <t>出港</t>
        </is>
      </c>
      <c r="D302" s="19" t="inlineStr">
        <is>
          <t>集装箱货物</t>
        </is>
      </c>
      <c r="E302" s="19" t="inlineStr">
        <is>
          <t>东亚</t>
        </is>
      </c>
      <c r="F302" s="19" t="inlineStr">
        <is>
          <t>01号泊位</t>
        </is>
      </c>
      <c r="G302" s="20" t="n">
        <v>3333</v>
      </c>
      <c r="H302" s="38" t="n">
        <v>3.35</v>
      </c>
      <c r="I302" s="38" t="n">
        <v>1.66</v>
      </c>
      <c r="J302" s="38" t="n">
        <v>3.7</v>
      </c>
      <c r="K302" s="20" t="n">
        <v>222</v>
      </c>
      <c r="L302" s="26">
        <f>IF(H302&lt;=J302,1,0)</f>
        <v>1</v>
      </c>
    </row>
    <row r="303">
      <c r="A303" s="24" t="inlineStr">
        <is>
          <t>QL-050-2</t>
        </is>
      </c>
      <c r="B303" s="39" t="n">
        <v>45707</v>
      </c>
      <c r="C303" s="40" t="inlineStr">
        <is>
          <t>进港</t>
        </is>
      </c>
      <c r="D303" s="24" t="inlineStr">
        <is>
          <t>金属矿石</t>
        </is>
      </c>
      <c r="E303" s="24" t="inlineStr">
        <is>
          <t>国内沿海</t>
        </is>
      </c>
      <c r="F303" s="24" t="inlineStr">
        <is>
          <t>02号泊位</t>
        </is>
      </c>
      <c r="G303" s="25" t="n">
        <v>12566</v>
      </c>
      <c r="H303" s="41" t="n">
        <v>8.07</v>
      </c>
      <c r="I303" s="41" t="n">
        <v>2.46</v>
      </c>
      <c r="J303" s="41" t="n">
        <v>8.109999999999999</v>
      </c>
      <c r="K303" s="25" t="n">
        <v>0</v>
      </c>
      <c r="L303" s="26">
        <f>IF(H303&lt;=J303,1,0)</f>
        <v>1</v>
      </c>
    </row>
    <row r="304">
      <c r="A304" s="19" t="inlineStr">
        <is>
          <t>QL-050-3</t>
        </is>
      </c>
      <c r="B304" s="36" t="n">
        <v>45707</v>
      </c>
      <c r="C304" s="37" t="inlineStr">
        <is>
          <t>进港</t>
        </is>
      </c>
      <c r="D304" s="19" t="inlineStr">
        <is>
          <t>煤炭</t>
        </is>
      </c>
      <c r="E304" s="19" t="inlineStr">
        <is>
          <t>东南亚</t>
        </is>
      </c>
      <c r="F304" s="19" t="inlineStr">
        <is>
          <t>03号泊位</t>
        </is>
      </c>
      <c r="G304" s="20" t="n">
        <v>7409</v>
      </c>
      <c r="H304" s="38" t="n">
        <v>5.6</v>
      </c>
      <c r="I304" s="38" t="n">
        <v>1.73</v>
      </c>
      <c r="J304" s="38" t="n">
        <v>5.61</v>
      </c>
      <c r="K304" s="20" t="n">
        <v>0</v>
      </c>
      <c r="L304" s="26">
        <f>IF(H304&lt;=J304,1,0)</f>
        <v>1</v>
      </c>
    </row>
    <row r="305">
      <c r="A305" s="24" t="inlineStr">
        <is>
          <t>QL-050-4</t>
        </is>
      </c>
      <c r="B305" s="39" t="n">
        <v>45707</v>
      </c>
      <c r="C305" s="40" t="inlineStr">
        <is>
          <t>进港</t>
        </is>
      </c>
      <c r="D305" s="24" t="inlineStr">
        <is>
          <t>粮食</t>
        </is>
      </c>
      <c r="E305" s="24" t="inlineStr">
        <is>
          <t>欧洲</t>
        </is>
      </c>
      <c r="F305" s="24" t="inlineStr">
        <is>
          <t>04号泊位</t>
        </is>
      </c>
      <c r="G305" s="25" t="n">
        <v>6857</v>
      </c>
      <c r="H305" s="41" t="n">
        <v>7.3</v>
      </c>
      <c r="I305" s="41" t="n">
        <v>3.6</v>
      </c>
      <c r="J305" s="41" t="n">
        <v>6.72</v>
      </c>
      <c r="K305" s="25" t="n">
        <v>0</v>
      </c>
      <c r="L305" s="26">
        <f>IF(H305&lt;=J305,1,0)</f>
        <v>0</v>
      </c>
    </row>
    <row r="306">
      <c r="A306" s="19" t="inlineStr">
        <is>
          <t>QL-050-5</t>
        </is>
      </c>
      <c r="B306" s="36" t="n">
        <v>45707</v>
      </c>
      <c r="C306" s="37" t="inlineStr">
        <is>
          <t>进港</t>
        </is>
      </c>
      <c r="D306" s="19" t="inlineStr">
        <is>
          <t>液体散货</t>
        </is>
      </c>
      <c r="E306" s="19" t="inlineStr">
        <is>
          <t>东南亚</t>
        </is>
      </c>
      <c r="F306" s="19" t="inlineStr">
        <is>
          <t>05号泊位</t>
        </is>
      </c>
      <c r="G306" s="20" t="n">
        <v>13483</v>
      </c>
      <c r="H306" s="38" t="n">
        <v>10.03</v>
      </c>
      <c r="I306" s="38" t="n">
        <v>1.52</v>
      </c>
      <c r="J306" s="38" t="n">
        <v>9.359999999999999</v>
      </c>
      <c r="K306" s="20" t="n">
        <v>0</v>
      </c>
      <c r="L306" s="26">
        <f>IF(H306&lt;=J306,1,0)</f>
        <v>0</v>
      </c>
    </row>
    <row r="307">
      <c r="A307" s="24" t="inlineStr">
        <is>
          <t>QL-050-6</t>
        </is>
      </c>
      <c r="B307" s="39" t="n">
        <v>45707</v>
      </c>
      <c r="C307" s="40" t="inlineStr">
        <is>
          <t>出港</t>
        </is>
      </c>
      <c r="D307" s="24" t="inlineStr">
        <is>
          <t>件杂货</t>
        </is>
      </c>
      <c r="E307" s="24" t="inlineStr">
        <is>
          <t>欧洲</t>
        </is>
      </c>
      <c r="F307" s="24" t="inlineStr">
        <is>
          <t>06号泊位</t>
        </is>
      </c>
      <c r="G307" s="25" t="n">
        <v>3884</v>
      </c>
      <c r="H307" s="41" t="n">
        <v>6.42</v>
      </c>
      <c r="I307" s="41" t="n">
        <v>1.05</v>
      </c>
      <c r="J307" s="41" t="n">
        <v>6.37</v>
      </c>
      <c r="K307" s="25" t="n">
        <v>0</v>
      </c>
      <c r="L307" s="26">
        <f>IF(H307&lt;=J307,1,0)</f>
        <v>0</v>
      </c>
    </row>
    <row r="308">
      <c r="A308" s="19" t="inlineStr">
        <is>
          <t>QL-051-1</t>
        </is>
      </c>
      <c r="B308" s="36" t="n">
        <v>45708</v>
      </c>
      <c r="C308" s="37" t="inlineStr">
        <is>
          <t>进港</t>
        </is>
      </c>
      <c r="D308" s="19" t="inlineStr">
        <is>
          <t>集装箱货物</t>
        </is>
      </c>
      <c r="E308" s="19" t="inlineStr">
        <is>
          <t>东南亚</t>
        </is>
      </c>
      <c r="F308" s="19" t="inlineStr">
        <is>
          <t>01号泊位</t>
        </is>
      </c>
      <c r="G308" s="20" t="n">
        <v>7388</v>
      </c>
      <c r="H308" s="38" t="n">
        <v>7.37</v>
      </c>
      <c r="I308" s="38" t="n">
        <v>0.99</v>
      </c>
      <c r="J308" s="38" t="n">
        <v>8.210000000000001</v>
      </c>
      <c r="K308" s="20" t="n">
        <v>513</v>
      </c>
      <c r="L308" s="26">
        <f>IF(H308&lt;=J308,1,0)</f>
        <v>1</v>
      </c>
    </row>
    <row r="309">
      <c r="A309" s="24" t="inlineStr">
        <is>
          <t>QL-051-2</t>
        </is>
      </c>
      <c r="B309" s="39" t="n">
        <v>45708</v>
      </c>
      <c r="C309" s="40" t="inlineStr">
        <is>
          <t>进港</t>
        </is>
      </c>
      <c r="D309" s="24" t="inlineStr">
        <is>
          <t>金属矿石</t>
        </is>
      </c>
      <c r="E309" s="24" t="inlineStr">
        <is>
          <t>北美</t>
        </is>
      </c>
      <c r="F309" s="24" t="inlineStr">
        <is>
          <t>02号泊位</t>
        </is>
      </c>
      <c r="G309" s="25" t="n">
        <v>9792</v>
      </c>
      <c r="H309" s="41" t="n">
        <v>5.71</v>
      </c>
      <c r="I309" s="41" t="n">
        <v>4.25</v>
      </c>
      <c r="J309" s="41" t="n">
        <v>6.32</v>
      </c>
      <c r="K309" s="25" t="n">
        <v>0</v>
      </c>
      <c r="L309" s="26">
        <f>IF(H309&lt;=J309,1,0)</f>
        <v>1</v>
      </c>
    </row>
    <row r="310">
      <c r="A310" s="19" t="inlineStr">
        <is>
          <t>QL-051-3</t>
        </is>
      </c>
      <c r="B310" s="36" t="n">
        <v>45708</v>
      </c>
      <c r="C310" s="37" t="inlineStr">
        <is>
          <t>出港</t>
        </is>
      </c>
      <c r="D310" s="19" t="inlineStr">
        <is>
          <t>煤炭</t>
        </is>
      </c>
      <c r="E310" s="19" t="inlineStr">
        <is>
          <t>北美</t>
        </is>
      </c>
      <c r="F310" s="19" t="inlineStr">
        <is>
          <t>03号泊位</t>
        </is>
      </c>
      <c r="G310" s="20" t="n">
        <v>9886</v>
      </c>
      <c r="H310" s="38" t="n">
        <v>6.97</v>
      </c>
      <c r="I310" s="38" t="n">
        <v>0.6</v>
      </c>
      <c r="J310" s="38" t="n">
        <v>7.49</v>
      </c>
      <c r="K310" s="20" t="n">
        <v>0</v>
      </c>
      <c r="L310" s="26">
        <f>IF(H310&lt;=J310,1,0)</f>
        <v>1</v>
      </c>
    </row>
    <row r="311">
      <c r="A311" s="24" t="inlineStr">
        <is>
          <t>QL-051-4</t>
        </is>
      </c>
      <c r="B311" s="39" t="n">
        <v>45708</v>
      </c>
      <c r="C311" s="40" t="inlineStr">
        <is>
          <t>出港</t>
        </is>
      </c>
      <c r="D311" s="24" t="inlineStr">
        <is>
          <t>粮食</t>
        </is>
      </c>
      <c r="E311" s="24" t="inlineStr">
        <is>
          <t>东亚</t>
        </is>
      </c>
      <c r="F311" s="24" t="inlineStr">
        <is>
          <t>04号泊位</t>
        </is>
      </c>
      <c r="G311" s="25" t="n">
        <v>8796</v>
      </c>
      <c r="H311" s="41" t="n">
        <v>9.59</v>
      </c>
      <c r="I311" s="41" t="n">
        <v>2.42</v>
      </c>
      <c r="J311" s="41" t="n">
        <v>8.619999999999999</v>
      </c>
      <c r="K311" s="25" t="n">
        <v>0</v>
      </c>
      <c r="L311" s="26">
        <f>IF(H311&lt;=J311,1,0)</f>
        <v>0</v>
      </c>
    </row>
    <row r="312">
      <c r="A312" s="19" t="inlineStr">
        <is>
          <t>QL-051-5</t>
        </is>
      </c>
      <c r="B312" s="36" t="n">
        <v>45708</v>
      </c>
      <c r="C312" s="37" t="inlineStr">
        <is>
          <t>出港</t>
        </is>
      </c>
      <c r="D312" s="19" t="inlineStr">
        <is>
          <t>液体散货</t>
        </is>
      </c>
      <c r="E312" s="19" t="inlineStr">
        <is>
          <t>国内沿海</t>
        </is>
      </c>
      <c r="F312" s="19" t="inlineStr">
        <is>
          <t>05号泊位</t>
        </is>
      </c>
      <c r="G312" s="20" t="n">
        <v>7484</v>
      </c>
      <c r="H312" s="38" t="n">
        <v>5.93</v>
      </c>
      <c r="I312" s="38" t="n">
        <v>1.39</v>
      </c>
      <c r="J312" s="38" t="n">
        <v>5.2</v>
      </c>
      <c r="K312" s="20" t="n">
        <v>0</v>
      </c>
      <c r="L312" s="26">
        <f>IF(H312&lt;=J312,1,0)</f>
        <v>0</v>
      </c>
    </row>
    <row r="313">
      <c r="A313" s="24" t="inlineStr">
        <is>
          <t>QL-051-6</t>
        </is>
      </c>
      <c r="B313" s="39" t="n">
        <v>45708</v>
      </c>
      <c r="C313" s="40" t="inlineStr">
        <is>
          <t>进港</t>
        </is>
      </c>
      <c r="D313" s="24" t="inlineStr">
        <is>
          <t>件杂货</t>
        </is>
      </c>
      <c r="E313" s="24" t="inlineStr">
        <is>
          <t>东亚</t>
        </is>
      </c>
      <c r="F313" s="24" t="inlineStr">
        <is>
          <t>06号泊位</t>
        </is>
      </c>
      <c r="G313" s="25" t="n">
        <v>4310</v>
      </c>
      <c r="H313" s="41" t="n">
        <v>7.79</v>
      </c>
      <c r="I313" s="41" t="n">
        <v>1.64</v>
      </c>
      <c r="J313" s="41" t="n">
        <v>7.07</v>
      </c>
      <c r="K313" s="25" t="n">
        <v>0</v>
      </c>
      <c r="L313" s="26">
        <f>IF(H313&lt;=J313,1,0)</f>
        <v>0</v>
      </c>
    </row>
    <row r="314">
      <c r="A314" s="19" t="inlineStr">
        <is>
          <t>QL-052-1</t>
        </is>
      </c>
      <c r="B314" s="36" t="n">
        <v>45709</v>
      </c>
      <c r="C314" s="37" t="inlineStr">
        <is>
          <t>出港</t>
        </is>
      </c>
      <c r="D314" s="19" t="inlineStr">
        <is>
          <t>集装箱货物</t>
        </is>
      </c>
      <c r="E314" s="19" t="inlineStr">
        <is>
          <t>东亚</t>
        </is>
      </c>
      <c r="F314" s="19" t="inlineStr">
        <is>
          <t>01号泊位</t>
        </is>
      </c>
      <c r="G314" s="20" t="n">
        <v>8177</v>
      </c>
      <c r="H314" s="38" t="n">
        <v>7.93</v>
      </c>
      <c r="I314" s="38" t="n">
        <v>1.21</v>
      </c>
      <c r="J314" s="38" t="n">
        <v>9.09</v>
      </c>
      <c r="K314" s="20" t="n">
        <v>551</v>
      </c>
      <c r="L314" s="26">
        <f>IF(H314&lt;=J314,1,0)</f>
        <v>1</v>
      </c>
    </row>
    <row r="315">
      <c r="A315" s="24" t="inlineStr">
        <is>
          <t>QL-052-2</t>
        </is>
      </c>
      <c r="B315" s="39" t="n">
        <v>45709</v>
      </c>
      <c r="C315" s="40" t="inlineStr">
        <is>
          <t>进港</t>
        </is>
      </c>
      <c r="D315" s="24" t="inlineStr">
        <is>
          <t>金属矿石</t>
        </is>
      </c>
      <c r="E315" s="24" t="inlineStr">
        <is>
          <t>东南亚</t>
        </is>
      </c>
      <c r="F315" s="24" t="inlineStr">
        <is>
          <t>02号泊位</t>
        </is>
      </c>
      <c r="G315" s="25" t="n">
        <v>11682</v>
      </c>
      <c r="H315" s="41" t="n">
        <v>8.01</v>
      </c>
      <c r="I315" s="41" t="n">
        <v>1.05</v>
      </c>
      <c r="J315" s="41" t="n">
        <v>7.54</v>
      </c>
      <c r="K315" s="25" t="n">
        <v>0</v>
      </c>
      <c r="L315" s="26">
        <f>IF(H315&lt;=J315,1,0)</f>
        <v>0</v>
      </c>
    </row>
    <row r="316">
      <c r="A316" s="19" t="inlineStr">
        <is>
          <t>QL-052-3</t>
        </is>
      </c>
      <c r="B316" s="36" t="n">
        <v>45709</v>
      </c>
      <c r="C316" s="37" t="inlineStr">
        <is>
          <t>进港</t>
        </is>
      </c>
      <c r="D316" s="19" t="inlineStr">
        <is>
          <t>煤炭</t>
        </is>
      </c>
      <c r="E316" s="19" t="inlineStr">
        <is>
          <t>北美</t>
        </is>
      </c>
      <c r="F316" s="19" t="inlineStr">
        <is>
          <t>03号泊位</t>
        </is>
      </c>
      <c r="G316" s="20" t="n">
        <v>12818</v>
      </c>
      <c r="H316" s="38" t="n">
        <v>8.49</v>
      </c>
      <c r="I316" s="38" t="n">
        <v>3.68</v>
      </c>
      <c r="J316" s="38" t="n">
        <v>9.710000000000001</v>
      </c>
      <c r="K316" s="20" t="n">
        <v>0</v>
      </c>
      <c r="L316" s="26">
        <f>IF(H316&lt;=J316,1,0)</f>
        <v>1</v>
      </c>
    </row>
    <row r="317">
      <c r="A317" s="24" t="inlineStr">
        <is>
          <t>QL-052-4</t>
        </is>
      </c>
      <c r="B317" s="39" t="n">
        <v>45709</v>
      </c>
      <c r="C317" s="40" t="inlineStr">
        <is>
          <t>进港</t>
        </is>
      </c>
      <c r="D317" s="24" t="inlineStr">
        <is>
          <t>粮食</t>
        </is>
      </c>
      <c r="E317" s="24" t="inlineStr">
        <is>
          <t>欧洲</t>
        </is>
      </c>
      <c r="F317" s="24" t="inlineStr">
        <is>
          <t>04号泊位</t>
        </is>
      </c>
      <c r="G317" s="25" t="n">
        <v>4818</v>
      </c>
      <c r="H317" s="41" t="n">
        <v>4.63</v>
      </c>
      <c r="I317" s="41" t="n">
        <v>3.36</v>
      </c>
      <c r="J317" s="41" t="n">
        <v>4.72</v>
      </c>
      <c r="K317" s="25" t="n">
        <v>0</v>
      </c>
      <c r="L317" s="26">
        <f>IF(H317&lt;=J317,1,0)</f>
        <v>1</v>
      </c>
    </row>
    <row r="318">
      <c r="A318" s="19" t="inlineStr">
        <is>
          <t>QL-052-5</t>
        </is>
      </c>
      <c r="B318" s="36" t="n">
        <v>45709</v>
      </c>
      <c r="C318" s="37" t="inlineStr">
        <is>
          <t>出港</t>
        </is>
      </c>
      <c r="D318" s="19" t="inlineStr">
        <is>
          <t>液体散货</t>
        </is>
      </c>
      <c r="E318" s="19" t="inlineStr">
        <is>
          <t>欧洲</t>
        </is>
      </c>
      <c r="F318" s="19" t="inlineStr">
        <is>
          <t>05号泊位</t>
        </is>
      </c>
      <c r="G318" s="20" t="n">
        <v>8588</v>
      </c>
      <c r="H318" s="38" t="n">
        <v>6.45</v>
      </c>
      <c r="I318" s="38" t="n">
        <v>3.44</v>
      </c>
      <c r="J318" s="38" t="n">
        <v>5.96</v>
      </c>
      <c r="K318" s="20" t="n">
        <v>0</v>
      </c>
      <c r="L318" s="26">
        <f>IF(H318&lt;=J318,1,0)</f>
        <v>0</v>
      </c>
    </row>
    <row r="319">
      <c r="A319" s="24" t="inlineStr">
        <is>
          <t>QL-052-6</t>
        </is>
      </c>
      <c r="B319" s="39" t="n">
        <v>45709</v>
      </c>
      <c r="C319" s="40" t="inlineStr">
        <is>
          <t>进港</t>
        </is>
      </c>
      <c r="D319" s="24" t="inlineStr">
        <is>
          <t>件杂货</t>
        </is>
      </c>
      <c r="E319" s="24" t="inlineStr">
        <is>
          <t>国内沿海</t>
        </is>
      </c>
      <c r="F319" s="24" t="inlineStr">
        <is>
          <t>06号泊位</t>
        </is>
      </c>
      <c r="G319" s="25" t="n">
        <v>3054</v>
      </c>
      <c r="H319" s="41" t="n">
        <v>4.82</v>
      </c>
      <c r="I319" s="41" t="n">
        <v>3.53</v>
      </c>
      <c r="J319" s="41" t="n">
        <v>5.01</v>
      </c>
      <c r="K319" s="25" t="n">
        <v>0</v>
      </c>
      <c r="L319" s="26">
        <f>IF(H319&lt;=J319,1,0)</f>
        <v>1</v>
      </c>
    </row>
    <row r="320">
      <c r="A320" s="19" t="inlineStr">
        <is>
          <t>QL-053-1</t>
        </is>
      </c>
      <c r="B320" s="36" t="n">
        <v>45710</v>
      </c>
      <c r="C320" s="37" t="inlineStr">
        <is>
          <t>进港</t>
        </is>
      </c>
      <c r="D320" s="19" t="inlineStr">
        <is>
          <t>集装箱货物</t>
        </is>
      </c>
      <c r="E320" s="19" t="inlineStr">
        <is>
          <t>东亚</t>
        </is>
      </c>
      <c r="F320" s="19" t="inlineStr">
        <is>
          <t>01号泊位</t>
        </is>
      </c>
      <c r="G320" s="20" t="n">
        <v>7964</v>
      </c>
      <c r="H320" s="38" t="n">
        <v>9.84</v>
      </c>
      <c r="I320" s="38" t="n">
        <v>1.84</v>
      </c>
      <c r="J320" s="38" t="n">
        <v>8.85</v>
      </c>
      <c r="K320" s="20" t="n">
        <v>641</v>
      </c>
      <c r="L320" s="26">
        <f>IF(H320&lt;=J320,1,0)</f>
        <v>0</v>
      </c>
    </row>
    <row r="321">
      <c r="A321" s="24" t="inlineStr">
        <is>
          <t>QL-053-2</t>
        </is>
      </c>
      <c r="B321" s="39" t="n">
        <v>45710</v>
      </c>
      <c r="C321" s="40" t="inlineStr">
        <is>
          <t>进港</t>
        </is>
      </c>
      <c r="D321" s="24" t="inlineStr">
        <is>
          <t>金属矿石</t>
        </is>
      </c>
      <c r="E321" s="24" t="inlineStr">
        <is>
          <t>国内沿海</t>
        </is>
      </c>
      <c r="F321" s="24" t="inlineStr">
        <is>
          <t>02号泊位</t>
        </is>
      </c>
      <c r="G321" s="25" t="n">
        <v>14952</v>
      </c>
      <c r="H321" s="41" t="n">
        <v>10.57</v>
      </c>
      <c r="I321" s="41" t="n">
        <v>3.39</v>
      </c>
      <c r="J321" s="41" t="n">
        <v>9.65</v>
      </c>
      <c r="K321" s="25" t="n">
        <v>0</v>
      </c>
      <c r="L321" s="26">
        <f>IF(H321&lt;=J321,1,0)</f>
        <v>0</v>
      </c>
    </row>
    <row r="322">
      <c r="A322" s="19" t="inlineStr">
        <is>
          <t>QL-053-3</t>
        </is>
      </c>
      <c r="B322" s="36" t="n">
        <v>45710</v>
      </c>
      <c r="C322" s="37" t="inlineStr">
        <is>
          <t>进港</t>
        </is>
      </c>
      <c r="D322" s="19" t="inlineStr">
        <is>
          <t>煤炭</t>
        </is>
      </c>
      <c r="E322" s="19" t="inlineStr">
        <is>
          <t>东南亚</t>
        </is>
      </c>
      <c r="F322" s="19" t="inlineStr">
        <is>
          <t>03号泊位</t>
        </is>
      </c>
      <c r="G322" s="20" t="n">
        <v>8656</v>
      </c>
      <c r="H322" s="38" t="n">
        <v>5.36</v>
      </c>
      <c r="I322" s="38" t="n">
        <v>3.58</v>
      </c>
      <c r="J322" s="38" t="n">
        <v>6.56</v>
      </c>
      <c r="K322" s="20" t="n">
        <v>0</v>
      </c>
      <c r="L322" s="26">
        <f>IF(H322&lt;=J322,1,0)</f>
        <v>1</v>
      </c>
    </row>
    <row r="323">
      <c r="A323" s="24" t="inlineStr">
        <is>
          <t>QL-053-4</t>
        </is>
      </c>
      <c r="B323" s="39" t="n">
        <v>45710</v>
      </c>
      <c r="C323" s="40" t="inlineStr">
        <is>
          <t>进港</t>
        </is>
      </c>
      <c r="D323" s="24" t="inlineStr">
        <is>
          <t>粮食</t>
        </is>
      </c>
      <c r="E323" s="24" t="inlineStr">
        <is>
          <t>欧洲</t>
        </is>
      </c>
      <c r="F323" s="24" t="inlineStr">
        <is>
          <t>04号泊位</t>
        </is>
      </c>
      <c r="G323" s="25" t="n">
        <v>5077</v>
      </c>
      <c r="H323" s="41" t="n">
        <v>4.88</v>
      </c>
      <c r="I323" s="41" t="n">
        <v>0.48</v>
      </c>
      <c r="J323" s="41" t="n">
        <v>4.98</v>
      </c>
      <c r="K323" s="25" t="n">
        <v>0</v>
      </c>
      <c r="L323" s="26">
        <f>IF(H323&lt;=J323,1,0)</f>
        <v>1</v>
      </c>
    </row>
    <row r="324">
      <c r="A324" s="19" t="inlineStr">
        <is>
          <t>QL-053-5</t>
        </is>
      </c>
      <c r="B324" s="36" t="n">
        <v>45710</v>
      </c>
      <c r="C324" s="37" t="inlineStr">
        <is>
          <t>出港</t>
        </is>
      </c>
      <c r="D324" s="19" t="inlineStr">
        <is>
          <t>液体散货</t>
        </is>
      </c>
      <c r="E324" s="19" t="inlineStr">
        <is>
          <t>东亚</t>
        </is>
      </c>
      <c r="F324" s="19" t="inlineStr">
        <is>
          <t>05号泊位</t>
        </is>
      </c>
      <c r="G324" s="20" t="n">
        <v>9268</v>
      </c>
      <c r="H324" s="38" t="n">
        <v>6.68</v>
      </c>
      <c r="I324" s="38" t="n">
        <v>1.91</v>
      </c>
      <c r="J324" s="38" t="n">
        <v>6.44</v>
      </c>
      <c r="K324" s="20" t="n">
        <v>0</v>
      </c>
      <c r="L324" s="26">
        <f>IF(H324&lt;=J324,1,0)</f>
        <v>0</v>
      </c>
    </row>
    <row r="325">
      <c r="A325" s="24" t="inlineStr">
        <is>
          <t>QL-053-6</t>
        </is>
      </c>
      <c r="B325" s="39" t="n">
        <v>45710</v>
      </c>
      <c r="C325" s="40" t="inlineStr">
        <is>
          <t>出港</t>
        </is>
      </c>
      <c r="D325" s="24" t="inlineStr">
        <is>
          <t>件杂货</t>
        </is>
      </c>
      <c r="E325" s="24" t="inlineStr">
        <is>
          <t>国内沿海</t>
        </is>
      </c>
      <c r="F325" s="24" t="inlineStr">
        <is>
          <t>06号泊位</t>
        </is>
      </c>
      <c r="G325" s="25" t="n">
        <v>5008</v>
      </c>
      <c r="H325" s="41" t="n">
        <v>7.48</v>
      </c>
      <c r="I325" s="41" t="n">
        <v>1.65</v>
      </c>
      <c r="J325" s="41" t="n">
        <v>8.210000000000001</v>
      </c>
      <c r="K325" s="25" t="n">
        <v>0</v>
      </c>
      <c r="L325" s="26">
        <f>IF(H325&lt;=J325,1,0)</f>
        <v>1</v>
      </c>
    </row>
    <row r="326">
      <c r="A326" s="19" t="inlineStr">
        <is>
          <t>QL-054-1</t>
        </is>
      </c>
      <c r="B326" s="36" t="n">
        <v>45711</v>
      </c>
      <c r="C326" s="37" t="inlineStr">
        <is>
          <t>出港</t>
        </is>
      </c>
      <c r="D326" s="19" t="inlineStr">
        <is>
          <t>集装箱货物</t>
        </is>
      </c>
      <c r="E326" s="19" t="inlineStr">
        <is>
          <t>北美</t>
        </is>
      </c>
      <c r="F326" s="19" t="inlineStr">
        <is>
          <t>01号泊位</t>
        </is>
      </c>
      <c r="G326" s="20" t="n">
        <v>8766</v>
      </c>
      <c r="H326" s="38" t="n">
        <v>11.2</v>
      </c>
      <c r="I326" s="38" t="n">
        <v>0.35</v>
      </c>
      <c r="J326" s="38" t="n">
        <v>9.74</v>
      </c>
      <c r="K326" s="20" t="n">
        <v>585</v>
      </c>
      <c r="L326" s="26">
        <f>IF(H326&lt;=J326,1,0)</f>
        <v>0</v>
      </c>
    </row>
    <row r="327">
      <c r="A327" s="24" t="inlineStr">
        <is>
          <t>QL-054-2</t>
        </is>
      </c>
      <c r="B327" s="39" t="n">
        <v>45711</v>
      </c>
      <c r="C327" s="40" t="inlineStr">
        <is>
          <t>进港</t>
        </is>
      </c>
      <c r="D327" s="24" t="inlineStr">
        <is>
          <t>金属矿石</t>
        </is>
      </c>
      <c r="E327" s="24" t="inlineStr">
        <is>
          <t>东南亚</t>
        </is>
      </c>
      <c r="F327" s="24" t="inlineStr">
        <is>
          <t>02号泊位</t>
        </is>
      </c>
      <c r="G327" s="25" t="n">
        <v>19382</v>
      </c>
      <c r="H327" s="41" t="n">
        <v>11.88</v>
      </c>
      <c r="I327" s="41" t="n">
        <v>0.97</v>
      </c>
      <c r="J327" s="41" t="n">
        <v>12.5</v>
      </c>
      <c r="K327" s="25" t="n">
        <v>0</v>
      </c>
      <c r="L327" s="26">
        <f>IF(H327&lt;=J327,1,0)</f>
        <v>1</v>
      </c>
    </row>
    <row r="328">
      <c r="A328" s="19" t="inlineStr">
        <is>
          <t>QL-054-3</t>
        </is>
      </c>
      <c r="B328" s="36" t="n">
        <v>45711</v>
      </c>
      <c r="C328" s="37" t="inlineStr">
        <is>
          <t>进港</t>
        </is>
      </c>
      <c r="D328" s="19" t="inlineStr">
        <is>
          <t>煤炭</t>
        </is>
      </c>
      <c r="E328" s="19" t="inlineStr">
        <is>
          <t>国内沿海</t>
        </is>
      </c>
      <c r="F328" s="19" t="inlineStr">
        <is>
          <t>03号泊位</t>
        </is>
      </c>
      <c r="G328" s="20" t="n">
        <v>15663</v>
      </c>
      <c r="H328" s="38" t="n">
        <v>12.35</v>
      </c>
      <c r="I328" s="38" t="n">
        <v>0.49</v>
      </c>
      <c r="J328" s="38" t="n">
        <v>11.87</v>
      </c>
      <c r="K328" s="20" t="n">
        <v>0</v>
      </c>
      <c r="L328" s="26">
        <f>IF(H328&lt;=J328,1,0)</f>
        <v>0</v>
      </c>
    </row>
    <row r="329">
      <c r="A329" s="24" t="inlineStr">
        <is>
          <t>QL-054-4</t>
        </is>
      </c>
      <c r="B329" s="39" t="n">
        <v>45711</v>
      </c>
      <c r="C329" s="40" t="inlineStr">
        <is>
          <t>出港</t>
        </is>
      </c>
      <c r="D329" s="24" t="inlineStr">
        <is>
          <t>粮食</t>
        </is>
      </c>
      <c r="E329" s="24" t="inlineStr">
        <is>
          <t>欧洲</t>
        </is>
      </c>
      <c r="F329" s="24" t="inlineStr">
        <is>
          <t>04号泊位</t>
        </is>
      </c>
      <c r="G329" s="25" t="n">
        <v>13025</v>
      </c>
      <c r="H329" s="41" t="n">
        <v>14.02</v>
      </c>
      <c r="I329" s="41" t="n">
        <v>2.54</v>
      </c>
      <c r="J329" s="41" t="n">
        <v>12.77</v>
      </c>
      <c r="K329" s="25" t="n">
        <v>0</v>
      </c>
      <c r="L329" s="26">
        <f>IF(H329&lt;=J329,1,0)</f>
        <v>0</v>
      </c>
    </row>
    <row r="330">
      <c r="A330" s="19" t="inlineStr">
        <is>
          <t>QL-054-5</t>
        </is>
      </c>
      <c r="B330" s="36" t="n">
        <v>45711</v>
      </c>
      <c r="C330" s="37" t="inlineStr">
        <is>
          <t>出港</t>
        </is>
      </c>
      <c r="D330" s="19" t="inlineStr">
        <is>
          <t>液体散货</t>
        </is>
      </c>
      <c r="E330" s="19" t="inlineStr">
        <is>
          <t>东亚</t>
        </is>
      </c>
      <c r="F330" s="19" t="inlineStr">
        <is>
          <t>05号泊位</t>
        </is>
      </c>
      <c r="G330" s="20" t="n">
        <v>9056</v>
      </c>
      <c r="H330" s="38" t="n">
        <v>6</v>
      </c>
      <c r="I330" s="38" t="n">
        <v>6.12</v>
      </c>
      <c r="J330" s="38" t="n">
        <v>6.29</v>
      </c>
      <c r="K330" s="20" t="n">
        <v>0</v>
      </c>
      <c r="L330" s="26">
        <f>IF(H330&lt;=J330,1,0)</f>
        <v>1</v>
      </c>
    </row>
    <row r="331">
      <c r="A331" s="24" t="inlineStr">
        <is>
          <t>QL-054-6</t>
        </is>
      </c>
      <c r="B331" s="39" t="n">
        <v>45711</v>
      </c>
      <c r="C331" s="40" t="inlineStr">
        <is>
          <t>进港</t>
        </is>
      </c>
      <c r="D331" s="24" t="inlineStr">
        <is>
          <t>件杂货</t>
        </is>
      </c>
      <c r="E331" s="24" t="inlineStr">
        <is>
          <t>北美</t>
        </is>
      </c>
      <c r="F331" s="24" t="inlineStr">
        <is>
          <t>06号泊位</t>
        </is>
      </c>
      <c r="G331" s="25" t="n">
        <v>5567</v>
      </c>
      <c r="H331" s="41" t="n">
        <v>9.390000000000001</v>
      </c>
      <c r="I331" s="41" t="n">
        <v>1.35</v>
      </c>
      <c r="J331" s="41" t="n">
        <v>9.130000000000001</v>
      </c>
      <c r="K331" s="25" t="n">
        <v>0</v>
      </c>
      <c r="L331" s="26">
        <f>IF(H331&lt;=J331,1,0)</f>
        <v>0</v>
      </c>
    </row>
    <row r="332">
      <c r="A332" s="19" t="inlineStr">
        <is>
          <t>QL-055-1</t>
        </is>
      </c>
      <c r="B332" s="36" t="n">
        <v>45712</v>
      </c>
      <c r="C332" s="37" t="inlineStr">
        <is>
          <t>出港</t>
        </is>
      </c>
      <c r="D332" s="19" t="inlineStr">
        <is>
          <t>集装箱货物</t>
        </is>
      </c>
      <c r="E332" s="19" t="inlineStr">
        <is>
          <t>东南亚</t>
        </is>
      </c>
      <c r="F332" s="19" t="inlineStr">
        <is>
          <t>01号泊位</t>
        </is>
      </c>
      <c r="G332" s="20" t="n">
        <v>8067</v>
      </c>
      <c r="H332" s="38" t="n">
        <v>10.83</v>
      </c>
      <c r="I332" s="38" t="n">
        <v>5.26</v>
      </c>
      <c r="J332" s="38" t="n">
        <v>8.960000000000001</v>
      </c>
      <c r="K332" s="20" t="n">
        <v>671</v>
      </c>
      <c r="L332" s="26">
        <f>IF(H332&lt;=J332,1,0)</f>
        <v>0</v>
      </c>
    </row>
    <row r="333">
      <c r="A333" s="24" t="inlineStr">
        <is>
          <t>QL-055-2</t>
        </is>
      </c>
      <c r="B333" s="39" t="n">
        <v>45712</v>
      </c>
      <c r="C333" s="40" t="inlineStr">
        <is>
          <t>进港</t>
        </is>
      </c>
      <c r="D333" s="24" t="inlineStr">
        <is>
          <t>金属矿石</t>
        </is>
      </c>
      <c r="E333" s="24" t="inlineStr">
        <is>
          <t>欧洲</t>
        </is>
      </c>
      <c r="F333" s="24" t="inlineStr">
        <is>
          <t>02号泊位</t>
        </is>
      </c>
      <c r="G333" s="25" t="n">
        <v>15632</v>
      </c>
      <c r="H333" s="41" t="n">
        <v>11.31</v>
      </c>
      <c r="I333" s="41" t="n">
        <v>2.86</v>
      </c>
      <c r="J333" s="41" t="n">
        <v>10.09</v>
      </c>
      <c r="K333" s="25" t="n">
        <v>0</v>
      </c>
      <c r="L333" s="26">
        <f>IF(H333&lt;=J333,1,0)</f>
        <v>0</v>
      </c>
    </row>
    <row r="334">
      <c r="A334" s="19" t="inlineStr">
        <is>
          <t>QL-055-3</t>
        </is>
      </c>
      <c r="B334" s="36" t="n">
        <v>45712</v>
      </c>
      <c r="C334" s="37" t="inlineStr">
        <is>
          <t>进港</t>
        </is>
      </c>
      <c r="D334" s="19" t="inlineStr">
        <is>
          <t>煤炭</t>
        </is>
      </c>
      <c r="E334" s="19" t="inlineStr">
        <is>
          <t>欧洲</t>
        </is>
      </c>
      <c r="F334" s="19" t="inlineStr">
        <is>
          <t>03号泊位</t>
        </is>
      </c>
      <c r="G334" s="20" t="n">
        <v>12645</v>
      </c>
      <c r="H334" s="38" t="n">
        <v>10.58</v>
      </c>
      <c r="I334" s="38" t="n">
        <v>1.27</v>
      </c>
      <c r="J334" s="38" t="n">
        <v>9.58</v>
      </c>
      <c r="K334" s="20" t="n">
        <v>0</v>
      </c>
      <c r="L334" s="26">
        <f>IF(H334&lt;=J334,1,0)</f>
        <v>0</v>
      </c>
    </row>
    <row r="335">
      <c r="A335" s="24" t="inlineStr">
        <is>
          <t>QL-055-4</t>
        </is>
      </c>
      <c r="B335" s="39" t="n">
        <v>45712</v>
      </c>
      <c r="C335" s="40" t="inlineStr">
        <is>
          <t>进港</t>
        </is>
      </c>
      <c r="D335" s="24" t="inlineStr">
        <is>
          <t>粮食</t>
        </is>
      </c>
      <c r="E335" s="24" t="inlineStr">
        <is>
          <t>东南亚</t>
        </is>
      </c>
      <c r="F335" s="24" t="inlineStr">
        <is>
          <t>04号泊位</t>
        </is>
      </c>
      <c r="G335" s="25" t="n">
        <v>5083</v>
      </c>
      <c r="H335" s="41" t="n">
        <v>5.23</v>
      </c>
      <c r="I335" s="41" t="n">
        <v>3.83</v>
      </c>
      <c r="J335" s="41" t="n">
        <v>4.98</v>
      </c>
      <c r="K335" s="25" t="n">
        <v>0</v>
      </c>
      <c r="L335" s="26">
        <f>IF(H335&lt;=J335,1,0)</f>
        <v>0</v>
      </c>
    </row>
    <row r="336">
      <c r="A336" s="19" t="inlineStr">
        <is>
          <t>QL-055-5</t>
        </is>
      </c>
      <c r="B336" s="36" t="n">
        <v>45712</v>
      </c>
      <c r="C336" s="37" t="inlineStr">
        <is>
          <t>出港</t>
        </is>
      </c>
      <c r="D336" s="19" t="inlineStr">
        <is>
          <t>液体散货</t>
        </is>
      </c>
      <c r="E336" s="19" t="inlineStr">
        <is>
          <t>东亚</t>
        </is>
      </c>
      <c r="F336" s="19" t="inlineStr">
        <is>
          <t>05号泊位</t>
        </is>
      </c>
      <c r="G336" s="20" t="n">
        <v>10827</v>
      </c>
      <c r="H336" s="38" t="n">
        <v>8.67</v>
      </c>
      <c r="I336" s="38" t="n">
        <v>0.97</v>
      </c>
      <c r="J336" s="38" t="n">
        <v>7.52</v>
      </c>
      <c r="K336" s="20" t="n">
        <v>0</v>
      </c>
      <c r="L336" s="26">
        <f>IF(H336&lt;=J336,1,0)</f>
        <v>0</v>
      </c>
    </row>
    <row r="337">
      <c r="A337" s="24" t="inlineStr">
        <is>
          <t>QL-055-6</t>
        </is>
      </c>
      <c r="B337" s="39" t="n">
        <v>45712</v>
      </c>
      <c r="C337" s="40" t="inlineStr">
        <is>
          <t>出港</t>
        </is>
      </c>
      <c r="D337" s="24" t="inlineStr">
        <is>
          <t>件杂货</t>
        </is>
      </c>
      <c r="E337" s="24" t="inlineStr">
        <is>
          <t>北美</t>
        </is>
      </c>
      <c r="F337" s="24" t="inlineStr">
        <is>
          <t>06号泊位</t>
        </is>
      </c>
      <c r="G337" s="25" t="n">
        <v>4891</v>
      </c>
      <c r="H337" s="41" t="n">
        <v>7.65</v>
      </c>
      <c r="I337" s="41" t="n">
        <v>1.63</v>
      </c>
      <c r="J337" s="41" t="n">
        <v>8.02</v>
      </c>
      <c r="K337" s="25" t="n">
        <v>0</v>
      </c>
      <c r="L337" s="26">
        <f>IF(H337&lt;=J337,1,0)</f>
        <v>1</v>
      </c>
    </row>
    <row r="338">
      <c r="A338" s="19" t="inlineStr">
        <is>
          <t>QL-056-1</t>
        </is>
      </c>
      <c r="B338" s="36" t="n">
        <v>45713</v>
      </c>
      <c r="C338" s="37" t="inlineStr">
        <is>
          <t>出港</t>
        </is>
      </c>
      <c r="D338" s="19" t="inlineStr">
        <is>
          <t>集装箱货物</t>
        </is>
      </c>
      <c r="E338" s="19" t="inlineStr">
        <is>
          <t>北美</t>
        </is>
      </c>
      <c r="F338" s="19" t="inlineStr">
        <is>
          <t>01号泊位</t>
        </is>
      </c>
      <c r="G338" s="20" t="n">
        <v>11268</v>
      </c>
      <c r="H338" s="38" t="n">
        <v>11.77</v>
      </c>
      <c r="I338" s="38" t="n">
        <v>3.12</v>
      </c>
      <c r="J338" s="38" t="n">
        <v>12.52</v>
      </c>
      <c r="K338" s="20" t="n">
        <v>777</v>
      </c>
      <c r="L338" s="26">
        <f>IF(H338&lt;=J338,1,0)</f>
        <v>1</v>
      </c>
    </row>
    <row r="339">
      <c r="A339" s="24" t="inlineStr">
        <is>
          <t>QL-056-2</t>
        </is>
      </c>
      <c r="B339" s="39" t="n">
        <v>45713</v>
      </c>
      <c r="C339" s="40" t="inlineStr">
        <is>
          <t>进港</t>
        </is>
      </c>
      <c r="D339" s="24" t="inlineStr">
        <is>
          <t>金属矿石</t>
        </is>
      </c>
      <c r="E339" s="24" t="inlineStr">
        <is>
          <t>东亚</t>
        </is>
      </c>
      <c r="F339" s="24" t="inlineStr">
        <is>
          <t>02号泊位</t>
        </is>
      </c>
      <c r="G339" s="25" t="n">
        <v>15496</v>
      </c>
      <c r="H339" s="41" t="n">
        <v>9.970000000000001</v>
      </c>
      <c r="I339" s="41" t="n">
        <v>2.25</v>
      </c>
      <c r="J339" s="41" t="n">
        <v>10</v>
      </c>
      <c r="K339" s="25" t="n">
        <v>0</v>
      </c>
      <c r="L339" s="26">
        <f>IF(H339&lt;=J339,1,0)</f>
        <v>1</v>
      </c>
    </row>
    <row r="340">
      <c r="A340" s="19" t="inlineStr">
        <is>
          <t>QL-056-3</t>
        </is>
      </c>
      <c r="B340" s="36" t="n">
        <v>45713</v>
      </c>
      <c r="C340" s="37" t="inlineStr">
        <is>
          <t>进港</t>
        </is>
      </c>
      <c r="D340" s="19" t="inlineStr">
        <is>
          <t>煤炭</t>
        </is>
      </c>
      <c r="E340" s="19" t="inlineStr">
        <is>
          <t>东亚</t>
        </is>
      </c>
      <c r="F340" s="19" t="inlineStr">
        <is>
          <t>03号泊位</t>
        </is>
      </c>
      <c r="G340" s="20" t="n">
        <v>14147</v>
      </c>
      <c r="H340" s="38" t="n">
        <v>10.28</v>
      </c>
      <c r="I340" s="38" t="n">
        <v>0.86</v>
      </c>
      <c r="J340" s="38" t="n">
        <v>10.72</v>
      </c>
      <c r="K340" s="20" t="n">
        <v>0</v>
      </c>
      <c r="L340" s="26">
        <f>IF(H340&lt;=J340,1,0)</f>
        <v>1</v>
      </c>
    </row>
    <row r="341">
      <c r="A341" s="24" t="inlineStr">
        <is>
          <t>QL-056-4</t>
        </is>
      </c>
      <c r="B341" s="39" t="n">
        <v>45713</v>
      </c>
      <c r="C341" s="40" t="inlineStr">
        <is>
          <t>进港</t>
        </is>
      </c>
      <c r="D341" s="24" t="inlineStr">
        <is>
          <t>粮食</t>
        </is>
      </c>
      <c r="E341" s="24" t="inlineStr">
        <is>
          <t>东亚</t>
        </is>
      </c>
      <c r="F341" s="24" t="inlineStr">
        <is>
          <t>04号泊位</t>
        </is>
      </c>
      <c r="G341" s="25" t="n">
        <v>6064</v>
      </c>
      <c r="H341" s="41" t="n">
        <v>5.65</v>
      </c>
      <c r="I341" s="41" t="n">
        <v>2.51</v>
      </c>
      <c r="J341" s="41" t="n">
        <v>5.95</v>
      </c>
      <c r="K341" s="25" t="n">
        <v>0</v>
      </c>
      <c r="L341" s="26">
        <f>IF(H341&lt;=J341,1,0)</f>
        <v>1</v>
      </c>
    </row>
    <row r="342">
      <c r="A342" s="19" t="inlineStr">
        <is>
          <t>QL-056-5</t>
        </is>
      </c>
      <c r="B342" s="36" t="n">
        <v>45713</v>
      </c>
      <c r="C342" s="37" t="inlineStr">
        <is>
          <t>进港</t>
        </is>
      </c>
      <c r="D342" s="19" t="inlineStr">
        <is>
          <t>液体散货</t>
        </is>
      </c>
      <c r="E342" s="19" t="inlineStr">
        <is>
          <t>欧洲</t>
        </is>
      </c>
      <c r="F342" s="19" t="inlineStr">
        <is>
          <t>05号泊位</t>
        </is>
      </c>
      <c r="G342" s="20" t="n">
        <v>10805</v>
      </c>
      <c r="H342" s="38" t="n">
        <v>6.88</v>
      </c>
      <c r="I342" s="38" t="n">
        <v>1.52</v>
      </c>
      <c r="J342" s="38" t="n">
        <v>7.5</v>
      </c>
      <c r="K342" s="20" t="n">
        <v>0</v>
      </c>
      <c r="L342" s="26">
        <f>IF(H342&lt;=J342,1,0)</f>
        <v>1</v>
      </c>
    </row>
    <row r="343">
      <c r="A343" s="24" t="inlineStr">
        <is>
          <t>QL-056-6</t>
        </is>
      </c>
      <c r="B343" s="39" t="n">
        <v>45713</v>
      </c>
      <c r="C343" s="40" t="inlineStr">
        <is>
          <t>出港</t>
        </is>
      </c>
      <c r="D343" s="24" t="inlineStr">
        <is>
          <t>件杂货</t>
        </is>
      </c>
      <c r="E343" s="24" t="inlineStr">
        <is>
          <t>东亚</t>
        </is>
      </c>
      <c r="F343" s="24" t="inlineStr">
        <is>
          <t>06号泊位</t>
        </is>
      </c>
      <c r="G343" s="25" t="n">
        <v>4235</v>
      </c>
      <c r="H343" s="41" t="n">
        <v>5.96</v>
      </c>
      <c r="I343" s="41" t="n">
        <v>3.34</v>
      </c>
      <c r="J343" s="41" t="n">
        <v>6.94</v>
      </c>
      <c r="K343" s="25" t="n">
        <v>0</v>
      </c>
      <c r="L343" s="26">
        <f>IF(H343&lt;=J343,1,0)</f>
        <v>1</v>
      </c>
    </row>
    <row r="344">
      <c r="A344" s="19" t="inlineStr">
        <is>
          <t>QL-057-1</t>
        </is>
      </c>
      <c r="B344" s="36" t="n">
        <v>45714</v>
      </c>
      <c r="C344" s="37" t="inlineStr">
        <is>
          <t>进港</t>
        </is>
      </c>
      <c r="D344" s="19" t="inlineStr">
        <is>
          <t>集装箱货物</t>
        </is>
      </c>
      <c r="E344" s="19" t="inlineStr">
        <is>
          <t>东亚</t>
        </is>
      </c>
      <c r="F344" s="19" t="inlineStr">
        <is>
          <t>01号泊位</t>
        </is>
      </c>
      <c r="G344" s="20" t="n">
        <v>9306</v>
      </c>
      <c r="H344" s="38" t="n">
        <v>11.08</v>
      </c>
      <c r="I344" s="38" t="n">
        <v>3.46</v>
      </c>
      <c r="J344" s="38" t="n">
        <v>10.34</v>
      </c>
      <c r="K344" s="20" t="n">
        <v>691</v>
      </c>
      <c r="L344" s="26">
        <f>IF(H344&lt;=J344,1,0)</f>
        <v>0</v>
      </c>
    </row>
    <row r="345">
      <c r="A345" s="24" t="inlineStr">
        <is>
          <t>QL-057-2</t>
        </is>
      </c>
      <c r="B345" s="39" t="n">
        <v>45714</v>
      </c>
      <c r="C345" s="40" t="inlineStr">
        <is>
          <t>进港</t>
        </is>
      </c>
      <c r="D345" s="24" t="inlineStr">
        <is>
          <t>金属矿石</t>
        </is>
      </c>
      <c r="E345" s="24" t="inlineStr">
        <is>
          <t>东亚</t>
        </is>
      </c>
      <c r="F345" s="24" t="inlineStr">
        <is>
          <t>02号泊位</t>
        </is>
      </c>
      <c r="G345" s="25" t="n">
        <v>21943</v>
      </c>
      <c r="H345" s="41" t="n">
        <v>14.31</v>
      </c>
      <c r="I345" s="41" t="n">
        <v>1.43</v>
      </c>
      <c r="J345" s="41" t="n">
        <v>14.16</v>
      </c>
      <c r="K345" s="25" t="n">
        <v>0</v>
      </c>
      <c r="L345" s="26">
        <f>IF(H345&lt;=J345,1,0)</f>
        <v>0</v>
      </c>
    </row>
    <row r="346">
      <c r="A346" s="19" t="inlineStr">
        <is>
          <t>QL-057-3</t>
        </is>
      </c>
      <c r="B346" s="36" t="n">
        <v>45714</v>
      </c>
      <c r="C346" s="37" t="inlineStr">
        <is>
          <t>进港</t>
        </is>
      </c>
      <c r="D346" s="19" t="inlineStr">
        <is>
          <t>煤炭</t>
        </is>
      </c>
      <c r="E346" s="19" t="inlineStr">
        <is>
          <t>东亚</t>
        </is>
      </c>
      <c r="F346" s="19" t="inlineStr">
        <is>
          <t>03号泊位</t>
        </is>
      </c>
      <c r="G346" s="20" t="n">
        <v>11984</v>
      </c>
      <c r="H346" s="38" t="n">
        <v>10.44</v>
      </c>
      <c r="I346" s="38" t="n">
        <v>0.55</v>
      </c>
      <c r="J346" s="38" t="n">
        <v>9.08</v>
      </c>
      <c r="K346" s="20" t="n">
        <v>0</v>
      </c>
      <c r="L346" s="26">
        <f>IF(H346&lt;=J346,1,0)</f>
        <v>0</v>
      </c>
    </row>
    <row r="347">
      <c r="A347" s="24" t="inlineStr">
        <is>
          <t>QL-057-4</t>
        </is>
      </c>
      <c r="B347" s="39" t="n">
        <v>45714</v>
      </c>
      <c r="C347" s="40" t="inlineStr">
        <is>
          <t>进港</t>
        </is>
      </c>
      <c r="D347" s="24" t="inlineStr">
        <is>
          <t>粮食</t>
        </is>
      </c>
      <c r="E347" s="24" t="inlineStr">
        <is>
          <t>东亚</t>
        </is>
      </c>
      <c r="F347" s="24" t="inlineStr">
        <is>
          <t>04号泊位</t>
        </is>
      </c>
      <c r="G347" s="25" t="n">
        <v>9359</v>
      </c>
      <c r="H347" s="41" t="n">
        <v>9.69</v>
      </c>
      <c r="I347" s="41" t="n">
        <v>1.38</v>
      </c>
      <c r="J347" s="41" t="n">
        <v>9.18</v>
      </c>
      <c r="K347" s="25" t="n">
        <v>0</v>
      </c>
      <c r="L347" s="26">
        <f>IF(H347&lt;=J347,1,0)</f>
        <v>0</v>
      </c>
    </row>
    <row r="348">
      <c r="A348" s="19" t="inlineStr">
        <is>
          <t>QL-057-5</t>
        </is>
      </c>
      <c r="B348" s="36" t="n">
        <v>45714</v>
      </c>
      <c r="C348" s="37" t="inlineStr">
        <is>
          <t>出港</t>
        </is>
      </c>
      <c r="D348" s="19" t="inlineStr">
        <is>
          <t>液体散货</t>
        </is>
      </c>
      <c r="E348" s="19" t="inlineStr">
        <is>
          <t>欧洲</t>
        </is>
      </c>
      <c r="F348" s="19" t="inlineStr">
        <is>
          <t>05号泊位</t>
        </is>
      </c>
      <c r="G348" s="20" t="n">
        <v>13888</v>
      </c>
      <c r="H348" s="38" t="n">
        <v>8.619999999999999</v>
      </c>
      <c r="I348" s="38" t="n">
        <v>2.26</v>
      </c>
      <c r="J348" s="38" t="n">
        <v>9.640000000000001</v>
      </c>
      <c r="K348" s="20" t="n">
        <v>0</v>
      </c>
      <c r="L348" s="26">
        <f>IF(H348&lt;=J348,1,0)</f>
        <v>1</v>
      </c>
    </row>
    <row r="349">
      <c r="A349" s="24" t="inlineStr">
        <is>
          <t>QL-057-6</t>
        </is>
      </c>
      <c r="B349" s="39" t="n">
        <v>45714</v>
      </c>
      <c r="C349" s="40" t="inlineStr">
        <is>
          <t>进港</t>
        </is>
      </c>
      <c r="D349" s="24" t="inlineStr">
        <is>
          <t>件杂货</t>
        </is>
      </c>
      <c r="E349" s="24" t="inlineStr">
        <is>
          <t>欧洲</t>
        </is>
      </c>
      <c r="F349" s="24" t="inlineStr">
        <is>
          <t>06号泊位</t>
        </is>
      </c>
      <c r="G349" s="25" t="n">
        <v>3681</v>
      </c>
      <c r="H349" s="41" t="n">
        <v>6.85</v>
      </c>
      <c r="I349" s="41" t="n">
        <v>0.62</v>
      </c>
      <c r="J349" s="41" t="n">
        <v>6.03</v>
      </c>
      <c r="K349" s="25" t="n">
        <v>0</v>
      </c>
      <c r="L349" s="26">
        <f>IF(H349&lt;=J349,1,0)</f>
        <v>0</v>
      </c>
    </row>
    <row r="350">
      <c r="A350" s="19" t="inlineStr">
        <is>
          <t>QL-058-1</t>
        </is>
      </c>
      <c r="B350" s="36" t="n">
        <v>45715</v>
      </c>
      <c r="C350" s="37" t="inlineStr">
        <is>
          <t>进港</t>
        </is>
      </c>
      <c r="D350" s="19" t="inlineStr">
        <is>
          <t>集装箱货物</t>
        </is>
      </c>
      <c r="E350" s="19" t="inlineStr">
        <is>
          <t>国内沿海</t>
        </is>
      </c>
      <c r="F350" s="19" t="inlineStr">
        <is>
          <t>01号泊位</t>
        </is>
      </c>
      <c r="G350" s="20" t="n">
        <v>10648</v>
      </c>
      <c r="H350" s="38" t="n">
        <v>11.88</v>
      </c>
      <c r="I350" s="38" t="n">
        <v>0.48</v>
      </c>
      <c r="J350" s="38" t="n">
        <v>11.83</v>
      </c>
      <c r="K350" s="20" t="n">
        <v>774</v>
      </c>
      <c r="L350" s="26">
        <f>IF(H350&lt;=J350,1,0)</f>
        <v>0</v>
      </c>
    </row>
    <row r="351">
      <c r="A351" s="24" t="inlineStr">
        <is>
          <t>QL-058-2</t>
        </is>
      </c>
      <c r="B351" s="39" t="n">
        <v>45715</v>
      </c>
      <c r="C351" s="40" t="inlineStr">
        <is>
          <t>进港</t>
        </is>
      </c>
      <c r="D351" s="24" t="inlineStr">
        <is>
          <t>金属矿石</t>
        </is>
      </c>
      <c r="E351" s="24" t="inlineStr">
        <is>
          <t>国内沿海</t>
        </is>
      </c>
      <c r="F351" s="24" t="inlineStr">
        <is>
          <t>02号泊位</t>
        </is>
      </c>
      <c r="G351" s="25" t="n">
        <v>12793</v>
      </c>
      <c r="H351" s="41" t="n">
        <v>7.1</v>
      </c>
      <c r="I351" s="41" t="n">
        <v>2.06</v>
      </c>
      <c r="J351" s="41" t="n">
        <v>8.25</v>
      </c>
      <c r="K351" s="25" t="n">
        <v>0</v>
      </c>
      <c r="L351" s="26">
        <f>IF(H351&lt;=J351,1,0)</f>
        <v>1</v>
      </c>
    </row>
    <row r="352">
      <c r="A352" s="19" t="inlineStr">
        <is>
          <t>QL-058-3</t>
        </is>
      </c>
      <c r="B352" s="36" t="n">
        <v>45715</v>
      </c>
      <c r="C352" s="37" t="inlineStr">
        <is>
          <t>出港</t>
        </is>
      </c>
      <c r="D352" s="19" t="inlineStr">
        <is>
          <t>煤炭</t>
        </is>
      </c>
      <c r="E352" s="19" t="inlineStr">
        <is>
          <t>东南亚</t>
        </is>
      </c>
      <c r="F352" s="19" t="inlineStr">
        <is>
          <t>03号泊位</t>
        </is>
      </c>
      <c r="G352" s="20" t="n">
        <v>11710</v>
      </c>
      <c r="H352" s="38" t="n">
        <v>8.69</v>
      </c>
      <c r="I352" s="38" t="n">
        <v>3.21</v>
      </c>
      <c r="J352" s="38" t="n">
        <v>8.869999999999999</v>
      </c>
      <c r="K352" s="20" t="n">
        <v>0</v>
      </c>
      <c r="L352" s="26">
        <f>IF(H352&lt;=J352,1,0)</f>
        <v>1</v>
      </c>
    </row>
    <row r="353">
      <c r="A353" s="24" t="inlineStr">
        <is>
          <t>QL-058-4</t>
        </is>
      </c>
      <c r="B353" s="39" t="n">
        <v>45715</v>
      </c>
      <c r="C353" s="40" t="inlineStr">
        <is>
          <t>进港</t>
        </is>
      </c>
      <c r="D353" s="24" t="inlineStr">
        <is>
          <t>粮食</t>
        </is>
      </c>
      <c r="E353" s="24" t="inlineStr">
        <is>
          <t>北美</t>
        </is>
      </c>
      <c r="F353" s="24" t="inlineStr">
        <is>
          <t>04号泊位</t>
        </is>
      </c>
      <c r="G353" s="25" t="n">
        <v>8864</v>
      </c>
      <c r="H353" s="41" t="n">
        <v>7.54</v>
      </c>
      <c r="I353" s="41" t="n">
        <v>1.18</v>
      </c>
      <c r="J353" s="41" t="n">
        <v>8.69</v>
      </c>
      <c r="K353" s="25" t="n">
        <v>0</v>
      </c>
      <c r="L353" s="26">
        <f>IF(H353&lt;=J353,1,0)</f>
        <v>1</v>
      </c>
    </row>
    <row r="354">
      <c r="A354" s="19" t="inlineStr">
        <is>
          <t>QL-058-5</t>
        </is>
      </c>
      <c r="B354" s="36" t="n">
        <v>45715</v>
      </c>
      <c r="C354" s="37" t="inlineStr">
        <is>
          <t>出港</t>
        </is>
      </c>
      <c r="D354" s="19" t="inlineStr">
        <is>
          <t>液体散货</t>
        </is>
      </c>
      <c r="E354" s="19" t="inlineStr">
        <is>
          <t>东南亚</t>
        </is>
      </c>
      <c r="F354" s="19" t="inlineStr">
        <is>
          <t>05号泊位</t>
        </is>
      </c>
      <c r="G354" s="20" t="n">
        <v>8123</v>
      </c>
      <c r="H354" s="38" t="n">
        <v>5.91</v>
      </c>
      <c r="I354" s="38" t="n">
        <v>4.96</v>
      </c>
      <c r="J354" s="38" t="n">
        <v>5.64</v>
      </c>
      <c r="K354" s="20" t="n">
        <v>0</v>
      </c>
      <c r="L354" s="26">
        <f>IF(H354&lt;=J354,1,0)</f>
        <v>0</v>
      </c>
    </row>
    <row r="355">
      <c r="A355" s="24" t="inlineStr">
        <is>
          <t>QL-058-6</t>
        </is>
      </c>
      <c r="B355" s="39" t="n">
        <v>45715</v>
      </c>
      <c r="C355" s="40" t="inlineStr">
        <is>
          <t>出港</t>
        </is>
      </c>
      <c r="D355" s="24" t="inlineStr">
        <is>
          <t>件杂货</t>
        </is>
      </c>
      <c r="E355" s="24" t="inlineStr">
        <is>
          <t>东南亚</t>
        </is>
      </c>
      <c r="F355" s="24" t="inlineStr">
        <is>
          <t>06号泊位</t>
        </is>
      </c>
      <c r="G355" s="25" t="n">
        <v>5771</v>
      </c>
      <c r="H355" s="41" t="n">
        <v>10.95</v>
      </c>
      <c r="I355" s="41" t="n">
        <v>2.4</v>
      </c>
      <c r="J355" s="41" t="n">
        <v>9.460000000000001</v>
      </c>
      <c r="K355" s="25" t="n">
        <v>0</v>
      </c>
      <c r="L355" s="26">
        <f>IF(H355&lt;=J355,1,0)</f>
        <v>0</v>
      </c>
    </row>
    <row r="356">
      <c r="A356" s="19" t="inlineStr">
        <is>
          <t>QL-059-1</t>
        </is>
      </c>
      <c r="B356" s="36" t="n">
        <v>45716</v>
      </c>
      <c r="C356" s="37" t="inlineStr">
        <is>
          <t>进港</t>
        </is>
      </c>
      <c r="D356" s="19" t="inlineStr">
        <is>
          <t>集装箱货物</t>
        </is>
      </c>
      <c r="E356" s="19" t="inlineStr">
        <is>
          <t>东南亚</t>
        </is>
      </c>
      <c r="F356" s="19" t="inlineStr">
        <is>
          <t>01号泊位</t>
        </is>
      </c>
      <c r="G356" s="20" t="n">
        <v>5962</v>
      </c>
      <c r="H356" s="38" t="n">
        <v>7.11</v>
      </c>
      <c r="I356" s="38" t="n">
        <v>1.48</v>
      </c>
      <c r="J356" s="38" t="n">
        <v>6.62</v>
      </c>
      <c r="K356" s="20" t="n">
        <v>412</v>
      </c>
      <c r="L356" s="26">
        <f>IF(H356&lt;=J356,1,0)</f>
        <v>0</v>
      </c>
    </row>
    <row r="357">
      <c r="A357" s="24" t="inlineStr">
        <is>
          <t>QL-059-2</t>
        </is>
      </c>
      <c r="B357" s="39" t="n">
        <v>45716</v>
      </c>
      <c r="C357" s="40" t="inlineStr">
        <is>
          <t>进港</t>
        </is>
      </c>
      <c r="D357" s="24" t="inlineStr">
        <is>
          <t>金属矿石</t>
        </is>
      </c>
      <c r="E357" s="24" t="inlineStr">
        <is>
          <t>国内沿海</t>
        </is>
      </c>
      <c r="F357" s="24" t="inlineStr">
        <is>
          <t>02号泊位</t>
        </is>
      </c>
      <c r="G357" s="25" t="n">
        <v>28607</v>
      </c>
      <c r="H357" s="41" t="n">
        <v>15.26</v>
      </c>
      <c r="I357" s="41" t="n">
        <v>4.17</v>
      </c>
      <c r="J357" s="41" t="n">
        <v>18.46</v>
      </c>
      <c r="K357" s="25" t="n">
        <v>0</v>
      </c>
      <c r="L357" s="26">
        <f>IF(H357&lt;=J357,1,0)</f>
        <v>1</v>
      </c>
    </row>
    <row r="358">
      <c r="A358" s="19" t="inlineStr">
        <is>
          <t>QL-059-3</t>
        </is>
      </c>
      <c r="B358" s="36" t="n">
        <v>45716</v>
      </c>
      <c r="C358" s="37" t="inlineStr">
        <is>
          <t>进港</t>
        </is>
      </c>
      <c r="D358" s="19" t="inlineStr">
        <is>
          <t>煤炭</t>
        </is>
      </c>
      <c r="E358" s="19" t="inlineStr">
        <is>
          <t>国内沿海</t>
        </is>
      </c>
      <c r="F358" s="19" t="inlineStr">
        <is>
          <t>03号泊位</t>
        </is>
      </c>
      <c r="G358" s="20" t="n">
        <v>10198</v>
      </c>
      <c r="H358" s="38" t="n">
        <v>8.92</v>
      </c>
      <c r="I358" s="38" t="n">
        <v>0.75</v>
      </c>
      <c r="J358" s="38" t="n">
        <v>7.73</v>
      </c>
      <c r="K358" s="20" t="n">
        <v>0</v>
      </c>
      <c r="L358" s="26">
        <f>IF(H358&lt;=J358,1,0)</f>
        <v>0</v>
      </c>
    </row>
    <row r="359">
      <c r="A359" s="24" t="inlineStr">
        <is>
          <t>QL-059-4</t>
        </is>
      </c>
      <c r="B359" s="39" t="n">
        <v>45716</v>
      </c>
      <c r="C359" s="40" t="inlineStr">
        <is>
          <t>进港</t>
        </is>
      </c>
      <c r="D359" s="24" t="inlineStr">
        <is>
          <t>粮食</t>
        </is>
      </c>
      <c r="E359" s="24" t="inlineStr">
        <is>
          <t>东亚</t>
        </is>
      </c>
      <c r="F359" s="24" t="inlineStr">
        <is>
          <t>04号泊位</t>
        </is>
      </c>
      <c r="G359" s="25" t="n">
        <v>6716</v>
      </c>
      <c r="H359" s="41" t="n">
        <v>6.69</v>
      </c>
      <c r="I359" s="41" t="n">
        <v>3.63</v>
      </c>
      <c r="J359" s="41" t="n">
        <v>6.58</v>
      </c>
      <c r="K359" s="25" t="n">
        <v>0</v>
      </c>
      <c r="L359" s="26">
        <f>IF(H359&lt;=J359,1,0)</f>
        <v>0</v>
      </c>
    </row>
    <row r="360">
      <c r="A360" s="19" t="inlineStr">
        <is>
          <t>QL-059-5</t>
        </is>
      </c>
      <c r="B360" s="36" t="n">
        <v>45716</v>
      </c>
      <c r="C360" s="37" t="inlineStr">
        <is>
          <t>出港</t>
        </is>
      </c>
      <c r="D360" s="19" t="inlineStr">
        <is>
          <t>液体散货</t>
        </is>
      </c>
      <c r="E360" s="19" t="inlineStr">
        <is>
          <t>东亚</t>
        </is>
      </c>
      <c r="F360" s="19" t="inlineStr">
        <is>
          <t>05号泊位</t>
        </is>
      </c>
      <c r="G360" s="20" t="n">
        <v>6940</v>
      </c>
      <c r="H360" s="38" t="n">
        <v>5.56</v>
      </c>
      <c r="I360" s="38" t="n">
        <v>1.52</v>
      </c>
      <c r="J360" s="38" t="n">
        <v>4.82</v>
      </c>
      <c r="K360" s="20" t="n">
        <v>0</v>
      </c>
      <c r="L360" s="26">
        <f>IF(H360&lt;=J360,1,0)</f>
        <v>0</v>
      </c>
    </row>
    <row r="361">
      <c r="A361" s="24" t="inlineStr">
        <is>
          <t>QL-059-6</t>
        </is>
      </c>
      <c r="B361" s="39" t="n">
        <v>45716</v>
      </c>
      <c r="C361" s="40" t="inlineStr">
        <is>
          <t>出港</t>
        </is>
      </c>
      <c r="D361" s="24" t="inlineStr">
        <is>
          <t>件杂货</t>
        </is>
      </c>
      <c r="E361" s="24" t="inlineStr">
        <is>
          <t>国内沿海</t>
        </is>
      </c>
      <c r="F361" s="24" t="inlineStr">
        <is>
          <t>06号泊位</t>
        </is>
      </c>
      <c r="G361" s="25" t="n">
        <v>2731</v>
      </c>
      <c r="H361" s="41" t="n">
        <v>5.22</v>
      </c>
      <c r="I361" s="41" t="n">
        <v>2.6</v>
      </c>
      <c r="J361" s="41" t="n">
        <v>4.48</v>
      </c>
      <c r="K361" s="25" t="n">
        <v>0</v>
      </c>
      <c r="L361" s="26">
        <f>IF(H361&lt;=J361,1,0)</f>
        <v>0</v>
      </c>
    </row>
    <row r="362">
      <c r="A362" s="19" t="inlineStr">
        <is>
          <t>QL-060-1</t>
        </is>
      </c>
      <c r="B362" s="36" t="n">
        <v>45717</v>
      </c>
      <c r="C362" s="37" t="inlineStr">
        <is>
          <t>进港</t>
        </is>
      </c>
      <c r="D362" s="19" t="inlineStr">
        <is>
          <t>集装箱货物</t>
        </is>
      </c>
      <c r="E362" s="19" t="inlineStr">
        <is>
          <t>国内沿海</t>
        </is>
      </c>
      <c r="F362" s="19" t="inlineStr">
        <is>
          <t>01号泊位</t>
        </is>
      </c>
      <c r="G362" s="20" t="n">
        <v>6006</v>
      </c>
      <c r="H362" s="38" t="n">
        <v>6.14</v>
      </c>
      <c r="I362" s="38" t="n">
        <v>2.44</v>
      </c>
      <c r="J362" s="38" t="n">
        <v>6.67</v>
      </c>
      <c r="K362" s="20" t="n">
        <v>354</v>
      </c>
      <c r="L362" s="26">
        <f>IF(H362&lt;=J362,1,0)</f>
        <v>1</v>
      </c>
    </row>
    <row r="363">
      <c r="A363" s="24" t="inlineStr">
        <is>
          <t>QL-060-2</t>
        </is>
      </c>
      <c r="B363" s="39" t="n">
        <v>45717</v>
      </c>
      <c r="C363" s="40" t="inlineStr">
        <is>
          <t>出港</t>
        </is>
      </c>
      <c r="D363" s="24" t="inlineStr">
        <is>
          <t>金属矿石</t>
        </is>
      </c>
      <c r="E363" s="24" t="inlineStr">
        <is>
          <t>欧洲</t>
        </is>
      </c>
      <c r="F363" s="24" t="inlineStr">
        <is>
          <t>02号泊位</t>
        </is>
      </c>
      <c r="G363" s="25" t="n">
        <v>17396</v>
      </c>
      <c r="H363" s="41" t="n">
        <v>12.46</v>
      </c>
      <c r="I363" s="41" t="n">
        <v>3.84</v>
      </c>
      <c r="J363" s="41" t="n">
        <v>11.22</v>
      </c>
      <c r="K363" s="25" t="n">
        <v>0</v>
      </c>
      <c r="L363" s="26">
        <f>IF(H363&lt;=J363,1,0)</f>
        <v>0</v>
      </c>
    </row>
    <row r="364">
      <c r="A364" s="19" t="inlineStr">
        <is>
          <t>QL-060-3</t>
        </is>
      </c>
      <c r="B364" s="36" t="n">
        <v>45717</v>
      </c>
      <c r="C364" s="37" t="inlineStr">
        <is>
          <t>进港</t>
        </is>
      </c>
      <c r="D364" s="19" t="inlineStr">
        <is>
          <t>煤炭</t>
        </is>
      </c>
      <c r="E364" s="19" t="inlineStr">
        <is>
          <t>国内沿海</t>
        </is>
      </c>
      <c r="F364" s="19" t="inlineStr">
        <is>
          <t>03号泊位</t>
        </is>
      </c>
      <c r="G364" s="20" t="n">
        <v>10220</v>
      </c>
      <c r="H364" s="38" t="n">
        <v>6.35</v>
      </c>
      <c r="I364" s="38" t="n">
        <v>0.48</v>
      </c>
      <c r="J364" s="38" t="n">
        <v>7.74</v>
      </c>
      <c r="K364" s="20" t="n">
        <v>0</v>
      </c>
      <c r="L364" s="26">
        <f>IF(H364&lt;=J364,1,0)</f>
        <v>1</v>
      </c>
    </row>
    <row r="365">
      <c r="A365" s="24" t="inlineStr">
        <is>
          <t>QL-060-4</t>
        </is>
      </c>
      <c r="B365" s="39" t="n">
        <v>45717</v>
      </c>
      <c r="C365" s="40" t="inlineStr">
        <is>
          <t>进港</t>
        </is>
      </c>
      <c r="D365" s="24" t="inlineStr">
        <is>
          <t>粮食</t>
        </is>
      </c>
      <c r="E365" s="24" t="inlineStr">
        <is>
          <t>国内沿海</t>
        </is>
      </c>
      <c r="F365" s="24" t="inlineStr">
        <is>
          <t>04号泊位</t>
        </is>
      </c>
      <c r="G365" s="25" t="n">
        <v>5692</v>
      </c>
      <c r="H365" s="41" t="n">
        <v>6.39</v>
      </c>
      <c r="I365" s="41" t="n">
        <v>2.86</v>
      </c>
      <c r="J365" s="41" t="n">
        <v>5.58</v>
      </c>
      <c r="K365" s="25" t="n">
        <v>0</v>
      </c>
      <c r="L365" s="26">
        <f>IF(H365&lt;=J365,1,0)</f>
        <v>0</v>
      </c>
    </row>
    <row r="366">
      <c r="A366" s="19" t="inlineStr">
        <is>
          <t>QL-060-5</t>
        </is>
      </c>
      <c r="B366" s="36" t="n">
        <v>45717</v>
      </c>
      <c r="C366" s="37" t="inlineStr">
        <is>
          <t>出港</t>
        </is>
      </c>
      <c r="D366" s="19" t="inlineStr">
        <is>
          <t>液体散货</t>
        </is>
      </c>
      <c r="E366" s="19" t="inlineStr">
        <is>
          <t>欧洲</t>
        </is>
      </c>
      <c r="F366" s="19" t="inlineStr">
        <is>
          <t>05号泊位</t>
        </is>
      </c>
      <c r="G366" s="20" t="n">
        <v>10640</v>
      </c>
      <c r="H366" s="38" t="n">
        <v>6.94</v>
      </c>
      <c r="I366" s="38" t="n">
        <v>3.72</v>
      </c>
      <c r="J366" s="38" t="n">
        <v>7.39</v>
      </c>
      <c r="K366" s="20" t="n">
        <v>0</v>
      </c>
      <c r="L366" s="26">
        <f>IF(H366&lt;=J366,1,0)</f>
        <v>1</v>
      </c>
    </row>
    <row r="367">
      <c r="A367" s="24" t="inlineStr">
        <is>
          <t>QL-060-6</t>
        </is>
      </c>
      <c r="B367" s="39" t="n">
        <v>45717</v>
      </c>
      <c r="C367" s="40" t="inlineStr">
        <is>
          <t>进港</t>
        </is>
      </c>
      <c r="D367" s="24" t="inlineStr">
        <is>
          <t>件杂货</t>
        </is>
      </c>
      <c r="E367" s="24" t="inlineStr">
        <is>
          <t>北美</t>
        </is>
      </c>
      <c r="F367" s="24" t="inlineStr">
        <is>
          <t>06号泊位</t>
        </is>
      </c>
      <c r="G367" s="25" t="n">
        <v>3236</v>
      </c>
      <c r="H367" s="41" t="n">
        <v>5.45</v>
      </c>
      <c r="I367" s="41" t="n">
        <v>3.66</v>
      </c>
      <c r="J367" s="41" t="n">
        <v>5.3</v>
      </c>
      <c r="K367" s="25" t="n">
        <v>0</v>
      </c>
      <c r="L367" s="26">
        <f>IF(H367&lt;=J367,1,0)</f>
        <v>0</v>
      </c>
    </row>
    <row r="368">
      <c r="A368" s="19" t="inlineStr">
        <is>
          <t>QL-061-1</t>
        </is>
      </c>
      <c r="B368" s="36" t="n">
        <v>45718</v>
      </c>
      <c r="C368" s="37" t="inlineStr">
        <is>
          <t>出港</t>
        </is>
      </c>
      <c r="D368" s="19" t="inlineStr">
        <is>
          <t>集装箱货物</t>
        </is>
      </c>
      <c r="E368" s="19" t="inlineStr">
        <is>
          <t>北美</t>
        </is>
      </c>
      <c r="F368" s="19" t="inlineStr">
        <is>
          <t>01号泊位</t>
        </is>
      </c>
      <c r="G368" s="20" t="n">
        <v>4596</v>
      </c>
      <c r="H368" s="38" t="n">
        <v>5.69</v>
      </c>
      <c r="I368" s="38" t="n">
        <v>1.73</v>
      </c>
      <c r="J368" s="38" t="n">
        <v>5.11</v>
      </c>
      <c r="K368" s="20" t="n">
        <v>292</v>
      </c>
      <c r="L368" s="26">
        <f>IF(H368&lt;=J368,1,0)</f>
        <v>0</v>
      </c>
    </row>
    <row r="369">
      <c r="A369" s="24" t="inlineStr">
        <is>
          <t>QL-061-2</t>
        </is>
      </c>
      <c r="B369" s="39" t="n">
        <v>45718</v>
      </c>
      <c r="C369" s="40" t="inlineStr">
        <is>
          <t>进港</t>
        </is>
      </c>
      <c r="D369" s="24" t="inlineStr">
        <is>
          <t>金属矿石</t>
        </is>
      </c>
      <c r="E369" s="24" t="inlineStr">
        <is>
          <t>国内沿海</t>
        </is>
      </c>
      <c r="F369" s="24" t="inlineStr">
        <is>
          <t>02号泊位</t>
        </is>
      </c>
      <c r="G369" s="25" t="n">
        <v>19007</v>
      </c>
      <c r="H369" s="41" t="n">
        <v>11.91</v>
      </c>
      <c r="I369" s="41" t="n">
        <v>3.28</v>
      </c>
      <c r="J369" s="41" t="n">
        <v>12.26</v>
      </c>
      <c r="K369" s="25" t="n">
        <v>0</v>
      </c>
      <c r="L369" s="26">
        <f>IF(H369&lt;=J369,1,0)</f>
        <v>1</v>
      </c>
    </row>
    <row r="370">
      <c r="A370" s="19" t="inlineStr">
        <is>
          <t>QL-061-3</t>
        </is>
      </c>
      <c r="B370" s="36" t="n">
        <v>45718</v>
      </c>
      <c r="C370" s="37" t="inlineStr">
        <is>
          <t>进港</t>
        </is>
      </c>
      <c r="D370" s="19" t="inlineStr">
        <is>
          <t>煤炭</t>
        </is>
      </c>
      <c r="E370" s="19" t="inlineStr">
        <is>
          <t>东亚</t>
        </is>
      </c>
      <c r="F370" s="19" t="inlineStr">
        <is>
          <t>03号泊位</t>
        </is>
      </c>
      <c r="G370" s="20" t="n">
        <v>7745</v>
      </c>
      <c r="H370" s="38" t="n">
        <v>5.56</v>
      </c>
      <c r="I370" s="38" t="n">
        <v>2.85</v>
      </c>
      <c r="J370" s="38" t="n">
        <v>5.87</v>
      </c>
      <c r="K370" s="20" t="n">
        <v>0</v>
      </c>
      <c r="L370" s="26">
        <f>IF(H370&lt;=J370,1,0)</f>
        <v>1</v>
      </c>
    </row>
    <row r="371">
      <c r="A371" s="24" t="inlineStr">
        <is>
          <t>QL-061-4</t>
        </is>
      </c>
      <c r="B371" s="39" t="n">
        <v>45718</v>
      </c>
      <c r="C371" s="40" t="inlineStr">
        <is>
          <t>进港</t>
        </is>
      </c>
      <c r="D371" s="24" t="inlineStr">
        <is>
          <t>粮食</t>
        </is>
      </c>
      <c r="E371" s="24" t="inlineStr">
        <is>
          <t>国内沿海</t>
        </is>
      </c>
      <c r="F371" s="24" t="inlineStr">
        <is>
          <t>04号泊位</t>
        </is>
      </c>
      <c r="G371" s="25" t="n">
        <v>5388</v>
      </c>
      <c r="H371" s="41" t="n">
        <v>5.83</v>
      </c>
      <c r="I371" s="41" t="n">
        <v>1.43</v>
      </c>
      <c r="J371" s="41" t="n">
        <v>5.28</v>
      </c>
      <c r="K371" s="25" t="n">
        <v>0</v>
      </c>
      <c r="L371" s="26">
        <f>IF(H371&lt;=J371,1,0)</f>
        <v>0</v>
      </c>
    </row>
    <row r="372">
      <c r="A372" s="19" t="inlineStr">
        <is>
          <t>QL-061-5</t>
        </is>
      </c>
      <c r="B372" s="36" t="n">
        <v>45718</v>
      </c>
      <c r="C372" s="37" t="inlineStr">
        <is>
          <t>进港</t>
        </is>
      </c>
      <c r="D372" s="19" t="inlineStr">
        <is>
          <t>液体散货</t>
        </is>
      </c>
      <c r="E372" s="19" t="inlineStr">
        <is>
          <t>欧洲</t>
        </is>
      </c>
      <c r="F372" s="19" t="inlineStr">
        <is>
          <t>05号泊位</t>
        </is>
      </c>
      <c r="G372" s="20" t="n">
        <v>15419</v>
      </c>
      <c r="H372" s="38" t="n">
        <v>10.25</v>
      </c>
      <c r="I372" s="38" t="n">
        <v>1.77</v>
      </c>
      <c r="J372" s="38" t="n">
        <v>10.71</v>
      </c>
      <c r="K372" s="20" t="n">
        <v>0</v>
      </c>
      <c r="L372" s="26">
        <f>IF(H372&lt;=J372,1,0)</f>
        <v>1</v>
      </c>
    </row>
    <row r="373">
      <c r="A373" s="24" t="inlineStr">
        <is>
          <t>QL-061-6</t>
        </is>
      </c>
      <c r="B373" s="39" t="n">
        <v>45718</v>
      </c>
      <c r="C373" s="40" t="inlineStr">
        <is>
          <t>出港</t>
        </is>
      </c>
      <c r="D373" s="24" t="inlineStr">
        <is>
          <t>件杂货</t>
        </is>
      </c>
      <c r="E373" s="24" t="inlineStr">
        <is>
          <t>东亚</t>
        </is>
      </c>
      <c r="F373" s="24" t="inlineStr">
        <is>
          <t>06号泊位</t>
        </is>
      </c>
      <c r="G373" s="25" t="n">
        <v>3222</v>
      </c>
      <c r="H373" s="41" t="n">
        <v>5.57</v>
      </c>
      <c r="I373" s="41" t="n">
        <v>0.84</v>
      </c>
      <c r="J373" s="41" t="n">
        <v>5.28</v>
      </c>
      <c r="K373" s="25" t="n">
        <v>0</v>
      </c>
      <c r="L373" s="26">
        <f>IF(H373&lt;=J373,1,0)</f>
        <v>0</v>
      </c>
    </row>
    <row r="374">
      <c r="A374" s="19" t="inlineStr">
        <is>
          <t>QL-062-1</t>
        </is>
      </c>
      <c r="B374" s="36" t="n">
        <v>45719</v>
      </c>
      <c r="C374" s="37" t="inlineStr">
        <is>
          <t>出港</t>
        </is>
      </c>
      <c r="D374" s="19" t="inlineStr">
        <is>
          <t>集装箱货物</t>
        </is>
      </c>
      <c r="E374" s="19" t="inlineStr">
        <is>
          <t>东亚</t>
        </is>
      </c>
      <c r="F374" s="19" t="inlineStr">
        <is>
          <t>01号泊位</t>
        </is>
      </c>
      <c r="G374" s="20" t="n">
        <v>5651</v>
      </c>
      <c r="H374" s="38" t="n">
        <v>7.5</v>
      </c>
      <c r="I374" s="38" t="n">
        <v>3.62</v>
      </c>
      <c r="J374" s="38" t="n">
        <v>6.28</v>
      </c>
      <c r="K374" s="20" t="n">
        <v>419</v>
      </c>
      <c r="L374" s="26">
        <f>IF(H374&lt;=J374,1,0)</f>
        <v>0</v>
      </c>
    </row>
    <row r="375">
      <c r="A375" s="24" t="inlineStr">
        <is>
          <t>QL-062-2</t>
        </is>
      </c>
      <c r="B375" s="39" t="n">
        <v>45719</v>
      </c>
      <c r="C375" s="40" t="inlineStr">
        <is>
          <t>出港</t>
        </is>
      </c>
      <c r="D375" s="24" t="inlineStr">
        <is>
          <t>金属矿石</t>
        </is>
      </c>
      <c r="E375" s="24" t="inlineStr">
        <is>
          <t>北美</t>
        </is>
      </c>
      <c r="F375" s="24" t="inlineStr">
        <is>
          <t>02号泊位</t>
        </is>
      </c>
      <c r="G375" s="25" t="n">
        <v>19298</v>
      </c>
      <c r="H375" s="41" t="n">
        <v>12.49</v>
      </c>
      <c r="I375" s="41" t="n">
        <v>3.78</v>
      </c>
      <c r="J375" s="41" t="n">
        <v>12.45</v>
      </c>
      <c r="K375" s="25" t="n">
        <v>0</v>
      </c>
      <c r="L375" s="26">
        <f>IF(H375&lt;=J375,1,0)</f>
        <v>0</v>
      </c>
    </row>
    <row r="376">
      <c r="A376" s="19" t="inlineStr">
        <is>
          <t>QL-062-3</t>
        </is>
      </c>
      <c r="B376" s="36" t="n">
        <v>45719</v>
      </c>
      <c r="C376" s="37" t="inlineStr">
        <is>
          <t>出港</t>
        </is>
      </c>
      <c r="D376" s="19" t="inlineStr">
        <is>
          <t>煤炭</t>
        </is>
      </c>
      <c r="E376" s="19" t="inlineStr">
        <is>
          <t>北美</t>
        </is>
      </c>
      <c r="F376" s="19" t="inlineStr">
        <is>
          <t>03号泊位</t>
        </is>
      </c>
      <c r="G376" s="20" t="n">
        <v>9257</v>
      </c>
      <c r="H376" s="38" t="n">
        <v>6.33</v>
      </c>
      <c r="I376" s="38" t="n">
        <v>2.83</v>
      </c>
      <c r="J376" s="38" t="n">
        <v>7.01</v>
      </c>
      <c r="K376" s="20" t="n">
        <v>0</v>
      </c>
      <c r="L376" s="26">
        <f>IF(H376&lt;=J376,1,0)</f>
        <v>1</v>
      </c>
    </row>
    <row r="377">
      <c r="A377" s="24" t="inlineStr">
        <is>
          <t>QL-062-4</t>
        </is>
      </c>
      <c r="B377" s="39" t="n">
        <v>45719</v>
      </c>
      <c r="C377" s="40" t="inlineStr">
        <is>
          <t>进港</t>
        </is>
      </c>
      <c r="D377" s="24" t="inlineStr">
        <is>
          <t>粮食</t>
        </is>
      </c>
      <c r="E377" s="24" t="inlineStr">
        <is>
          <t>东亚</t>
        </is>
      </c>
      <c r="F377" s="24" t="inlineStr">
        <is>
          <t>04号泊位</t>
        </is>
      </c>
      <c r="G377" s="25" t="n">
        <v>9473</v>
      </c>
      <c r="H377" s="41" t="n">
        <v>9.24</v>
      </c>
      <c r="I377" s="41" t="n">
        <v>0.98</v>
      </c>
      <c r="J377" s="41" t="n">
        <v>9.289999999999999</v>
      </c>
      <c r="K377" s="25" t="n">
        <v>0</v>
      </c>
      <c r="L377" s="26">
        <f>IF(H377&lt;=J377,1,0)</f>
        <v>1</v>
      </c>
    </row>
    <row r="378">
      <c r="A378" s="19" t="inlineStr">
        <is>
          <t>QL-062-5</t>
        </is>
      </c>
      <c r="B378" s="36" t="n">
        <v>45719</v>
      </c>
      <c r="C378" s="37" t="inlineStr">
        <is>
          <t>进港</t>
        </is>
      </c>
      <c r="D378" s="19" t="inlineStr">
        <is>
          <t>液体散货</t>
        </is>
      </c>
      <c r="E378" s="19" t="inlineStr">
        <is>
          <t>北美</t>
        </is>
      </c>
      <c r="F378" s="19" t="inlineStr">
        <is>
          <t>05号泊位</t>
        </is>
      </c>
      <c r="G378" s="20" t="n">
        <v>8178</v>
      </c>
      <c r="H378" s="38" t="n">
        <v>5.51</v>
      </c>
      <c r="I378" s="38" t="n">
        <v>0.58</v>
      </c>
      <c r="J378" s="38" t="n">
        <v>5.68</v>
      </c>
      <c r="K378" s="20" t="n">
        <v>0</v>
      </c>
      <c r="L378" s="26">
        <f>IF(H378&lt;=J378,1,0)</f>
        <v>1</v>
      </c>
    </row>
    <row r="379">
      <c r="A379" s="24" t="inlineStr">
        <is>
          <t>QL-062-6</t>
        </is>
      </c>
      <c r="B379" s="39" t="n">
        <v>45719</v>
      </c>
      <c r="C379" s="40" t="inlineStr">
        <is>
          <t>进港</t>
        </is>
      </c>
      <c r="D379" s="24" t="inlineStr">
        <is>
          <t>件杂货</t>
        </is>
      </c>
      <c r="E379" s="24" t="inlineStr">
        <is>
          <t>东亚</t>
        </is>
      </c>
      <c r="F379" s="24" t="inlineStr">
        <is>
          <t>06号泊位</t>
        </is>
      </c>
      <c r="G379" s="25" t="n">
        <v>3389</v>
      </c>
      <c r="H379" s="41" t="n">
        <v>6.2</v>
      </c>
      <c r="I379" s="41" t="n">
        <v>1.77</v>
      </c>
      <c r="J379" s="41" t="n">
        <v>5.56</v>
      </c>
      <c r="K379" s="25" t="n">
        <v>0</v>
      </c>
      <c r="L379" s="26">
        <f>IF(H379&lt;=J379,1,0)</f>
        <v>0</v>
      </c>
    </row>
    <row r="380">
      <c r="A380" s="19" t="inlineStr">
        <is>
          <t>QL-063-1</t>
        </is>
      </c>
      <c r="B380" s="36" t="n">
        <v>45720</v>
      </c>
      <c r="C380" s="37" t="inlineStr">
        <is>
          <t>出港</t>
        </is>
      </c>
      <c r="D380" s="19" t="inlineStr">
        <is>
          <t>集装箱货物</t>
        </is>
      </c>
      <c r="E380" s="19" t="inlineStr">
        <is>
          <t>国内沿海</t>
        </is>
      </c>
      <c r="F380" s="19" t="inlineStr">
        <is>
          <t>01号泊位</t>
        </is>
      </c>
      <c r="G380" s="20" t="n">
        <v>6787</v>
      </c>
      <c r="H380" s="38" t="n">
        <v>7.47</v>
      </c>
      <c r="I380" s="38" t="n">
        <v>3.16</v>
      </c>
      <c r="J380" s="38" t="n">
        <v>7.54</v>
      </c>
      <c r="K380" s="20" t="n">
        <v>539</v>
      </c>
      <c r="L380" s="26">
        <f>IF(H380&lt;=J380,1,0)</f>
        <v>1</v>
      </c>
    </row>
    <row r="381">
      <c r="A381" s="24" t="inlineStr">
        <is>
          <t>QL-063-2</t>
        </is>
      </c>
      <c r="B381" s="39" t="n">
        <v>45720</v>
      </c>
      <c r="C381" s="40" t="inlineStr">
        <is>
          <t>进港</t>
        </is>
      </c>
      <c r="D381" s="24" t="inlineStr">
        <is>
          <t>金属矿石</t>
        </is>
      </c>
      <c r="E381" s="24" t="inlineStr">
        <is>
          <t>国内沿海</t>
        </is>
      </c>
      <c r="F381" s="24" t="inlineStr">
        <is>
          <t>02号泊位</t>
        </is>
      </c>
      <c r="G381" s="25" t="n">
        <v>19685</v>
      </c>
      <c r="H381" s="41" t="n">
        <v>14.23</v>
      </c>
      <c r="I381" s="41" t="n">
        <v>2.05</v>
      </c>
      <c r="J381" s="41" t="n">
        <v>12.7</v>
      </c>
      <c r="K381" s="25" t="n">
        <v>0</v>
      </c>
      <c r="L381" s="26">
        <f>IF(H381&lt;=J381,1,0)</f>
        <v>0</v>
      </c>
    </row>
    <row r="382">
      <c r="A382" s="19" t="inlineStr">
        <is>
          <t>QL-063-3</t>
        </is>
      </c>
      <c r="B382" s="36" t="n">
        <v>45720</v>
      </c>
      <c r="C382" s="37" t="inlineStr">
        <is>
          <t>进港</t>
        </is>
      </c>
      <c r="D382" s="19" t="inlineStr">
        <is>
          <t>煤炭</t>
        </is>
      </c>
      <c r="E382" s="19" t="inlineStr">
        <is>
          <t>东亚</t>
        </is>
      </c>
      <c r="F382" s="19" t="inlineStr">
        <is>
          <t>03号泊位</t>
        </is>
      </c>
      <c r="G382" s="20" t="n">
        <v>9439</v>
      </c>
      <c r="H382" s="38" t="n">
        <v>7.62</v>
      </c>
      <c r="I382" s="38" t="n">
        <v>2.04</v>
      </c>
      <c r="J382" s="38" t="n">
        <v>7.15</v>
      </c>
      <c r="K382" s="20" t="n">
        <v>0</v>
      </c>
      <c r="L382" s="26">
        <f>IF(H382&lt;=J382,1,0)</f>
        <v>0</v>
      </c>
    </row>
    <row r="383">
      <c r="A383" s="24" t="inlineStr">
        <is>
          <t>QL-063-4</t>
        </is>
      </c>
      <c r="B383" s="39" t="n">
        <v>45720</v>
      </c>
      <c r="C383" s="40" t="inlineStr">
        <is>
          <t>进港</t>
        </is>
      </c>
      <c r="D383" s="24" t="inlineStr">
        <is>
          <t>粮食</t>
        </is>
      </c>
      <c r="E383" s="24" t="inlineStr">
        <is>
          <t>北美</t>
        </is>
      </c>
      <c r="F383" s="24" t="inlineStr">
        <is>
          <t>04号泊位</t>
        </is>
      </c>
      <c r="G383" s="25" t="n">
        <v>5812</v>
      </c>
      <c r="H383" s="41" t="n">
        <v>6.46</v>
      </c>
      <c r="I383" s="41" t="n">
        <v>4.04</v>
      </c>
      <c r="J383" s="41" t="n">
        <v>5.7</v>
      </c>
      <c r="K383" s="25" t="n">
        <v>0</v>
      </c>
      <c r="L383" s="26">
        <f>IF(H383&lt;=J383,1,0)</f>
        <v>0</v>
      </c>
    </row>
    <row r="384">
      <c r="A384" s="19" t="inlineStr">
        <is>
          <t>QL-063-5</t>
        </is>
      </c>
      <c r="B384" s="36" t="n">
        <v>45720</v>
      </c>
      <c r="C384" s="37" t="inlineStr">
        <is>
          <t>进港</t>
        </is>
      </c>
      <c r="D384" s="19" t="inlineStr">
        <is>
          <t>液体散货</t>
        </is>
      </c>
      <c r="E384" s="19" t="inlineStr">
        <is>
          <t>东亚</t>
        </is>
      </c>
      <c r="F384" s="19" t="inlineStr">
        <is>
          <t>05号泊位</t>
        </is>
      </c>
      <c r="G384" s="20" t="n">
        <v>4314</v>
      </c>
      <c r="H384" s="38" t="n">
        <v>2.7</v>
      </c>
      <c r="I384" s="38" t="n">
        <v>5.64</v>
      </c>
      <c r="J384" s="38" t="n">
        <v>3</v>
      </c>
      <c r="K384" s="20" t="n">
        <v>0</v>
      </c>
      <c r="L384" s="26">
        <f>IF(H384&lt;=J384,1,0)</f>
        <v>1</v>
      </c>
    </row>
    <row r="385">
      <c r="A385" s="24" t="inlineStr">
        <is>
          <t>QL-063-6</t>
        </is>
      </c>
      <c r="B385" s="39" t="n">
        <v>45720</v>
      </c>
      <c r="C385" s="40" t="inlineStr">
        <is>
          <t>出港</t>
        </is>
      </c>
      <c r="D385" s="24" t="inlineStr">
        <is>
          <t>件杂货</t>
        </is>
      </c>
      <c r="E385" s="24" t="inlineStr">
        <is>
          <t>东南亚</t>
        </is>
      </c>
      <c r="F385" s="24" t="inlineStr">
        <is>
          <t>06号泊位</t>
        </is>
      </c>
      <c r="G385" s="25" t="n">
        <v>3206</v>
      </c>
      <c r="H385" s="41" t="n">
        <v>4.49</v>
      </c>
      <c r="I385" s="41" t="n">
        <v>0.95</v>
      </c>
      <c r="J385" s="41" t="n">
        <v>5.26</v>
      </c>
      <c r="K385" s="25" t="n">
        <v>0</v>
      </c>
      <c r="L385" s="26">
        <f>IF(H385&lt;=J385,1,0)</f>
        <v>1</v>
      </c>
    </row>
    <row r="386">
      <c r="A386" s="19" t="inlineStr">
        <is>
          <t>QL-064-1</t>
        </is>
      </c>
      <c r="B386" s="36" t="n">
        <v>45721</v>
      </c>
      <c r="C386" s="37" t="inlineStr">
        <is>
          <t>进港</t>
        </is>
      </c>
      <c r="D386" s="19" t="inlineStr">
        <is>
          <t>集装箱货物</t>
        </is>
      </c>
      <c r="E386" s="19" t="inlineStr">
        <is>
          <t>国内沿海</t>
        </is>
      </c>
      <c r="F386" s="19" t="inlineStr">
        <is>
          <t>01号泊位</t>
        </is>
      </c>
      <c r="G386" s="20" t="n">
        <v>5354</v>
      </c>
      <c r="H386" s="38" t="n">
        <v>6.77</v>
      </c>
      <c r="I386" s="38" t="n">
        <v>1.1</v>
      </c>
      <c r="J386" s="38" t="n">
        <v>5.95</v>
      </c>
      <c r="K386" s="20" t="n">
        <v>343</v>
      </c>
      <c r="L386" s="26">
        <f>IF(H386&lt;=J386,1,0)</f>
        <v>0</v>
      </c>
    </row>
    <row r="387">
      <c r="A387" s="24" t="inlineStr">
        <is>
          <t>QL-064-2</t>
        </is>
      </c>
      <c r="B387" s="39" t="n">
        <v>45721</v>
      </c>
      <c r="C387" s="40" t="inlineStr">
        <is>
          <t>进港</t>
        </is>
      </c>
      <c r="D387" s="24" t="inlineStr">
        <is>
          <t>金属矿石</t>
        </is>
      </c>
      <c r="E387" s="24" t="inlineStr">
        <is>
          <t>东南亚</t>
        </is>
      </c>
      <c r="F387" s="24" t="inlineStr">
        <is>
          <t>02号泊位</t>
        </is>
      </c>
      <c r="G387" s="25" t="n">
        <v>15349</v>
      </c>
      <c r="H387" s="41" t="n">
        <v>8.119999999999999</v>
      </c>
      <c r="I387" s="41" t="n">
        <v>4.17</v>
      </c>
      <c r="J387" s="41" t="n">
        <v>9.9</v>
      </c>
      <c r="K387" s="25" t="n">
        <v>0</v>
      </c>
      <c r="L387" s="26">
        <f>IF(H387&lt;=J387,1,0)</f>
        <v>1</v>
      </c>
    </row>
    <row r="388">
      <c r="A388" s="19" t="inlineStr">
        <is>
          <t>QL-064-3</t>
        </is>
      </c>
      <c r="B388" s="36" t="n">
        <v>45721</v>
      </c>
      <c r="C388" s="37" t="inlineStr">
        <is>
          <t>进港</t>
        </is>
      </c>
      <c r="D388" s="19" t="inlineStr">
        <is>
          <t>煤炭</t>
        </is>
      </c>
      <c r="E388" s="19" t="inlineStr">
        <is>
          <t>东南亚</t>
        </is>
      </c>
      <c r="F388" s="19" t="inlineStr">
        <is>
          <t>03号泊位</t>
        </is>
      </c>
      <c r="G388" s="20" t="n">
        <v>15795</v>
      </c>
      <c r="H388" s="38" t="n">
        <v>9.800000000000001</v>
      </c>
      <c r="I388" s="38" t="n">
        <v>3.25</v>
      </c>
      <c r="J388" s="38" t="n">
        <v>11.97</v>
      </c>
      <c r="K388" s="20" t="n">
        <v>0</v>
      </c>
      <c r="L388" s="26">
        <f>IF(H388&lt;=J388,1,0)</f>
        <v>1</v>
      </c>
    </row>
    <row r="389">
      <c r="A389" s="24" t="inlineStr">
        <is>
          <t>QL-064-4</t>
        </is>
      </c>
      <c r="B389" s="39" t="n">
        <v>45721</v>
      </c>
      <c r="C389" s="40" t="inlineStr">
        <is>
          <t>进港</t>
        </is>
      </c>
      <c r="D389" s="24" t="inlineStr">
        <is>
          <t>粮食</t>
        </is>
      </c>
      <c r="E389" s="24" t="inlineStr">
        <is>
          <t>东南亚</t>
        </is>
      </c>
      <c r="F389" s="24" t="inlineStr">
        <is>
          <t>04号泊位</t>
        </is>
      </c>
      <c r="G389" s="25" t="n">
        <v>5503</v>
      </c>
      <c r="H389" s="41" t="n">
        <v>6.17</v>
      </c>
      <c r="I389" s="41" t="n">
        <v>4.15</v>
      </c>
      <c r="J389" s="41" t="n">
        <v>5.4</v>
      </c>
      <c r="K389" s="25" t="n">
        <v>0</v>
      </c>
      <c r="L389" s="26">
        <f>IF(H389&lt;=J389,1,0)</f>
        <v>0</v>
      </c>
    </row>
    <row r="390">
      <c r="A390" s="19" t="inlineStr">
        <is>
          <t>QL-064-5</t>
        </is>
      </c>
      <c r="B390" s="36" t="n">
        <v>45721</v>
      </c>
      <c r="C390" s="37" t="inlineStr">
        <is>
          <t>出港</t>
        </is>
      </c>
      <c r="D390" s="19" t="inlineStr">
        <is>
          <t>液体散货</t>
        </is>
      </c>
      <c r="E390" s="19" t="inlineStr">
        <is>
          <t>东亚</t>
        </is>
      </c>
      <c r="F390" s="19" t="inlineStr">
        <is>
          <t>05号泊位</t>
        </is>
      </c>
      <c r="G390" s="20" t="n">
        <v>7855</v>
      </c>
      <c r="H390" s="38" t="n">
        <v>5.38</v>
      </c>
      <c r="I390" s="38" t="n">
        <v>3.73</v>
      </c>
      <c r="J390" s="38" t="n">
        <v>5.45</v>
      </c>
      <c r="K390" s="20" t="n">
        <v>0</v>
      </c>
      <c r="L390" s="26">
        <f>IF(H390&lt;=J390,1,0)</f>
        <v>1</v>
      </c>
    </row>
    <row r="391">
      <c r="A391" s="24" t="inlineStr">
        <is>
          <t>QL-064-6</t>
        </is>
      </c>
      <c r="B391" s="39" t="n">
        <v>45721</v>
      </c>
      <c r="C391" s="40" t="inlineStr">
        <is>
          <t>出港</t>
        </is>
      </c>
      <c r="D391" s="24" t="inlineStr">
        <is>
          <t>件杂货</t>
        </is>
      </c>
      <c r="E391" s="24" t="inlineStr">
        <is>
          <t>欧洲</t>
        </is>
      </c>
      <c r="F391" s="24" t="inlineStr">
        <is>
          <t>06号泊位</t>
        </is>
      </c>
      <c r="G391" s="25" t="n">
        <v>2939</v>
      </c>
      <c r="H391" s="41" t="n">
        <v>5.46</v>
      </c>
      <c r="I391" s="41" t="n">
        <v>1.39</v>
      </c>
      <c r="J391" s="41" t="n">
        <v>4.82</v>
      </c>
      <c r="K391" s="25" t="n">
        <v>0</v>
      </c>
      <c r="L391" s="26">
        <f>IF(H391&lt;=J391,1,0)</f>
        <v>0</v>
      </c>
    </row>
    <row r="392">
      <c r="A392" s="19" t="inlineStr">
        <is>
          <t>QL-065-1</t>
        </is>
      </c>
      <c r="B392" s="36" t="n">
        <v>45722</v>
      </c>
      <c r="C392" s="37" t="inlineStr">
        <is>
          <t>出港</t>
        </is>
      </c>
      <c r="D392" s="19" t="inlineStr">
        <is>
          <t>集装箱货物</t>
        </is>
      </c>
      <c r="E392" s="19" t="inlineStr">
        <is>
          <t>国内沿海</t>
        </is>
      </c>
      <c r="F392" s="19" t="inlineStr">
        <is>
          <t>01号泊位</t>
        </is>
      </c>
      <c r="G392" s="20" t="n">
        <v>3880</v>
      </c>
      <c r="H392" s="38" t="n">
        <v>5.09</v>
      </c>
      <c r="I392" s="38" t="n">
        <v>6.08</v>
      </c>
      <c r="J392" s="38" t="n">
        <v>4.31</v>
      </c>
      <c r="K392" s="20" t="n">
        <v>246</v>
      </c>
      <c r="L392" s="26">
        <f>IF(H392&lt;=J392,1,0)</f>
        <v>0</v>
      </c>
    </row>
    <row r="393">
      <c r="A393" s="24" t="inlineStr">
        <is>
          <t>QL-065-2</t>
        </is>
      </c>
      <c r="B393" s="39" t="n">
        <v>45722</v>
      </c>
      <c r="C393" s="40" t="inlineStr">
        <is>
          <t>进港</t>
        </is>
      </c>
      <c r="D393" s="24" t="inlineStr">
        <is>
          <t>金属矿石</t>
        </is>
      </c>
      <c r="E393" s="24" t="inlineStr">
        <is>
          <t>东亚</t>
        </is>
      </c>
      <c r="F393" s="24" t="inlineStr">
        <is>
          <t>02号泊位</t>
        </is>
      </c>
      <c r="G393" s="25" t="n">
        <v>12847</v>
      </c>
      <c r="H393" s="41" t="n">
        <v>8.43</v>
      </c>
      <c r="I393" s="41" t="n">
        <v>0.54</v>
      </c>
      <c r="J393" s="41" t="n">
        <v>8.289999999999999</v>
      </c>
      <c r="K393" s="25" t="n">
        <v>0</v>
      </c>
      <c r="L393" s="26">
        <f>IF(H393&lt;=J393,1,0)</f>
        <v>0</v>
      </c>
    </row>
    <row r="394">
      <c r="A394" s="19" t="inlineStr">
        <is>
          <t>QL-065-3</t>
        </is>
      </c>
      <c r="B394" s="36" t="n">
        <v>45722</v>
      </c>
      <c r="C394" s="37" t="inlineStr">
        <is>
          <t>进港</t>
        </is>
      </c>
      <c r="D394" s="19" t="inlineStr">
        <is>
          <t>煤炭</t>
        </is>
      </c>
      <c r="E394" s="19" t="inlineStr">
        <is>
          <t>东南亚</t>
        </is>
      </c>
      <c r="F394" s="19" t="inlineStr">
        <is>
          <t>03号泊位</t>
        </is>
      </c>
      <c r="G394" s="20" t="n">
        <v>13458</v>
      </c>
      <c r="H394" s="38" t="n">
        <v>11.18</v>
      </c>
      <c r="I394" s="38" t="n">
        <v>3.95</v>
      </c>
      <c r="J394" s="38" t="n">
        <v>10.2</v>
      </c>
      <c r="K394" s="20" t="n">
        <v>0</v>
      </c>
      <c r="L394" s="26">
        <f>IF(H394&lt;=J394,1,0)</f>
        <v>0</v>
      </c>
    </row>
    <row r="395">
      <c r="A395" s="24" t="inlineStr">
        <is>
          <t>QL-065-4</t>
        </is>
      </c>
      <c r="B395" s="39" t="n">
        <v>45722</v>
      </c>
      <c r="C395" s="40" t="inlineStr">
        <is>
          <t>进港</t>
        </is>
      </c>
      <c r="D395" s="24" t="inlineStr">
        <is>
          <t>粮食</t>
        </is>
      </c>
      <c r="E395" s="24" t="inlineStr">
        <is>
          <t>东南亚</t>
        </is>
      </c>
      <c r="F395" s="24" t="inlineStr">
        <is>
          <t>04号泊位</t>
        </is>
      </c>
      <c r="G395" s="25" t="n">
        <v>5940</v>
      </c>
      <c r="H395" s="41" t="n">
        <v>5.75</v>
      </c>
      <c r="I395" s="41" t="n">
        <v>3.9</v>
      </c>
      <c r="J395" s="41" t="n">
        <v>5.82</v>
      </c>
      <c r="K395" s="25" t="n">
        <v>0</v>
      </c>
      <c r="L395" s="26">
        <f>IF(H395&lt;=J395,1,0)</f>
        <v>1</v>
      </c>
    </row>
    <row r="396">
      <c r="A396" s="19" t="inlineStr">
        <is>
          <t>QL-065-5</t>
        </is>
      </c>
      <c r="B396" s="36" t="n">
        <v>45722</v>
      </c>
      <c r="C396" s="37" t="inlineStr">
        <is>
          <t>出港</t>
        </is>
      </c>
      <c r="D396" s="19" t="inlineStr">
        <is>
          <t>液体散货</t>
        </is>
      </c>
      <c r="E396" s="19" t="inlineStr">
        <is>
          <t>东南亚</t>
        </is>
      </c>
      <c r="F396" s="19" t="inlineStr">
        <is>
          <t>05号泊位</t>
        </is>
      </c>
      <c r="G396" s="20" t="n">
        <v>17775</v>
      </c>
      <c r="H396" s="38" t="n">
        <v>10.77</v>
      </c>
      <c r="I396" s="38" t="n">
        <v>5.06</v>
      </c>
      <c r="J396" s="38" t="n">
        <v>12.34</v>
      </c>
      <c r="K396" s="20" t="n">
        <v>0</v>
      </c>
      <c r="L396" s="26">
        <f>IF(H396&lt;=J396,1,0)</f>
        <v>1</v>
      </c>
    </row>
    <row r="397">
      <c r="A397" s="24" t="inlineStr">
        <is>
          <t>QL-065-6</t>
        </is>
      </c>
      <c r="B397" s="39" t="n">
        <v>45722</v>
      </c>
      <c r="C397" s="40" t="inlineStr">
        <is>
          <t>出港</t>
        </is>
      </c>
      <c r="D397" s="24" t="inlineStr">
        <is>
          <t>件杂货</t>
        </is>
      </c>
      <c r="E397" s="24" t="inlineStr">
        <is>
          <t>欧洲</t>
        </is>
      </c>
      <c r="F397" s="24" t="inlineStr">
        <is>
          <t>06号泊位</t>
        </is>
      </c>
      <c r="G397" s="25" t="n">
        <v>4166</v>
      </c>
      <c r="H397" s="41" t="n">
        <v>6.65</v>
      </c>
      <c r="I397" s="41" t="n">
        <v>3.89</v>
      </c>
      <c r="J397" s="41" t="n">
        <v>6.83</v>
      </c>
      <c r="K397" s="25" t="n">
        <v>0</v>
      </c>
      <c r="L397" s="26">
        <f>IF(H397&lt;=J397,1,0)</f>
        <v>1</v>
      </c>
    </row>
    <row r="398">
      <c r="A398" s="19" t="inlineStr">
        <is>
          <t>QL-066-1</t>
        </is>
      </c>
      <c r="B398" s="36" t="n">
        <v>45723</v>
      </c>
      <c r="C398" s="37" t="inlineStr">
        <is>
          <t>出港</t>
        </is>
      </c>
      <c r="D398" s="19" t="inlineStr">
        <is>
          <t>集装箱货物</t>
        </is>
      </c>
      <c r="E398" s="19" t="inlineStr">
        <is>
          <t>东南亚</t>
        </is>
      </c>
      <c r="F398" s="19" t="inlineStr">
        <is>
          <t>01号泊位</t>
        </is>
      </c>
      <c r="G398" s="20" t="n">
        <v>5582</v>
      </c>
      <c r="H398" s="38" t="n">
        <v>5.72</v>
      </c>
      <c r="I398" s="38" t="n">
        <v>3.61</v>
      </c>
      <c r="J398" s="38" t="n">
        <v>6.2</v>
      </c>
      <c r="K398" s="20" t="n">
        <v>342</v>
      </c>
      <c r="L398" s="26">
        <f>IF(H398&lt;=J398,1,0)</f>
        <v>1</v>
      </c>
    </row>
    <row r="399">
      <c r="A399" s="24" t="inlineStr">
        <is>
          <t>QL-066-2</t>
        </is>
      </c>
      <c r="B399" s="39" t="n">
        <v>45723</v>
      </c>
      <c r="C399" s="40" t="inlineStr">
        <is>
          <t>进港</t>
        </is>
      </c>
      <c r="D399" s="24" t="inlineStr">
        <is>
          <t>金属矿石</t>
        </is>
      </c>
      <c r="E399" s="24" t="inlineStr">
        <is>
          <t>北美</t>
        </is>
      </c>
      <c r="F399" s="24" t="inlineStr">
        <is>
          <t>02号泊位</t>
        </is>
      </c>
      <c r="G399" s="25" t="n">
        <v>15725</v>
      </c>
      <c r="H399" s="41" t="n">
        <v>11.91</v>
      </c>
      <c r="I399" s="41" t="n">
        <v>0.88</v>
      </c>
      <c r="J399" s="41" t="n">
        <v>10.15</v>
      </c>
      <c r="K399" s="25" t="n">
        <v>0</v>
      </c>
      <c r="L399" s="26">
        <f>IF(H399&lt;=J399,1,0)</f>
        <v>0</v>
      </c>
    </row>
    <row r="400">
      <c r="A400" s="19" t="inlineStr">
        <is>
          <t>QL-066-3</t>
        </is>
      </c>
      <c r="B400" s="36" t="n">
        <v>45723</v>
      </c>
      <c r="C400" s="37" t="inlineStr">
        <is>
          <t>出港</t>
        </is>
      </c>
      <c r="D400" s="19" t="inlineStr">
        <is>
          <t>煤炭</t>
        </is>
      </c>
      <c r="E400" s="19" t="inlineStr">
        <is>
          <t>东亚</t>
        </is>
      </c>
      <c r="F400" s="19" t="inlineStr">
        <is>
          <t>03号泊位</t>
        </is>
      </c>
      <c r="G400" s="20" t="n">
        <v>8039</v>
      </c>
      <c r="H400" s="38" t="n">
        <v>4.93</v>
      </c>
      <c r="I400" s="38" t="n">
        <v>1.23</v>
      </c>
      <c r="J400" s="38" t="n">
        <v>6.09</v>
      </c>
      <c r="K400" s="20" t="n">
        <v>0</v>
      </c>
      <c r="L400" s="26">
        <f>IF(H400&lt;=J400,1,0)</f>
        <v>1</v>
      </c>
    </row>
    <row r="401">
      <c r="A401" s="24" t="inlineStr">
        <is>
          <t>QL-066-4</t>
        </is>
      </c>
      <c r="B401" s="39" t="n">
        <v>45723</v>
      </c>
      <c r="C401" s="40" t="inlineStr">
        <is>
          <t>进港</t>
        </is>
      </c>
      <c r="D401" s="24" t="inlineStr">
        <is>
          <t>粮食</t>
        </is>
      </c>
      <c r="E401" s="24" t="inlineStr">
        <is>
          <t>北美</t>
        </is>
      </c>
      <c r="F401" s="24" t="inlineStr">
        <is>
          <t>04号泊位</t>
        </is>
      </c>
      <c r="G401" s="25" t="n">
        <v>7814</v>
      </c>
      <c r="H401" s="41" t="n">
        <v>6.58</v>
      </c>
      <c r="I401" s="41" t="n">
        <v>4.44</v>
      </c>
      <c r="J401" s="41" t="n">
        <v>7.66</v>
      </c>
      <c r="K401" s="25" t="n">
        <v>0</v>
      </c>
      <c r="L401" s="26">
        <f>IF(H401&lt;=J401,1,0)</f>
        <v>1</v>
      </c>
    </row>
    <row r="402">
      <c r="A402" s="19" t="inlineStr">
        <is>
          <t>QL-066-5</t>
        </is>
      </c>
      <c r="B402" s="36" t="n">
        <v>45723</v>
      </c>
      <c r="C402" s="37" t="inlineStr">
        <is>
          <t>出港</t>
        </is>
      </c>
      <c r="D402" s="19" t="inlineStr">
        <is>
          <t>液体散货</t>
        </is>
      </c>
      <c r="E402" s="19" t="inlineStr">
        <is>
          <t>欧洲</t>
        </is>
      </c>
      <c r="F402" s="19" t="inlineStr">
        <is>
          <t>05号泊位</t>
        </is>
      </c>
      <c r="G402" s="20" t="n">
        <v>8117</v>
      </c>
      <c r="H402" s="38" t="n">
        <v>5.5</v>
      </c>
      <c r="I402" s="38" t="n">
        <v>0.72</v>
      </c>
      <c r="J402" s="38" t="n">
        <v>5.64</v>
      </c>
      <c r="K402" s="20" t="n">
        <v>0</v>
      </c>
      <c r="L402" s="26">
        <f>IF(H402&lt;=J402,1,0)</f>
        <v>1</v>
      </c>
    </row>
    <row r="403">
      <c r="A403" s="24" t="inlineStr">
        <is>
          <t>QL-066-6</t>
        </is>
      </c>
      <c r="B403" s="39" t="n">
        <v>45723</v>
      </c>
      <c r="C403" s="40" t="inlineStr">
        <is>
          <t>出港</t>
        </is>
      </c>
      <c r="D403" s="24" t="inlineStr">
        <is>
          <t>件杂货</t>
        </is>
      </c>
      <c r="E403" s="24" t="inlineStr">
        <is>
          <t>东南亚</t>
        </is>
      </c>
      <c r="F403" s="24" t="inlineStr">
        <is>
          <t>06号泊位</t>
        </is>
      </c>
      <c r="G403" s="25" t="n">
        <v>3122</v>
      </c>
      <c r="H403" s="41" t="n">
        <v>5.3</v>
      </c>
      <c r="I403" s="41" t="n">
        <v>5.05</v>
      </c>
      <c r="J403" s="41" t="n">
        <v>5.12</v>
      </c>
      <c r="K403" s="25" t="n">
        <v>0</v>
      </c>
      <c r="L403" s="26">
        <f>IF(H403&lt;=J403,1,0)</f>
        <v>0</v>
      </c>
    </row>
    <row r="404">
      <c r="A404" s="19" t="inlineStr">
        <is>
          <t>QL-067-1</t>
        </is>
      </c>
      <c r="B404" s="36" t="n">
        <v>45724</v>
      </c>
      <c r="C404" s="37" t="inlineStr">
        <is>
          <t>出港</t>
        </is>
      </c>
      <c r="D404" s="19" t="inlineStr">
        <is>
          <t>集装箱货物</t>
        </is>
      </c>
      <c r="E404" s="19" t="inlineStr">
        <is>
          <t>国内沿海</t>
        </is>
      </c>
      <c r="F404" s="19" t="inlineStr">
        <is>
          <t>01号泊位</t>
        </is>
      </c>
      <c r="G404" s="20" t="n">
        <v>5886</v>
      </c>
      <c r="H404" s="38" t="n">
        <v>7.14</v>
      </c>
      <c r="I404" s="38" t="n">
        <v>5.66</v>
      </c>
      <c r="J404" s="38" t="n">
        <v>6.54</v>
      </c>
      <c r="K404" s="20" t="n">
        <v>363</v>
      </c>
      <c r="L404" s="26">
        <f>IF(H404&lt;=J404,1,0)</f>
        <v>0</v>
      </c>
    </row>
    <row r="405">
      <c r="A405" s="24" t="inlineStr">
        <is>
          <t>QL-067-2</t>
        </is>
      </c>
      <c r="B405" s="39" t="n">
        <v>45724</v>
      </c>
      <c r="C405" s="40" t="inlineStr">
        <is>
          <t>进港</t>
        </is>
      </c>
      <c r="D405" s="24" t="inlineStr">
        <is>
          <t>金属矿石</t>
        </is>
      </c>
      <c r="E405" s="24" t="inlineStr">
        <is>
          <t>东亚</t>
        </is>
      </c>
      <c r="F405" s="24" t="inlineStr">
        <is>
          <t>02号泊位</t>
        </is>
      </c>
      <c r="G405" s="25" t="n">
        <v>18923</v>
      </c>
      <c r="H405" s="41" t="n">
        <v>11.22</v>
      </c>
      <c r="I405" s="41" t="n">
        <v>0.67</v>
      </c>
      <c r="J405" s="41" t="n">
        <v>12.21</v>
      </c>
      <c r="K405" s="25" t="n">
        <v>0</v>
      </c>
      <c r="L405" s="26">
        <f>IF(H405&lt;=J405,1,0)</f>
        <v>1</v>
      </c>
    </row>
    <row r="406">
      <c r="A406" s="19" t="inlineStr">
        <is>
          <t>QL-067-3</t>
        </is>
      </c>
      <c r="B406" s="36" t="n">
        <v>45724</v>
      </c>
      <c r="C406" s="37" t="inlineStr">
        <is>
          <t>进港</t>
        </is>
      </c>
      <c r="D406" s="19" t="inlineStr">
        <is>
          <t>煤炭</t>
        </is>
      </c>
      <c r="E406" s="19" t="inlineStr">
        <is>
          <t>东亚</t>
        </is>
      </c>
      <c r="F406" s="19" t="inlineStr">
        <is>
          <t>03号泊位</t>
        </is>
      </c>
      <c r="G406" s="20" t="n">
        <v>12572</v>
      </c>
      <c r="H406" s="38" t="n">
        <v>8.98</v>
      </c>
      <c r="I406" s="38" t="n">
        <v>2.57</v>
      </c>
      <c r="J406" s="38" t="n">
        <v>9.52</v>
      </c>
      <c r="K406" s="20" t="n">
        <v>0</v>
      </c>
      <c r="L406" s="26">
        <f>IF(H406&lt;=J406,1,0)</f>
        <v>1</v>
      </c>
    </row>
    <row r="407">
      <c r="A407" s="24" t="inlineStr">
        <is>
          <t>QL-067-4</t>
        </is>
      </c>
      <c r="B407" s="39" t="n">
        <v>45724</v>
      </c>
      <c r="C407" s="40" t="inlineStr">
        <is>
          <t>进港</t>
        </is>
      </c>
      <c r="D407" s="24" t="inlineStr">
        <is>
          <t>粮食</t>
        </is>
      </c>
      <c r="E407" s="24" t="inlineStr">
        <is>
          <t>北美</t>
        </is>
      </c>
      <c r="F407" s="24" t="inlineStr">
        <is>
          <t>04号泊位</t>
        </is>
      </c>
      <c r="G407" s="25" t="n">
        <v>4337</v>
      </c>
      <c r="H407" s="41" t="n">
        <v>4.74</v>
      </c>
      <c r="I407" s="41" t="n">
        <v>1.24</v>
      </c>
      <c r="J407" s="41" t="n">
        <v>4.25</v>
      </c>
      <c r="K407" s="25" t="n">
        <v>0</v>
      </c>
      <c r="L407" s="26">
        <f>IF(H407&lt;=J407,1,0)</f>
        <v>0</v>
      </c>
    </row>
    <row r="408">
      <c r="A408" s="19" t="inlineStr">
        <is>
          <t>QL-067-5</t>
        </is>
      </c>
      <c r="B408" s="36" t="n">
        <v>45724</v>
      </c>
      <c r="C408" s="37" t="inlineStr">
        <is>
          <t>出港</t>
        </is>
      </c>
      <c r="D408" s="19" t="inlineStr">
        <is>
          <t>液体散货</t>
        </is>
      </c>
      <c r="E408" s="19" t="inlineStr">
        <is>
          <t>东亚</t>
        </is>
      </c>
      <c r="F408" s="19" t="inlineStr">
        <is>
          <t>05号泊位</t>
        </is>
      </c>
      <c r="G408" s="20" t="n">
        <v>7473</v>
      </c>
      <c r="H408" s="38" t="n">
        <v>6.02</v>
      </c>
      <c r="I408" s="38" t="n">
        <v>3.86</v>
      </c>
      <c r="J408" s="38" t="n">
        <v>5.19</v>
      </c>
      <c r="K408" s="20" t="n">
        <v>0</v>
      </c>
      <c r="L408" s="26">
        <f>IF(H408&lt;=J408,1,0)</f>
        <v>0</v>
      </c>
    </row>
    <row r="409">
      <c r="A409" s="24" t="inlineStr">
        <is>
          <t>QL-067-6</t>
        </is>
      </c>
      <c r="B409" s="39" t="n">
        <v>45724</v>
      </c>
      <c r="C409" s="40" t="inlineStr">
        <is>
          <t>出港</t>
        </is>
      </c>
      <c r="D409" s="24" t="inlineStr">
        <is>
          <t>件杂货</t>
        </is>
      </c>
      <c r="E409" s="24" t="inlineStr">
        <is>
          <t>北美</t>
        </is>
      </c>
      <c r="F409" s="24" t="inlineStr">
        <is>
          <t>06号泊位</t>
        </is>
      </c>
      <c r="G409" s="25" t="n">
        <v>3868</v>
      </c>
      <c r="H409" s="41" t="n">
        <v>7.28</v>
      </c>
      <c r="I409" s="41" t="n">
        <v>4.18</v>
      </c>
      <c r="J409" s="41" t="n">
        <v>6.34</v>
      </c>
      <c r="K409" s="25" t="n">
        <v>0</v>
      </c>
      <c r="L409" s="26">
        <f>IF(H409&lt;=J409,1,0)</f>
        <v>0</v>
      </c>
    </row>
    <row r="410">
      <c r="A410" s="19" t="inlineStr">
        <is>
          <t>QL-068-1</t>
        </is>
      </c>
      <c r="B410" s="36" t="n">
        <v>45725</v>
      </c>
      <c r="C410" s="37" t="inlineStr">
        <is>
          <t>出港</t>
        </is>
      </c>
      <c r="D410" s="19" t="inlineStr">
        <is>
          <t>集装箱货物</t>
        </is>
      </c>
      <c r="E410" s="19" t="inlineStr">
        <is>
          <t>北美</t>
        </is>
      </c>
      <c r="F410" s="19" t="inlineStr">
        <is>
          <t>01号泊位</t>
        </is>
      </c>
      <c r="G410" s="20" t="n">
        <v>7309</v>
      </c>
      <c r="H410" s="38" t="n">
        <v>9.44</v>
      </c>
      <c r="I410" s="38" t="n">
        <v>2.9</v>
      </c>
      <c r="J410" s="38" t="n">
        <v>8.119999999999999</v>
      </c>
      <c r="K410" s="20" t="n">
        <v>453</v>
      </c>
      <c r="L410" s="26">
        <f>IF(H410&lt;=J410,1,0)</f>
        <v>0</v>
      </c>
    </row>
    <row r="411">
      <c r="A411" s="24" t="inlineStr">
        <is>
          <t>QL-068-2</t>
        </is>
      </c>
      <c r="B411" s="39" t="n">
        <v>45725</v>
      </c>
      <c r="C411" s="40" t="inlineStr">
        <is>
          <t>进港</t>
        </is>
      </c>
      <c r="D411" s="24" t="inlineStr">
        <is>
          <t>金属矿石</t>
        </is>
      </c>
      <c r="E411" s="24" t="inlineStr">
        <is>
          <t>东亚</t>
        </is>
      </c>
      <c r="F411" s="24" t="inlineStr">
        <is>
          <t>02号泊位</t>
        </is>
      </c>
      <c r="G411" s="25" t="n">
        <v>12762</v>
      </c>
      <c r="H411" s="41" t="n">
        <v>8.48</v>
      </c>
      <c r="I411" s="41" t="n">
        <v>2</v>
      </c>
      <c r="J411" s="41" t="n">
        <v>8.23</v>
      </c>
      <c r="K411" s="25" t="n">
        <v>0</v>
      </c>
      <c r="L411" s="26">
        <f>IF(H411&lt;=J411,1,0)</f>
        <v>0</v>
      </c>
    </row>
    <row r="412">
      <c r="A412" s="19" t="inlineStr">
        <is>
          <t>QL-068-3</t>
        </is>
      </c>
      <c r="B412" s="36" t="n">
        <v>45725</v>
      </c>
      <c r="C412" s="37" t="inlineStr">
        <is>
          <t>出港</t>
        </is>
      </c>
      <c r="D412" s="19" t="inlineStr">
        <is>
          <t>煤炭</t>
        </is>
      </c>
      <c r="E412" s="19" t="inlineStr">
        <is>
          <t>东南亚</t>
        </is>
      </c>
      <c r="F412" s="19" t="inlineStr">
        <is>
          <t>03号泊位</t>
        </is>
      </c>
      <c r="G412" s="20" t="n">
        <v>11376</v>
      </c>
      <c r="H412" s="38" t="n">
        <v>7.39</v>
      </c>
      <c r="I412" s="38" t="n">
        <v>1.4</v>
      </c>
      <c r="J412" s="38" t="n">
        <v>8.619999999999999</v>
      </c>
      <c r="K412" s="20" t="n">
        <v>0</v>
      </c>
      <c r="L412" s="26">
        <f>IF(H412&lt;=J412,1,0)</f>
        <v>1</v>
      </c>
    </row>
    <row r="413">
      <c r="A413" s="24" t="inlineStr">
        <is>
          <t>QL-068-4</t>
        </is>
      </c>
      <c r="B413" s="39" t="n">
        <v>45725</v>
      </c>
      <c r="C413" s="40" t="inlineStr">
        <is>
          <t>进港</t>
        </is>
      </c>
      <c r="D413" s="24" t="inlineStr">
        <is>
          <t>粮食</t>
        </is>
      </c>
      <c r="E413" s="24" t="inlineStr">
        <is>
          <t>北美</t>
        </is>
      </c>
      <c r="F413" s="24" t="inlineStr">
        <is>
          <t>04号泊位</t>
        </is>
      </c>
      <c r="G413" s="25" t="n">
        <v>14572</v>
      </c>
      <c r="H413" s="41" t="n">
        <v>16.47</v>
      </c>
      <c r="I413" s="41" t="n">
        <v>2.85</v>
      </c>
      <c r="J413" s="41" t="n">
        <v>14.29</v>
      </c>
      <c r="K413" s="25" t="n">
        <v>0</v>
      </c>
      <c r="L413" s="26">
        <f>IF(H413&lt;=J413,1,0)</f>
        <v>0</v>
      </c>
    </row>
    <row r="414">
      <c r="A414" s="19" t="inlineStr">
        <is>
          <t>QL-068-5</t>
        </is>
      </c>
      <c r="B414" s="36" t="n">
        <v>45725</v>
      </c>
      <c r="C414" s="37" t="inlineStr">
        <is>
          <t>进港</t>
        </is>
      </c>
      <c r="D414" s="19" t="inlineStr">
        <is>
          <t>液体散货</t>
        </is>
      </c>
      <c r="E414" s="19" t="inlineStr">
        <is>
          <t>东南亚</t>
        </is>
      </c>
      <c r="F414" s="19" t="inlineStr">
        <is>
          <t>05号泊位</t>
        </is>
      </c>
      <c r="G414" s="20" t="n">
        <v>9904</v>
      </c>
      <c r="H414" s="38" t="n">
        <v>6.32</v>
      </c>
      <c r="I414" s="38" t="n">
        <v>0.95</v>
      </c>
      <c r="J414" s="38" t="n">
        <v>6.88</v>
      </c>
      <c r="K414" s="20" t="n">
        <v>0</v>
      </c>
      <c r="L414" s="26">
        <f>IF(H414&lt;=J414,1,0)</f>
        <v>1</v>
      </c>
    </row>
    <row r="415">
      <c r="A415" s="24" t="inlineStr">
        <is>
          <t>QL-068-6</t>
        </is>
      </c>
      <c r="B415" s="39" t="n">
        <v>45725</v>
      </c>
      <c r="C415" s="40" t="inlineStr">
        <is>
          <t>出港</t>
        </is>
      </c>
      <c r="D415" s="24" t="inlineStr">
        <is>
          <t>件杂货</t>
        </is>
      </c>
      <c r="E415" s="24" t="inlineStr">
        <is>
          <t>欧洲</t>
        </is>
      </c>
      <c r="F415" s="24" t="inlineStr">
        <is>
          <t>06号泊位</t>
        </is>
      </c>
      <c r="G415" s="25" t="n">
        <v>4775</v>
      </c>
      <c r="H415" s="41" t="n">
        <v>7.47</v>
      </c>
      <c r="I415" s="41" t="n">
        <v>3.46</v>
      </c>
      <c r="J415" s="41" t="n">
        <v>7.83</v>
      </c>
      <c r="K415" s="25" t="n">
        <v>0</v>
      </c>
      <c r="L415" s="26">
        <f>IF(H415&lt;=J415,1,0)</f>
        <v>1</v>
      </c>
    </row>
    <row r="416">
      <c r="A416" s="19" t="inlineStr">
        <is>
          <t>QL-069-1</t>
        </is>
      </c>
      <c r="B416" s="36" t="n">
        <v>45726</v>
      </c>
      <c r="C416" s="37" t="inlineStr">
        <is>
          <t>进港</t>
        </is>
      </c>
      <c r="D416" s="19" t="inlineStr">
        <is>
          <t>集装箱货物</t>
        </is>
      </c>
      <c r="E416" s="19" t="inlineStr">
        <is>
          <t>东南亚</t>
        </is>
      </c>
      <c r="F416" s="19" t="inlineStr">
        <is>
          <t>01号泊位</t>
        </is>
      </c>
      <c r="G416" s="20" t="n">
        <v>7533</v>
      </c>
      <c r="H416" s="38" t="n">
        <v>8.19</v>
      </c>
      <c r="I416" s="38" t="n">
        <v>3.23</v>
      </c>
      <c r="J416" s="38" t="n">
        <v>8.369999999999999</v>
      </c>
      <c r="K416" s="20" t="n">
        <v>622</v>
      </c>
      <c r="L416" s="26">
        <f>IF(H416&lt;=J416,1,0)</f>
        <v>1</v>
      </c>
    </row>
    <row r="417">
      <c r="A417" s="24" t="inlineStr">
        <is>
          <t>QL-069-2</t>
        </is>
      </c>
      <c r="B417" s="39" t="n">
        <v>45726</v>
      </c>
      <c r="C417" s="40" t="inlineStr">
        <is>
          <t>出港</t>
        </is>
      </c>
      <c r="D417" s="24" t="inlineStr">
        <is>
          <t>金属矿石</t>
        </is>
      </c>
      <c r="E417" s="24" t="inlineStr">
        <is>
          <t>东亚</t>
        </is>
      </c>
      <c r="F417" s="24" t="inlineStr">
        <is>
          <t>02号泊位</t>
        </is>
      </c>
      <c r="G417" s="25" t="n">
        <v>15044</v>
      </c>
      <c r="H417" s="41" t="n">
        <v>9.85</v>
      </c>
      <c r="I417" s="41" t="n">
        <v>1.61</v>
      </c>
      <c r="J417" s="41" t="n">
        <v>9.710000000000001</v>
      </c>
      <c r="K417" s="25" t="n">
        <v>0</v>
      </c>
      <c r="L417" s="26">
        <f>IF(H417&lt;=J417,1,0)</f>
        <v>0</v>
      </c>
    </row>
    <row r="418">
      <c r="A418" s="19" t="inlineStr">
        <is>
          <t>QL-069-3</t>
        </is>
      </c>
      <c r="B418" s="36" t="n">
        <v>45726</v>
      </c>
      <c r="C418" s="37" t="inlineStr">
        <is>
          <t>进港</t>
        </is>
      </c>
      <c r="D418" s="19" t="inlineStr">
        <is>
          <t>煤炭</t>
        </is>
      </c>
      <c r="E418" s="19" t="inlineStr">
        <is>
          <t>东南亚</t>
        </is>
      </c>
      <c r="F418" s="19" t="inlineStr">
        <is>
          <t>03号泊位</t>
        </is>
      </c>
      <c r="G418" s="20" t="n">
        <v>9147</v>
      </c>
      <c r="H418" s="38" t="n">
        <v>7.99</v>
      </c>
      <c r="I418" s="38" t="n">
        <v>1.82</v>
      </c>
      <c r="J418" s="38" t="n">
        <v>6.93</v>
      </c>
      <c r="K418" s="20" t="n">
        <v>0</v>
      </c>
      <c r="L418" s="26">
        <f>IF(H418&lt;=J418,1,0)</f>
        <v>0</v>
      </c>
    </row>
    <row r="419">
      <c r="A419" s="24" t="inlineStr">
        <is>
          <t>QL-069-4</t>
        </is>
      </c>
      <c r="B419" s="39" t="n">
        <v>45726</v>
      </c>
      <c r="C419" s="40" t="inlineStr">
        <is>
          <t>进港</t>
        </is>
      </c>
      <c r="D419" s="24" t="inlineStr">
        <is>
          <t>粮食</t>
        </is>
      </c>
      <c r="E419" s="24" t="inlineStr">
        <is>
          <t>东亚</t>
        </is>
      </c>
      <c r="F419" s="24" t="inlineStr">
        <is>
          <t>04号泊位</t>
        </is>
      </c>
      <c r="G419" s="25" t="n">
        <v>7945</v>
      </c>
      <c r="H419" s="41" t="n">
        <v>8.140000000000001</v>
      </c>
      <c r="I419" s="41" t="n">
        <v>1.08</v>
      </c>
      <c r="J419" s="41" t="n">
        <v>7.79</v>
      </c>
      <c r="K419" s="25" t="n">
        <v>0</v>
      </c>
      <c r="L419" s="26">
        <f>IF(H419&lt;=J419,1,0)</f>
        <v>0</v>
      </c>
    </row>
    <row r="420">
      <c r="A420" s="19" t="inlineStr">
        <is>
          <t>QL-069-5</t>
        </is>
      </c>
      <c r="B420" s="36" t="n">
        <v>45726</v>
      </c>
      <c r="C420" s="37" t="inlineStr">
        <is>
          <t>进港</t>
        </is>
      </c>
      <c r="D420" s="19" t="inlineStr">
        <is>
          <t>液体散货</t>
        </is>
      </c>
      <c r="E420" s="19" t="inlineStr">
        <is>
          <t>欧洲</t>
        </is>
      </c>
      <c r="F420" s="19" t="inlineStr">
        <is>
          <t>05号泊位</t>
        </is>
      </c>
      <c r="G420" s="20" t="n">
        <v>6814</v>
      </c>
      <c r="H420" s="38" t="n">
        <v>5.4</v>
      </c>
      <c r="I420" s="38" t="n">
        <v>2.47</v>
      </c>
      <c r="J420" s="38" t="n">
        <v>4.73</v>
      </c>
      <c r="K420" s="20" t="n">
        <v>0</v>
      </c>
      <c r="L420" s="26">
        <f>IF(H420&lt;=J420,1,0)</f>
        <v>0</v>
      </c>
    </row>
    <row r="421">
      <c r="A421" s="24" t="inlineStr">
        <is>
          <t>QL-069-6</t>
        </is>
      </c>
      <c r="B421" s="39" t="n">
        <v>45726</v>
      </c>
      <c r="C421" s="40" t="inlineStr">
        <is>
          <t>出港</t>
        </is>
      </c>
      <c r="D421" s="24" t="inlineStr">
        <is>
          <t>件杂货</t>
        </is>
      </c>
      <c r="E421" s="24" t="inlineStr">
        <is>
          <t>东亚</t>
        </is>
      </c>
      <c r="F421" s="24" t="inlineStr">
        <is>
          <t>06号泊位</t>
        </is>
      </c>
      <c r="G421" s="25" t="n">
        <v>5785</v>
      </c>
      <c r="H421" s="41" t="n">
        <v>11.08</v>
      </c>
      <c r="I421" s="41" t="n">
        <v>1.26</v>
      </c>
      <c r="J421" s="41" t="n">
        <v>9.48</v>
      </c>
      <c r="K421" s="25" t="n">
        <v>0</v>
      </c>
      <c r="L421" s="26">
        <f>IF(H421&lt;=J421,1,0)</f>
        <v>0</v>
      </c>
    </row>
    <row r="422">
      <c r="A422" s="19" t="inlineStr">
        <is>
          <t>QL-070-1</t>
        </is>
      </c>
      <c r="B422" s="36" t="n">
        <v>45727</v>
      </c>
      <c r="C422" s="37" t="inlineStr">
        <is>
          <t>出港</t>
        </is>
      </c>
      <c r="D422" s="19" t="inlineStr">
        <is>
          <t>集装箱货物</t>
        </is>
      </c>
      <c r="E422" s="19" t="inlineStr">
        <is>
          <t>国内沿海</t>
        </is>
      </c>
      <c r="F422" s="19" t="inlineStr">
        <is>
          <t>01号泊位</t>
        </is>
      </c>
      <c r="G422" s="20" t="n">
        <v>7495</v>
      </c>
      <c r="H422" s="38" t="n">
        <v>9.300000000000001</v>
      </c>
      <c r="I422" s="38" t="n">
        <v>2.27</v>
      </c>
      <c r="J422" s="38" t="n">
        <v>8.33</v>
      </c>
      <c r="K422" s="20" t="n">
        <v>540</v>
      </c>
      <c r="L422" s="26">
        <f>IF(H422&lt;=J422,1,0)</f>
        <v>0</v>
      </c>
    </row>
    <row r="423">
      <c r="A423" s="24" t="inlineStr">
        <is>
          <t>QL-070-2</t>
        </is>
      </c>
      <c r="B423" s="39" t="n">
        <v>45727</v>
      </c>
      <c r="C423" s="40" t="inlineStr">
        <is>
          <t>出港</t>
        </is>
      </c>
      <c r="D423" s="24" t="inlineStr">
        <is>
          <t>金属矿石</t>
        </is>
      </c>
      <c r="E423" s="24" t="inlineStr">
        <is>
          <t>国内沿海</t>
        </is>
      </c>
      <c r="F423" s="24" t="inlineStr">
        <is>
          <t>02号泊位</t>
        </is>
      </c>
      <c r="G423" s="25" t="n">
        <v>24899</v>
      </c>
      <c r="H423" s="41" t="n">
        <v>17.47</v>
      </c>
      <c r="I423" s="41" t="n">
        <v>3.9</v>
      </c>
      <c r="J423" s="41" t="n">
        <v>16.06</v>
      </c>
      <c r="K423" s="25" t="n">
        <v>0</v>
      </c>
      <c r="L423" s="26">
        <f>IF(H423&lt;=J423,1,0)</f>
        <v>0</v>
      </c>
    </row>
    <row r="424">
      <c r="A424" s="19" t="inlineStr">
        <is>
          <t>QL-070-3</t>
        </is>
      </c>
      <c r="B424" s="36" t="n">
        <v>45727</v>
      </c>
      <c r="C424" s="37" t="inlineStr">
        <is>
          <t>进港</t>
        </is>
      </c>
      <c r="D424" s="19" t="inlineStr">
        <is>
          <t>煤炭</t>
        </is>
      </c>
      <c r="E424" s="19" t="inlineStr">
        <is>
          <t>东南亚</t>
        </is>
      </c>
      <c r="F424" s="19" t="inlineStr">
        <is>
          <t>03号泊位</t>
        </is>
      </c>
      <c r="G424" s="20" t="n">
        <v>13770</v>
      </c>
      <c r="H424" s="38" t="n">
        <v>11.57</v>
      </c>
      <c r="I424" s="38" t="n">
        <v>2.4</v>
      </c>
      <c r="J424" s="38" t="n">
        <v>10.43</v>
      </c>
      <c r="K424" s="20" t="n">
        <v>0</v>
      </c>
      <c r="L424" s="26">
        <f>IF(H424&lt;=J424,1,0)</f>
        <v>0</v>
      </c>
    </row>
    <row r="425">
      <c r="A425" s="24" t="inlineStr">
        <is>
          <t>QL-070-4</t>
        </is>
      </c>
      <c r="B425" s="39" t="n">
        <v>45727</v>
      </c>
      <c r="C425" s="40" t="inlineStr">
        <is>
          <t>进港</t>
        </is>
      </c>
      <c r="D425" s="24" t="inlineStr">
        <is>
          <t>粮食</t>
        </is>
      </c>
      <c r="E425" s="24" t="inlineStr">
        <is>
          <t>东南亚</t>
        </is>
      </c>
      <c r="F425" s="24" t="inlineStr">
        <is>
          <t>04号泊位</t>
        </is>
      </c>
      <c r="G425" s="25" t="n">
        <v>7203</v>
      </c>
      <c r="H425" s="41" t="n">
        <v>8</v>
      </c>
      <c r="I425" s="41" t="n">
        <v>0.37</v>
      </c>
      <c r="J425" s="41" t="n">
        <v>7.06</v>
      </c>
      <c r="K425" s="25" t="n">
        <v>0</v>
      </c>
      <c r="L425" s="26">
        <f>IF(H425&lt;=J425,1,0)</f>
        <v>0</v>
      </c>
    </row>
    <row r="426">
      <c r="A426" s="19" t="inlineStr">
        <is>
          <t>QL-070-5</t>
        </is>
      </c>
      <c r="B426" s="36" t="n">
        <v>45727</v>
      </c>
      <c r="C426" s="37" t="inlineStr">
        <is>
          <t>进港</t>
        </is>
      </c>
      <c r="D426" s="19" t="inlineStr">
        <is>
          <t>液体散货</t>
        </is>
      </c>
      <c r="E426" s="19" t="inlineStr">
        <is>
          <t>北美</t>
        </is>
      </c>
      <c r="F426" s="19" t="inlineStr">
        <is>
          <t>05号泊位</t>
        </is>
      </c>
      <c r="G426" s="20" t="n">
        <v>14225</v>
      </c>
      <c r="H426" s="38" t="n">
        <v>9.4</v>
      </c>
      <c r="I426" s="38" t="n">
        <v>0.3</v>
      </c>
      <c r="J426" s="38" t="n">
        <v>9.880000000000001</v>
      </c>
      <c r="K426" s="20" t="n">
        <v>0</v>
      </c>
      <c r="L426" s="26">
        <f>IF(H426&lt;=J426,1,0)</f>
        <v>1</v>
      </c>
    </row>
    <row r="427">
      <c r="A427" s="24" t="inlineStr">
        <is>
          <t>QL-070-6</t>
        </is>
      </c>
      <c r="B427" s="39" t="n">
        <v>45727</v>
      </c>
      <c r="C427" s="40" t="inlineStr">
        <is>
          <t>出港</t>
        </is>
      </c>
      <c r="D427" s="24" t="inlineStr">
        <is>
          <t>件杂货</t>
        </is>
      </c>
      <c r="E427" s="24" t="inlineStr">
        <is>
          <t>国内沿海</t>
        </is>
      </c>
      <c r="F427" s="24" t="inlineStr">
        <is>
          <t>06号泊位</t>
        </is>
      </c>
      <c r="G427" s="25" t="n">
        <v>3457</v>
      </c>
      <c r="H427" s="41" t="n">
        <v>5.12</v>
      </c>
      <c r="I427" s="41" t="n">
        <v>2.25</v>
      </c>
      <c r="J427" s="41" t="n">
        <v>5.67</v>
      </c>
      <c r="K427" s="25" t="n">
        <v>0</v>
      </c>
      <c r="L427" s="26">
        <f>IF(H427&lt;=J427,1,0)</f>
        <v>1</v>
      </c>
    </row>
    <row r="428">
      <c r="A428" s="19" t="inlineStr">
        <is>
          <t>QL-071-1</t>
        </is>
      </c>
      <c r="B428" s="36" t="n">
        <v>45728</v>
      </c>
      <c r="C428" s="37" t="inlineStr">
        <is>
          <t>出港</t>
        </is>
      </c>
      <c r="D428" s="19" t="inlineStr">
        <is>
          <t>集装箱货物</t>
        </is>
      </c>
      <c r="E428" s="19" t="inlineStr">
        <is>
          <t>国内沿海</t>
        </is>
      </c>
      <c r="F428" s="19" t="inlineStr">
        <is>
          <t>01号泊位</t>
        </is>
      </c>
      <c r="G428" s="20" t="n">
        <v>9255</v>
      </c>
      <c r="H428" s="38" t="n">
        <v>10.45</v>
      </c>
      <c r="I428" s="38" t="n">
        <v>3.8</v>
      </c>
      <c r="J428" s="38" t="n">
        <v>10.28</v>
      </c>
      <c r="K428" s="20" t="n">
        <v>545</v>
      </c>
      <c r="L428" s="26">
        <f>IF(H428&lt;=J428,1,0)</f>
        <v>0</v>
      </c>
    </row>
    <row r="429">
      <c r="A429" s="24" t="inlineStr">
        <is>
          <t>QL-071-2</t>
        </is>
      </c>
      <c r="B429" s="39" t="n">
        <v>45728</v>
      </c>
      <c r="C429" s="40" t="inlineStr">
        <is>
          <t>进港</t>
        </is>
      </c>
      <c r="D429" s="24" t="inlineStr">
        <is>
          <t>金属矿石</t>
        </is>
      </c>
      <c r="E429" s="24" t="inlineStr">
        <is>
          <t>东亚</t>
        </is>
      </c>
      <c r="F429" s="24" t="inlineStr">
        <is>
          <t>02号泊位</t>
        </is>
      </c>
      <c r="G429" s="25" t="n">
        <v>14454</v>
      </c>
      <c r="H429" s="41" t="n">
        <v>10.1</v>
      </c>
      <c r="I429" s="41" t="n">
        <v>2.37</v>
      </c>
      <c r="J429" s="41" t="n">
        <v>9.33</v>
      </c>
      <c r="K429" s="25" t="n">
        <v>0</v>
      </c>
      <c r="L429" s="26">
        <f>IF(H429&lt;=J429,1,0)</f>
        <v>0</v>
      </c>
    </row>
    <row r="430">
      <c r="A430" s="19" t="inlineStr">
        <is>
          <t>QL-071-3</t>
        </is>
      </c>
      <c r="B430" s="36" t="n">
        <v>45728</v>
      </c>
      <c r="C430" s="37" t="inlineStr">
        <is>
          <t>进港</t>
        </is>
      </c>
      <c r="D430" s="19" t="inlineStr">
        <is>
          <t>煤炭</t>
        </is>
      </c>
      <c r="E430" s="19" t="inlineStr">
        <is>
          <t>东亚</t>
        </is>
      </c>
      <c r="F430" s="19" t="inlineStr">
        <is>
          <t>03号泊位</t>
        </is>
      </c>
      <c r="G430" s="20" t="n">
        <v>9929</v>
      </c>
      <c r="H430" s="38" t="n">
        <v>6.09</v>
      </c>
      <c r="I430" s="38" t="n">
        <v>0.54</v>
      </c>
      <c r="J430" s="38" t="n">
        <v>7.52</v>
      </c>
      <c r="K430" s="20" t="n">
        <v>0</v>
      </c>
      <c r="L430" s="26">
        <f>IF(H430&lt;=J430,1,0)</f>
        <v>1</v>
      </c>
    </row>
    <row r="431">
      <c r="A431" s="24" t="inlineStr">
        <is>
          <t>QL-071-4</t>
        </is>
      </c>
      <c r="B431" s="39" t="n">
        <v>45728</v>
      </c>
      <c r="C431" s="40" t="inlineStr">
        <is>
          <t>进港</t>
        </is>
      </c>
      <c r="D431" s="24" t="inlineStr">
        <is>
          <t>粮食</t>
        </is>
      </c>
      <c r="E431" s="24" t="inlineStr">
        <is>
          <t>东南亚</t>
        </is>
      </c>
      <c r="F431" s="24" t="inlineStr">
        <is>
          <t>04号泊位</t>
        </is>
      </c>
      <c r="G431" s="25" t="n">
        <v>7147</v>
      </c>
      <c r="H431" s="41" t="n">
        <v>7.91</v>
      </c>
      <c r="I431" s="41" t="n">
        <v>0.3</v>
      </c>
      <c r="J431" s="41" t="n">
        <v>7.01</v>
      </c>
      <c r="K431" s="25" t="n">
        <v>0</v>
      </c>
      <c r="L431" s="26">
        <f>IF(H431&lt;=J431,1,0)</f>
        <v>0</v>
      </c>
    </row>
    <row r="432">
      <c r="A432" s="19" t="inlineStr">
        <is>
          <t>QL-071-5</t>
        </is>
      </c>
      <c r="B432" s="36" t="n">
        <v>45728</v>
      </c>
      <c r="C432" s="37" t="inlineStr">
        <is>
          <t>进港</t>
        </is>
      </c>
      <c r="D432" s="19" t="inlineStr">
        <is>
          <t>液体散货</t>
        </is>
      </c>
      <c r="E432" s="19" t="inlineStr">
        <is>
          <t>国内沿海</t>
        </is>
      </c>
      <c r="F432" s="19" t="inlineStr">
        <is>
          <t>05号泊位</t>
        </is>
      </c>
      <c r="G432" s="20" t="n">
        <v>9510</v>
      </c>
      <c r="H432" s="38" t="n">
        <v>6.36</v>
      </c>
      <c r="I432" s="38" t="n">
        <v>4.66</v>
      </c>
      <c r="J432" s="38" t="n">
        <v>6.6</v>
      </c>
      <c r="K432" s="20" t="n">
        <v>0</v>
      </c>
      <c r="L432" s="26">
        <f>IF(H432&lt;=J432,1,0)</f>
        <v>1</v>
      </c>
    </row>
    <row r="433">
      <c r="A433" s="24" t="inlineStr">
        <is>
          <t>QL-071-6</t>
        </is>
      </c>
      <c r="B433" s="39" t="n">
        <v>45728</v>
      </c>
      <c r="C433" s="40" t="inlineStr">
        <is>
          <t>出港</t>
        </is>
      </c>
      <c r="D433" s="24" t="inlineStr">
        <is>
          <t>件杂货</t>
        </is>
      </c>
      <c r="E433" s="24" t="inlineStr">
        <is>
          <t>北美</t>
        </is>
      </c>
      <c r="F433" s="24" t="inlineStr">
        <is>
          <t>06号泊位</t>
        </is>
      </c>
      <c r="G433" s="25" t="n">
        <v>4398</v>
      </c>
      <c r="H433" s="41" t="n">
        <v>7.83</v>
      </c>
      <c r="I433" s="41" t="n">
        <v>3.09</v>
      </c>
      <c r="J433" s="41" t="n">
        <v>7.21</v>
      </c>
      <c r="K433" s="25" t="n">
        <v>0</v>
      </c>
      <c r="L433" s="26">
        <f>IF(H433&lt;=J433,1,0)</f>
        <v>0</v>
      </c>
    </row>
    <row r="434">
      <c r="A434" s="19" t="inlineStr">
        <is>
          <t>QL-072-1</t>
        </is>
      </c>
      <c r="B434" s="36" t="n">
        <v>45729</v>
      </c>
      <c r="C434" s="37" t="inlineStr">
        <is>
          <t>进港</t>
        </is>
      </c>
      <c r="D434" s="19" t="inlineStr">
        <is>
          <t>集装箱货物</t>
        </is>
      </c>
      <c r="E434" s="19" t="inlineStr">
        <is>
          <t>北美</t>
        </is>
      </c>
      <c r="F434" s="19" t="inlineStr">
        <is>
          <t>01号泊位</t>
        </is>
      </c>
      <c r="G434" s="20" t="n">
        <v>7127</v>
      </c>
      <c r="H434" s="38" t="n">
        <v>9.56</v>
      </c>
      <c r="I434" s="38" t="n">
        <v>4.9</v>
      </c>
      <c r="J434" s="38" t="n">
        <v>7.92</v>
      </c>
      <c r="K434" s="20" t="n">
        <v>443</v>
      </c>
      <c r="L434" s="26">
        <f>IF(H434&lt;=J434,1,0)</f>
        <v>0</v>
      </c>
    </row>
    <row r="435">
      <c r="A435" s="24" t="inlineStr">
        <is>
          <t>QL-072-2</t>
        </is>
      </c>
      <c r="B435" s="39" t="n">
        <v>45729</v>
      </c>
      <c r="C435" s="40" t="inlineStr">
        <is>
          <t>进港</t>
        </is>
      </c>
      <c r="D435" s="24" t="inlineStr">
        <is>
          <t>金属矿石</t>
        </is>
      </c>
      <c r="E435" s="24" t="inlineStr">
        <is>
          <t>东亚</t>
        </is>
      </c>
      <c r="F435" s="24" t="inlineStr">
        <is>
          <t>02号泊位</t>
        </is>
      </c>
      <c r="G435" s="25" t="n">
        <v>15998</v>
      </c>
      <c r="H435" s="41" t="n">
        <v>9.16</v>
      </c>
      <c r="I435" s="41" t="n">
        <v>2.96</v>
      </c>
      <c r="J435" s="41" t="n">
        <v>10.32</v>
      </c>
      <c r="K435" s="25" t="n">
        <v>0</v>
      </c>
      <c r="L435" s="26">
        <f>IF(H435&lt;=J435,1,0)</f>
        <v>1</v>
      </c>
    </row>
    <row r="436">
      <c r="A436" s="19" t="inlineStr">
        <is>
          <t>QL-072-3</t>
        </is>
      </c>
      <c r="B436" s="36" t="n">
        <v>45729</v>
      </c>
      <c r="C436" s="37" t="inlineStr">
        <is>
          <t>进港</t>
        </is>
      </c>
      <c r="D436" s="19" t="inlineStr">
        <is>
          <t>煤炭</t>
        </is>
      </c>
      <c r="E436" s="19" t="inlineStr">
        <is>
          <t>东南亚</t>
        </is>
      </c>
      <c r="F436" s="19" t="inlineStr">
        <is>
          <t>03号泊位</t>
        </is>
      </c>
      <c r="G436" s="20" t="n">
        <v>14928</v>
      </c>
      <c r="H436" s="38" t="n">
        <v>10.37</v>
      </c>
      <c r="I436" s="38" t="n">
        <v>1.33</v>
      </c>
      <c r="J436" s="38" t="n">
        <v>11.31</v>
      </c>
      <c r="K436" s="20" t="n">
        <v>0</v>
      </c>
      <c r="L436" s="26">
        <f>IF(H436&lt;=J436,1,0)</f>
        <v>1</v>
      </c>
    </row>
    <row r="437">
      <c r="A437" s="24" t="inlineStr">
        <is>
          <t>QL-072-4</t>
        </is>
      </c>
      <c r="B437" s="39" t="n">
        <v>45729</v>
      </c>
      <c r="C437" s="40" t="inlineStr">
        <is>
          <t>进港</t>
        </is>
      </c>
      <c r="D437" s="24" t="inlineStr">
        <is>
          <t>粮食</t>
        </is>
      </c>
      <c r="E437" s="24" t="inlineStr">
        <is>
          <t>东亚</t>
        </is>
      </c>
      <c r="F437" s="24" t="inlineStr">
        <is>
          <t>04号泊位</t>
        </is>
      </c>
      <c r="G437" s="25" t="n">
        <v>10237</v>
      </c>
      <c r="H437" s="41" t="n">
        <v>11.46</v>
      </c>
      <c r="I437" s="41" t="n">
        <v>1.9</v>
      </c>
      <c r="J437" s="41" t="n">
        <v>10.04</v>
      </c>
      <c r="K437" s="25" t="n">
        <v>0</v>
      </c>
      <c r="L437" s="26">
        <f>IF(H437&lt;=J437,1,0)</f>
        <v>0</v>
      </c>
    </row>
    <row r="438">
      <c r="A438" s="19" t="inlineStr">
        <is>
          <t>QL-072-5</t>
        </is>
      </c>
      <c r="B438" s="36" t="n">
        <v>45729</v>
      </c>
      <c r="C438" s="37" t="inlineStr">
        <is>
          <t>出港</t>
        </is>
      </c>
      <c r="D438" s="19" t="inlineStr">
        <is>
          <t>液体散货</t>
        </is>
      </c>
      <c r="E438" s="19" t="inlineStr">
        <is>
          <t>东亚</t>
        </is>
      </c>
      <c r="F438" s="19" t="inlineStr">
        <is>
          <t>05号泊位</t>
        </is>
      </c>
      <c r="G438" s="20" t="n">
        <v>7851</v>
      </c>
      <c r="H438" s="38" t="n">
        <v>5.56</v>
      </c>
      <c r="I438" s="38" t="n">
        <v>3.71</v>
      </c>
      <c r="J438" s="38" t="n">
        <v>5.45</v>
      </c>
      <c r="K438" s="20" t="n">
        <v>0</v>
      </c>
      <c r="L438" s="26">
        <f>IF(H438&lt;=J438,1,0)</f>
        <v>0</v>
      </c>
    </row>
    <row r="439">
      <c r="A439" s="24" t="inlineStr">
        <is>
          <t>QL-072-6</t>
        </is>
      </c>
      <c r="B439" s="39" t="n">
        <v>45729</v>
      </c>
      <c r="C439" s="40" t="inlineStr">
        <is>
          <t>出港</t>
        </is>
      </c>
      <c r="D439" s="24" t="inlineStr">
        <is>
          <t>件杂货</t>
        </is>
      </c>
      <c r="E439" s="24" t="inlineStr">
        <is>
          <t>东南亚</t>
        </is>
      </c>
      <c r="F439" s="24" t="inlineStr">
        <is>
          <t>06号泊位</t>
        </is>
      </c>
      <c r="G439" s="25" t="n">
        <v>4026</v>
      </c>
      <c r="H439" s="41" t="n">
        <v>6.07</v>
      </c>
      <c r="I439" s="41" t="n">
        <v>1.15</v>
      </c>
      <c r="J439" s="41" t="n">
        <v>6.6</v>
      </c>
      <c r="K439" s="25" t="n">
        <v>0</v>
      </c>
      <c r="L439" s="26">
        <f>IF(H439&lt;=J439,1,0)</f>
        <v>1</v>
      </c>
    </row>
    <row r="440">
      <c r="A440" s="19" t="inlineStr">
        <is>
          <t>QL-073-1</t>
        </is>
      </c>
      <c r="B440" s="36" t="n">
        <v>45730</v>
      </c>
      <c r="C440" s="37" t="inlineStr">
        <is>
          <t>出港</t>
        </is>
      </c>
      <c r="D440" s="19" t="inlineStr">
        <is>
          <t>集装箱货物</t>
        </is>
      </c>
      <c r="E440" s="19" t="inlineStr">
        <is>
          <t>东亚</t>
        </is>
      </c>
      <c r="F440" s="19" t="inlineStr">
        <is>
          <t>01号泊位</t>
        </is>
      </c>
      <c r="G440" s="20" t="n">
        <v>9064</v>
      </c>
      <c r="H440" s="38" t="n">
        <v>9.25</v>
      </c>
      <c r="I440" s="38" t="n">
        <v>0.3</v>
      </c>
      <c r="J440" s="38" t="n">
        <v>10.07</v>
      </c>
      <c r="K440" s="20" t="n">
        <v>556</v>
      </c>
      <c r="L440" s="26">
        <f>IF(H440&lt;=J440,1,0)</f>
        <v>1</v>
      </c>
    </row>
    <row r="441">
      <c r="A441" s="24" t="inlineStr">
        <is>
          <t>QL-073-2</t>
        </is>
      </c>
      <c r="B441" s="39" t="n">
        <v>45730</v>
      </c>
      <c r="C441" s="40" t="inlineStr">
        <is>
          <t>进港</t>
        </is>
      </c>
      <c r="D441" s="24" t="inlineStr">
        <is>
          <t>金属矿石</t>
        </is>
      </c>
      <c r="E441" s="24" t="inlineStr">
        <is>
          <t>欧洲</t>
        </is>
      </c>
      <c r="F441" s="24" t="inlineStr">
        <is>
          <t>02号泊位</t>
        </is>
      </c>
      <c r="G441" s="25" t="n">
        <v>13543</v>
      </c>
      <c r="H441" s="41" t="n">
        <v>10.23</v>
      </c>
      <c r="I441" s="41" t="n">
        <v>3.41</v>
      </c>
      <c r="J441" s="41" t="n">
        <v>8.74</v>
      </c>
      <c r="K441" s="25" t="n">
        <v>0</v>
      </c>
      <c r="L441" s="26">
        <f>IF(H441&lt;=J441,1,0)</f>
        <v>0</v>
      </c>
    </row>
    <row r="442">
      <c r="A442" s="19" t="inlineStr">
        <is>
          <t>QL-073-3</t>
        </is>
      </c>
      <c r="B442" s="36" t="n">
        <v>45730</v>
      </c>
      <c r="C442" s="37" t="inlineStr">
        <is>
          <t>进港</t>
        </is>
      </c>
      <c r="D442" s="19" t="inlineStr">
        <is>
          <t>煤炭</t>
        </is>
      </c>
      <c r="E442" s="19" t="inlineStr">
        <is>
          <t>欧洲</t>
        </is>
      </c>
      <c r="F442" s="19" t="inlineStr">
        <is>
          <t>03号泊位</t>
        </is>
      </c>
      <c r="G442" s="20" t="n">
        <v>8682</v>
      </c>
      <c r="H442" s="38" t="n">
        <v>5.96</v>
      </c>
      <c r="I442" s="38" t="n">
        <v>1.63</v>
      </c>
      <c r="J442" s="38" t="n">
        <v>6.58</v>
      </c>
      <c r="K442" s="20" t="n">
        <v>0</v>
      </c>
      <c r="L442" s="26">
        <f>IF(H442&lt;=J442,1,0)</f>
        <v>1</v>
      </c>
    </row>
    <row r="443">
      <c r="A443" s="24" t="inlineStr">
        <is>
          <t>QL-073-4</t>
        </is>
      </c>
      <c r="B443" s="39" t="n">
        <v>45730</v>
      </c>
      <c r="C443" s="40" t="inlineStr">
        <is>
          <t>进港</t>
        </is>
      </c>
      <c r="D443" s="24" t="inlineStr">
        <is>
          <t>粮食</t>
        </is>
      </c>
      <c r="E443" s="24" t="inlineStr">
        <is>
          <t>东南亚</t>
        </is>
      </c>
      <c r="F443" s="24" t="inlineStr">
        <is>
          <t>04号泊位</t>
        </is>
      </c>
      <c r="G443" s="25" t="n">
        <v>9017</v>
      </c>
      <c r="H443" s="41" t="n">
        <v>9.43</v>
      </c>
      <c r="I443" s="41" t="n">
        <v>2.75</v>
      </c>
      <c r="J443" s="41" t="n">
        <v>8.84</v>
      </c>
      <c r="K443" s="25" t="n">
        <v>0</v>
      </c>
      <c r="L443" s="26">
        <f>IF(H443&lt;=J443,1,0)</f>
        <v>0</v>
      </c>
    </row>
    <row r="444">
      <c r="A444" s="19" t="inlineStr">
        <is>
          <t>QL-073-5</t>
        </is>
      </c>
      <c r="B444" s="36" t="n">
        <v>45730</v>
      </c>
      <c r="C444" s="37" t="inlineStr">
        <is>
          <t>出港</t>
        </is>
      </c>
      <c r="D444" s="19" t="inlineStr">
        <is>
          <t>液体散货</t>
        </is>
      </c>
      <c r="E444" s="19" t="inlineStr">
        <is>
          <t>东南亚</t>
        </is>
      </c>
      <c r="F444" s="19" t="inlineStr">
        <is>
          <t>05号泊位</t>
        </is>
      </c>
      <c r="G444" s="20" t="n">
        <v>8163</v>
      </c>
      <c r="H444" s="38" t="n">
        <v>6.44</v>
      </c>
      <c r="I444" s="38" t="n">
        <v>1.68</v>
      </c>
      <c r="J444" s="38" t="n">
        <v>5.67</v>
      </c>
      <c r="K444" s="20" t="n">
        <v>0</v>
      </c>
      <c r="L444" s="26">
        <f>IF(H444&lt;=J444,1,0)</f>
        <v>0</v>
      </c>
    </row>
    <row r="445">
      <c r="A445" s="24" t="inlineStr">
        <is>
          <t>QL-073-6</t>
        </is>
      </c>
      <c r="B445" s="39" t="n">
        <v>45730</v>
      </c>
      <c r="C445" s="40" t="inlineStr">
        <is>
          <t>出港</t>
        </is>
      </c>
      <c r="D445" s="24" t="inlineStr">
        <is>
          <t>件杂货</t>
        </is>
      </c>
      <c r="E445" s="24" t="inlineStr">
        <is>
          <t>东亚</t>
        </is>
      </c>
      <c r="F445" s="24" t="inlineStr">
        <is>
          <t>06号泊位</t>
        </is>
      </c>
      <c r="G445" s="25" t="n">
        <v>5303</v>
      </c>
      <c r="H445" s="41" t="n">
        <v>8.74</v>
      </c>
      <c r="I445" s="41" t="n">
        <v>3.86</v>
      </c>
      <c r="J445" s="41" t="n">
        <v>8.69</v>
      </c>
      <c r="K445" s="25" t="n">
        <v>0</v>
      </c>
      <c r="L445" s="26">
        <f>IF(H445&lt;=J445,1,0)</f>
        <v>0</v>
      </c>
    </row>
    <row r="446">
      <c r="A446" s="19" t="inlineStr">
        <is>
          <t>QL-074-1</t>
        </is>
      </c>
      <c r="B446" s="36" t="n">
        <v>45731</v>
      </c>
      <c r="C446" s="37" t="inlineStr">
        <is>
          <t>进港</t>
        </is>
      </c>
      <c r="D446" s="19" t="inlineStr">
        <is>
          <t>集装箱货物</t>
        </is>
      </c>
      <c r="E446" s="19" t="inlineStr">
        <is>
          <t>东亚</t>
        </is>
      </c>
      <c r="F446" s="19" t="inlineStr">
        <is>
          <t>01号泊位</t>
        </is>
      </c>
      <c r="G446" s="20" t="n">
        <v>6174</v>
      </c>
      <c r="H446" s="38" t="n">
        <v>7.4</v>
      </c>
      <c r="I446" s="38" t="n">
        <v>4.22</v>
      </c>
      <c r="J446" s="38" t="n">
        <v>6.86</v>
      </c>
      <c r="K446" s="20" t="n">
        <v>453</v>
      </c>
      <c r="L446" s="26">
        <f>IF(H446&lt;=J446,1,0)</f>
        <v>0</v>
      </c>
    </row>
    <row r="447">
      <c r="A447" s="24" t="inlineStr">
        <is>
          <t>QL-074-2</t>
        </is>
      </c>
      <c r="B447" s="39" t="n">
        <v>45731</v>
      </c>
      <c r="C447" s="40" t="inlineStr">
        <is>
          <t>进港</t>
        </is>
      </c>
      <c r="D447" s="24" t="inlineStr">
        <is>
          <t>金属矿石</t>
        </is>
      </c>
      <c r="E447" s="24" t="inlineStr">
        <is>
          <t>北美</t>
        </is>
      </c>
      <c r="F447" s="24" t="inlineStr">
        <is>
          <t>02号泊位</t>
        </is>
      </c>
      <c r="G447" s="25" t="n">
        <v>12061</v>
      </c>
      <c r="H447" s="41" t="n">
        <v>7.49</v>
      </c>
      <c r="I447" s="41" t="n">
        <v>1.58</v>
      </c>
      <c r="J447" s="41" t="n">
        <v>7.78</v>
      </c>
      <c r="K447" s="25" t="n">
        <v>0</v>
      </c>
      <c r="L447" s="26">
        <f>IF(H447&lt;=J447,1,0)</f>
        <v>1</v>
      </c>
    </row>
    <row r="448">
      <c r="A448" s="19" t="inlineStr">
        <is>
          <t>QL-074-3</t>
        </is>
      </c>
      <c r="B448" s="36" t="n">
        <v>45731</v>
      </c>
      <c r="C448" s="37" t="inlineStr">
        <is>
          <t>进港</t>
        </is>
      </c>
      <c r="D448" s="19" t="inlineStr">
        <is>
          <t>煤炭</t>
        </is>
      </c>
      <c r="E448" s="19" t="inlineStr">
        <is>
          <t>欧洲</t>
        </is>
      </c>
      <c r="F448" s="19" t="inlineStr">
        <is>
          <t>03号泊位</t>
        </is>
      </c>
      <c r="G448" s="20" t="n">
        <v>9012</v>
      </c>
      <c r="H448" s="38" t="n">
        <v>6.37</v>
      </c>
      <c r="I448" s="38" t="n">
        <v>1.3</v>
      </c>
      <c r="J448" s="38" t="n">
        <v>6.83</v>
      </c>
      <c r="K448" s="20" t="n">
        <v>0</v>
      </c>
      <c r="L448" s="26">
        <f>IF(H448&lt;=J448,1,0)</f>
        <v>1</v>
      </c>
    </row>
    <row r="449">
      <c r="A449" s="24" t="inlineStr">
        <is>
          <t>QL-074-4</t>
        </is>
      </c>
      <c r="B449" s="39" t="n">
        <v>45731</v>
      </c>
      <c r="C449" s="40" t="inlineStr">
        <is>
          <t>进港</t>
        </is>
      </c>
      <c r="D449" s="24" t="inlineStr">
        <is>
          <t>粮食</t>
        </is>
      </c>
      <c r="E449" s="24" t="inlineStr">
        <is>
          <t>国内沿海</t>
        </is>
      </c>
      <c r="F449" s="24" t="inlineStr">
        <is>
          <t>04号泊位</t>
        </is>
      </c>
      <c r="G449" s="25" t="n">
        <v>6337</v>
      </c>
      <c r="H449" s="41" t="n">
        <v>5.71</v>
      </c>
      <c r="I449" s="41" t="n">
        <v>3.27</v>
      </c>
      <c r="J449" s="41" t="n">
        <v>6.21</v>
      </c>
      <c r="K449" s="25" t="n">
        <v>0</v>
      </c>
      <c r="L449" s="26">
        <f>IF(H449&lt;=J449,1,0)</f>
        <v>1</v>
      </c>
    </row>
    <row r="450">
      <c r="A450" s="19" t="inlineStr">
        <is>
          <t>QL-074-5</t>
        </is>
      </c>
      <c r="B450" s="36" t="n">
        <v>45731</v>
      </c>
      <c r="C450" s="37" t="inlineStr">
        <is>
          <t>出港</t>
        </is>
      </c>
      <c r="D450" s="19" t="inlineStr">
        <is>
          <t>液体散货</t>
        </is>
      </c>
      <c r="E450" s="19" t="inlineStr">
        <is>
          <t>北美</t>
        </is>
      </c>
      <c r="F450" s="19" t="inlineStr">
        <is>
          <t>05号泊位</t>
        </is>
      </c>
      <c r="G450" s="20" t="n">
        <v>13426</v>
      </c>
      <c r="H450" s="38" t="n">
        <v>8.880000000000001</v>
      </c>
      <c r="I450" s="38" t="n">
        <v>3.8</v>
      </c>
      <c r="J450" s="38" t="n">
        <v>9.32</v>
      </c>
      <c r="K450" s="20" t="n">
        <v>0</v>
      </c>
      <c r="L450" s="26">
        <f>IF(H450&lt;=J450,1,0)</f>
        <v>1</v>
      </c>
    </row>
    <row r="451">
      <c r="A451" s="24" t="inlineStr">
        <is>
          <t>QL-074-6</t>
        </is>
      </c>
      <c r="B451" s="39" t="n">
        <v>45731</v>
      </c>
      <c r="C451" s="40" t="inlineStr">
        <is>
          <t>进港</t>
        </is>
      </c>
      <c r="D451" s="24" t="inlineStr">
        <is>
          <t>件杂货</t>
        </is>
      </c>
      <c r="E451" s="24" t="inlineStr">
        <is>
          <t>国内沿海</t>
        </is>
      </c>
      <c r="F451" s="24" t="inlineStr">
        <is>
          <t>06号泊位</t>
        </is>
      </c>
      <c r="G451" s="25" t="n">
        <v>3908</v>
      </c>
      <c r="H451" s="41" t="n">
        <v>6.4</v>
      </c>
      <c r="I451" s="41" t="n">
        <v>1.46</v>
      </c>
      <c r="J451" s="41" t="n">
        <v>6.41</v>
      </c>
      <c r="K451" s="25" t="n">
        <v>0</v>
      </c>
      <c r="L451" s="26">
        <f>IF(H451&lt;=J451,1,0)</f>
        <v>1</v>
      </c>
    </row>
    <row r="452">
      <c r="A452" s="19" t="inlineStr">
        <is>
          <t>QL-075-1</t>
        </is>
      </c>
      <c r="B452" s="36" t="n">
        <v>45732</v>
      </c>
      <c r="C452" s="37" t="inlineStr">
        <is>
          <t>进港</t>
        </is>
      </c>
      <c r="D452" s="19" t="inlineStr">
        <is>
          <t>集装箱货物</t>
        </is>
      </c>
      <c r="E452" s="19" t="inlineStr">
        <is>
          <t>东南亚</t>
        </is>
      </c>
      <c r="F452" s="19" t="inlineStr">
        <is>
          <t>01号泊位</t>
        </is>
      </c>
      <c r="G452" s="20" t="n">
        <v>5403</v>
      </c>
      <c r="H452" s="38" t="n">
        <v>7.18</v>
      </c>
      <c r="I452" s="38" t="n">
        <v>0.71</v>
      </c>
      <c r="J452" s="38" t="n">
        <v>6</v>
      </c>
      <c r="K452" s="20" t="n">
        <v>344</v>
      </c>
      <c r="L452" s="26">
        <f>IF(H452&lt;=J452,1,0)</f>
        <v>0</v>
      </c>
    </row>
    <row r="453">
      <c r="A453" s="24" t="inlineStr">
        <is>
          <t>QL-075-2</t>
        </is>
      </c>
      <c r="B453" s="39" t="n">
        <v>45732</v>
      </c>
      <c r="C453" s="40" t="inlineStr">
        <is>
          <t>进港</t>
        </is>
      </c>
      <c r="D453" s="24" t="inlineStr">
        <is>
          <t>金属矿石</t>
        </is>
      </c>
      <c r="E453" s="24" t="inlineStr">
        <is>
          <t>国内沿海</t>
        </is>
      </c>
      <c r="F453" s="24" t="inlineStr">
        <is>
          <t>02号泊位</t>
        </is>
      </c>
      <c r="G453" s="25" t="n">
        <v>11174</v>
      </c>
      <c r="H453" s="41" t="n">
        <v>6.06</v>
      </c>
      <c r="I453" s="41" t="n">
        <v>0.8</v>
      </c>
      <c r="J453" s="41" t="n">
        <v>7.21</v>
      </c>
      <c r="K453" s="25" t="n">
        <v>0</v>
      </c>
      <c r="L453" s="26">
        <f>IF(H453&lt;=J453,1,0)</f>
        <v>1</v>
      </c>
    </row>
    <row r="454">
      <c r="A454" s="19" t="inlineStr">
        <is>
          <t>QL-075-3</t>
        </is>
      </c>
      <c r="B454" s="36" t="n">
        <v>45732</v>
      </c>
      <c r="C454" s="37" t="inlineStr">
        <is>
          <t>进港</t>
        </is>
      </c>
      <c r="D454" s="19" t="inlineStr">
        <is>
          <t>煤炭</t>
        </is>
      </c>
      <c r="E454" s="19" t="inlineStr">
        <is>
          <t>国内沿海</t>
        </is>
      </c>
      <c r="F454" s="19" t="inlineStr">
        <is>
          <t>03号泊位</t>
        </is>
      </c>
      <c r="G454" s="20" t="n">
        <v>8492</v>
      </c>
      <c r="H454" s="38" t="n">
        <v>6.67</v>
      </c>
      <c r="I454" s="38" t="n">
        <v>0.42</v>
      </c>
      <c r="J454" s="38" t="n">
        <v>6.43</v>
      </c>
      <c r="K454" s="20" t="n">
        <v>0</v>
      </c>
      <c r="L454" s="26">
        <f>IF(H454&lt;=J454,1,0)</f>
        <v>0</v>
      </c>
    </row>
    <row r="455">
      <c r="A455" s="24" t="inlineStr">
        <is>
          <t>QL-075-4</t>
        </is>
      </c>
      <c r="B455" s="39" t="n">
        <v>45732</v>
      </c>
      <c r="C455" s="40" t="inlineStr">
        <is>
          <t>出港</t>
        </is>
      </c>
      <c r="D455" s="24" t="inlineStr">
        <is>
          <t>粮食</t>
        </is>
      </c>
      <c r="E455" s="24" t="inlineStr">
        <is>
          <t>东亚</t>
        </is>
      </c>
      <c r="F455" s="24" t="inlineStr">
        <is>
          <t>04号泊位</t>
        </is>
      </c>
      <c r="G455" s="25" t="n">
        <v>5272</v>
      </c>
      <c r="H455" s="41" t="n">
        <v>4.44</v>
      </c>
      <c r="I455" s="41" t="n">
        <v>1.42</v>
      </c>
      <c r="J455" s="41" t="n">
        <v>5.17</v>
      </c>
      <c r="K455" s="25" t="n">
        <v>0</v>
      </c>
      <c r="L455" s="26">
        <f>IF(H455&lt;=J455,1,0)</f>
        <v>1</v>
      </c>
    </row>
    <row r="456">
      <c r="A456" s="19" t="inlineStr">
        <is>
          <t>QL-075-5</t>
        </is>
      </c>
      <c r="B456" s="36" t="n">
        <v>45732</v>
      </c>
      <c r="C456" s="37" t="inlineStr">
        <is>
          <t>出港</t>
        </is>
      </c>
      <c r="D456" s="19" t="inlineStr">
        <is>
          <t>液体散货</t>
        </is>
      </c>
      <c r="E456" s="19" t="inlineStr">
        <is>
          <t>东亚</t>
        </is>
      </c>
      <c r="F456" s="19" t="inlineStr">
        <is>
          <t>05号泊位</t>
        </is>
      </c>
      <c r="G456" s="20" t="n">
        <v>8543</v>
      </c>
      <c r="H456" s="38" t="n">
        <v>6.11</v>
      </c>
      <c r="I456" s="38" t="n">
        <v>2.15</v>
      </c>
      <c r="J456" s="38" t="n">
        <v>5.93</v>
      </c>
      <c r="K456" s="20" t="n">
        <v>0</v>
      </c>
      <c r="L456" s="26">
        <f>IF(H456&lt;=J456,1,0)</f>
        <v>0</v>
      </c>
    </row>
    <row r="457">
      <c r="A457" s="24" t="inlineStr">
        <is>
          <t>QL-075-6</t>
        </is>
      </c>
      <c r="B457" s="39" t="n">
        <v>45732</v>
      </c>
      <c r="C457" s="40" t="inlineStr">
        <is>
          <t>进港</t>
        </is>
      </c>
      <c r="D457" s="24" t="inlineStr">
        <is>
          <t>件杂货</t>
        </is>
      </c>
      <c r="E457" s="24" t="inlineStr">
        <is>
          <t>北美</t>
        </is>
      </c>
      <c r="F457" s="24" t="inlineStr">
        <is>
          <t>06号泊位</t>
        </is>
      </c>
      <c r="G457" s="25" t="n">
        <v>4958</v>
      </c>
      <c r="H457" s="41" t="n">
        <v>8.289999999999999</v>
      </c>
      <c r="I457" s="41" t="n">
        <v>3.94</v>
      </c>
      <c r="J457" s="41" t="n">
        <v>8.130000000000001</v>
      </c>
      <c r="K457" s="25" t="n">
        <v>0</v>
      </c>
      <c r="L457" s="26">
        <f>IF(H457&lt;=J457,1,0)</f>
        <v>0</v>
      </c>
    </row>
    <row r="458">
      <c r="A458" s="19" t="inlineStr">
        <is>
          <t>QL-076-1</t>
        </is>
      </c>
      <c r="B458" s="36" t="n">
        <v>45733</v>
      </c>
      <c r="C458" s="37" t="inlineStr">
        <is>
          <t>进港</t>
        </is>
      </c>
      <c r="D458" s="19" t="inlineStr">
        <is>
          <t>集装箱货物</t>
        </is>
      </c>
      <c r="E458" s="19" t="inlineStr">
        <is>
          <t>东南亚</t>
        </is>
      </c>
      <c r="F458" s="19" t="inlineStr">
        <is>
          <t>01号泊位</t>
        </is>
      </c>
      <c r="G458" s="20" t="n">
        <v>4947</v>
      </c>
      <c r="H458" s="38" t="n">
        <v>5.7</v>
      </c>
      <c r="I458" s="38" t="n">
        <v>1.54</v>
      </c>
      <c r="J458" s="38" t="n">
        <v>5.5</v>
      </c>
      <c r="K458" s="20" t="n">
        <v>322</v>
      </c>
      <c r="L458" s="26">
        <f>IF(H458&lt;=J458,1,0)</f>
        <v>0</v>
      </c>
    </row>
    <row r="459">
      <c r="A459" s="24" t="inlineStr">
        <is>
          <t>QL-076-2</t>
        </is>
      </c>
      <c r="B459" s="39" t="n">
        <v>45733</v>
      </c>
      <c r="C459" s="40" t="inlineStr">
        <is>
          <t>进港</t>
        </is>
      </c>
      <c r="D459" s="24" t="inlineStr">
        <is>
          <t>金属矿石</t>
        </is>
      </c>
      <c r="E459" s="24" t="inlineStr">
        <is>
          <t>东亚</t>
        </is>
      </c>
      <c r="F459" s="24" t="inlineStr">
        <is>
          <t>02号泊位</t>
        </is>
      </c>
      <c r="G459" s="25" t="n">
        <v>14470</v>
      </c>
      <c r="H459" s="41" t="n">
        <v>9.24</v>
      </c>
      <c r="I459" s="41" t="n">
        <v>2.21</v>
      </c>
      <c r="J459" s="41" t="n">
        <v>9.34</v>
      </c>
      <c r="K459" s="25" t="n">
        <v>0</v>
      </c>
      <c r="L459" s="26">
        <f>IF(H459&lt;=J459,1,0)</f>
        <v>1</v>
      </c>
    </row>
    <row r="460">
      <c r="A460" s="19" t="inlineStr">
        <is>
          <t>QL-076-3</t>
        </is>
      </c>
      <c r="B460" s="36" t="n">
        <v>45733</v>
      </c>
      <c r="C460" s="37" t="inlineStr">
        <is>
          <t>进港</t>
        </is>
      </c>
      <c r="D460" s="19" t="inlineStr">
        <is>
          <t>煤炭</t>
        </is>
      </c>
      <c r="E460" s="19" t="inlineStr">
        <is>
          <t>东亚</t>
        </is>
      </c>
      <c r="F460" s="19" t="inlineStr">
        <is>
          <t>03号泊位</t>
        </is>
      </c>
      <c r="G460" s="20" t="n">
        <v>12298</v>
      </c>
      <c r="H460" s="38" t="n">
        <v>8.550000000000001</v>
      </c>
      <c r="I460" s="38" t="n">
        <v>1.11</v>
      </c>
      <c r="J460" s="38" t="n">
        <v>9.32</v>
      </c>
      <c r="K460" s="20" t="n">
        <v>0</v>
      </c>
      <c r="L460" s="26">
        <f>IF(H460&lt;=J460,1,0)</f>
        <v>1</v>
      </c>
    </row>
    <row r="461">
      <c r="A461" s="24" t="inlineStr">
        <is>
          <t>QL-076-4</t>
        </is>
      </c>
      <c r="B461" s="39" t="n">
        <v>45733</v>
      </c>
      <c r="C461" s="40" t="inlineStr">
        <is>
          <t>进港</t>
        </is>
      </c>
      <c r="D461" s="24" t="inlineStr">
        <is>
          <t>粮食</t>
        </is>
      </c>
      <c r="E461" s="24" t="inlineStr">
        <is>
          <t>东南亚</t>
        </is>
      </c>
      <c r="F461" s="24" t="inlineStr">
        <is>
          <t>04号泊位</t>
        </is>
      </c>
      <c r="G461" s="25" t="n">
        <v>11304</v>
      </c>
      <c r="H461" s="41" t="n">
        <v>9.93</v>
      </c>
      <c r="I461" s="41" t="n">
        <v>5.37</v>
      </c>
      <c r="J461" s="41" t="n">
        <v>11.08</v>
      </c>
      <c r="K461" s="25" t="n">
        <v>0</v>
      </c>
      <c r="L461" s="26">
        <f>IF(H461&lt;=J461,1,0)</f>
        <v>1</v>
      </c>
    </row>
    <row r="462">
      <c r="A462" s="19" t="inlineStr">
        <is>
          <t>QL-076-5</t>
        </is>
      </c>
      <c r="B462" s="36" t="n">
        <v>45733</v>
      </c>
      <c r="C462" s="37" t="inlineStr">
        <is>
          <t>进港</t>
        </is>
      </c>
      <c r="D462" s="19" t="inlineStr">
        <is>
          <t>液体散货</t>
        </is>
      </c>
      <c r="E462" s="19" t="inlineStr">
        <is>
          <t>国内沿海</t>
        </is>
      </c>
      <c r="F462" s="19" t="inlineStr">
        <is>
          <t>05号泊位</t>
        </is>
      </c>
      <c r="G462" s="20" t="n">
        <v>14574</v>
      </c>
      <c r="H462" s="38" t="n">
        <v>9.07</v>
      </c>
      <c r="I462" s="38" t="n">
        <v>2.32</v>
      </c>
      <c r="J462" s="38" t="n">
        <v>10.12</v>
      </c>
      <c r="K462" s="20" t="n">
        <v>0</v>
      </c>
      <c r="L462" s="26">
        <f>IF(H462&lt;=J462,1,0)</f>
        <v>1</v>
      </c>
    </row>
    <row r="463">
      <c r="A463" s="24" t="inlineStr">
        <is>
          <t>QL-076-6</t>
        </is>
      </c>
      <c r="B463" s="39" t="n">
        <v>45733</v>
      </c>
      <c r="C463" s="40" t="inlineStr">
        <is>
          <t>进港</t>
        </is>
      </c>
      <c r="D463" s="24" t="inlineStr">
        <is>
          <t>件杂货</t>
        </is>
      </c>
      <c r="E463" s="24" t="inlineStr">
        <is>
          <t>北美</t>
        </is>
      </c>
      <c r="F463" s="24" t="inlineStr">
        <is>
          <t>06号泊位</t>
        </is>
      </c>
      <c r="G463" s="25" t="n">
        <v>3453</v>
      </c>
      <c r="H463" s="41" t="n">
        <v>6.24</v>
      </c>
      <c r="I463" s="41" t="n">
        <v>2.8</v>
      </c>
      <c r="J463" s="41" t="n">
        <v>5.66</v>
      </c>
      <c r="K463" s="25" t="n">
        <v>0</v>
      </c>
      <c r="L463" s="26">
        <f>IF(H463&lt;=J463,1,0)</f>
        <v>0</v>
      </c>
    </row>
    <row r="464">
      <c r="A464" s="19" t="inlineStr">
        <is>
          <t>QL-077-1</t>
        </is>
      </c>
      <c r="B464" s="36" t="n">
        <v>45734</v>
      </c>
      <c r="C464" s="37" t="inlineStr">
        <is>
          <t>出港</t>
        </is>
      </c>
      <c r="D464" s="19" t="inlineStr">
        <is>
          <t>集装箱货物</t>
        </is>
      </c>
      <c r="E464" s="19" t="inlineStr">
        <is>
          <t>东南亚</t>
        </is>
      </c>
      <c r="F464" s="19" t="inlineStr">
        <is>
          <t>01号泊位</t>
        </is>
      </c>
      <c r="G464" s="20" t="n">
        <v>9639</v>
      </c>
      <c r="H464" s="38" t="n">
        <v>12.87</v>
      </c>
      <c r="I464" s="38" t="n">
        <v>2.83</v>
      </c>
      <c r="J464" s="38" t="n">
        <v>10.71</v>
      </c>
      <c r="K464" s="20" t="n">
        <v>727</v>
      </c>
      <c r="L464" s="26">
        <f>IF(H464&lt;=J464,1,0)</f>
        <v>0</v>
      </c>
    </row>
    <row r="465">
      <c r="A465" s="24" t="inlineStr">
        <is>
          <t>QL-077-2</t>
        </is>
      </c>
      <c r="B465" s="39" t="n">
        <v>45734</v>
      </c>
      <c r="C465" s="40" t="inlineStr">
        <is>
          <t>进港</t>
        </is>
      </c>
      <c r="D465" s="24" t="inlineStr">
        <is>
          <t>金属矿石</t>
        </is>
      </c>
      <c r="E465" s="24" t="inlineStr">
        <is>
          <t>东南亚</t>
        </is>
      </c>
      <c r="F465" s="24" t="inlineStr">
        <is>
          <t>02号泊位</t>
        </is>
      </c>
      <c r="G465" s="25" t="n">
        <v>22863</v>
      </c>
      <c r="H465" s="41" t="n">
        <v>15.39</v>
      </c>
      <c r="I465" s="41" t="n">
        <v>2.73</v>
      </c>
      <c r="J465" s="41" t="n">
        <v>14.75</v>
      </c>
      <c r="K465" s="25" t="n">
        <v>0</v>
      </c>
      <c r="L465" s="26">
        <f>IF(H465&lt;=J465,1,0)</f>
        <v>0</v>
      </c>
    </row>
    <row r="466">
      <c r="A466" s="19" t="inlineStr">
        <is>
          <t>QL-077-3</t>
        </is>
      </c>
      <c r="B466" s="36" t="n">
        <v>45734</v>
      </c>
      <c r="C466" s="37" t="inlineStr">
        <is>
          <t>出港</t>
        </is>
      </c>
      <c r="D466" s="19" t="inlineStr">
        <is>
          <t>煤炭</t>
        </is>
      </c>
      <c r="E466" s="19" t="inlineStr">
        <is>
          <t>北美</t>
        </is>
      </c>
      <c r="F466" s="19" t="inlineStr">
        <is>
          <t>03号泊位</t>
        </is>
      </c>
      <c r="G466" s="20" t="n">
        <v>12771</v>
      </c>
      <c r="H466" s="38" t="n">
        <v>10.89</v>
      </c>
      <c r="I466" s="38" t="n">
        <v>1.08</v>
      </c>
      <c r="J466" s="38" t="n">
        <v>9.68</v>
      </c>
      <c r="K466" s="20" t="n">
        <v>0</v>
      </c>
      <c r="L466" s="26">
        <f>IF(H466&lt;=J466,1,0)</f>
        <v>0</v>
      </c>
    </row>
    <row r="467">
      <c r="A467" s="24" t="inlineStr">
        <is>
          <t>QL-077-4</t>
        </is>
      </c>
      <c r="B467" s="39" t="n">
        <v>45734</v>
      </c>
      <c r="C467" s="40" t="inlineStr">
        <is>
          <t>进港</t>
        </is>
      </c>
      <c r="D467" s="24" t="inlineStr">
        <is>
          <t>粮食</t>
        </is>
      </c>
      <c r="E467" s="24" t="inlineStr">
        <is>
          <t>国内沿海</t>
        </is>
      </c>
      <c r="F467" s="24" t="inlineStr">
        <is>
          <t>04号泊位</t>
        </is>
      </c>
      <c r="G467" s="25" t="n">
        <v>4891</v>
      </c>
      <c r="H467" s="41" t="n">
        <v>4.73</v>
      </c>
      <c r="I467" s="41" t="n">
        <v>0.61</v>
      </c>
      <c r="J467" s="41" t="n">
        <v>4.8</v>
      </c>
      <c r="K467" s="25" t="n">
        <v>0</v>
      </c>
      <c r="L467" s="26">
        <f>IF(H467&lt;=J467,1,0)</f>
        <v>1</v>
      </c>
    </row>
    <row r="468">
      <c r="A468" s="19" t="inlineStr">
        <is>
          <t>QL-077-5</t>
        </is>
      </c>
      <c r="B468" s="36" t="n">
        <v>45734</v>
      </c>
      <c r="C468" s="37" t="inlineStr">
        <is>
          <t>出港</t>
        </is>
      </c>
      <c r="D468" s="19" t="inlineStr">
        <is>
          <t>液体散货</t>
        </is>
      </c>
      <c r="E468" s="19" t="inlineStr">
        <is>
          <t>东南亚</t>
        </is>
      </c>
      <c r="F468" s="19" t="inlineStr">
        <is>
          <t>05号泊位</t>
        </is>
      </c>
      <c r="G468" s="20" t="n">
        <v>9878</v>
      </c>
      <c r="H468" s="38" t="n">
        <v>6.34</v>
      </c>
      <c r="I468" s="38" t="n">
        <v>2.03</v>
      </c>
      <c r="J468" s="38" t="n">
        <v>6.86</v>
      </c>
      <c r="K468" s="20" t="n">
        <v>0</v>
      </c>
      <c r="L468" s="26">
        <f>IF(H468&lt;=J468,1,0)</f>
        <v>1</v>
      </c>
    </row>
    <row r="469">
      <c r="A469" s="24" t="inlineStr">
        <is>
          <t>QL-077-6</t>
        </is>
      </c>
      <c r="B469" s="39" t="n">
        <v>45734</v>
      </c>
      <c r="C469" s="40" t="inlineStr">
        <is>
          <t>进港</t>
        </is>
      </c>
      <c r="D469" s="24" t="inlineStr">
        <is>
          <t>件杂货</t>
        </is>
      </c>
      <c r="E469" s="24" t="inlineStr">
        <is>
          <t>东南亚</t>
        </is>
      </c>
      <c r="F469" s="24" t="inlineStr">
        <is>
          <t>06号泊位</t>
        </is>
      </c>
      <c r="G469" s="25" t="n">
        <v>4704</v>
      </c>
      <c r="H469" s="41" t="n">
        <v>8.380000000000001</v>
      </c>
      <c r="I469" s="41" t="n">
        <v>2.78</v>
      </c>
      <c r="J469" s="41" t="n">
        <v>7.71</v>
      </c>
      <c r="K469" s="25" t="n">
        <v>0</v>
      </c>
      <c r="L469" s="26">
        <f>IF(H469&lt;=J469,1,0)</f>
        <v>0</v>
      </c>
    </row>
    <row r="470">
      <c r="A470" s="19" t="inlineStr">
        <is>
          <t>QL-078-1</t>
        </is>
      </c>
      <c r="B470" s="36" t="n">
        <v>45735</v>
      </c>
      <c r="C470" s="37" t="inlineStr">
        <is>
          <t>进港</t>
        </is>
      </c>
      <c r="D470" s="19" t="inlineStr">
        <is>
          <t>集装箱货物</t>
        </is>
      </c>
      <c r="E470" s="19" t="inlineStr">
        <is>
          <t>东南亚</t>
        </is>
      </c>
      <c r="F470" s="19" t="inlineStr">
        <is>
          <t>01号泊位</t>
        </is>
      </c>
      <c r="G470" s="20" t="n">
        <v>7446</v>
      </c>
      <c r="H470" s="38" t="n">
        <v>7.05</v>
      </c>
      <c r="I470" s="38" t="n">
        <v>0.3</v>
      </c>
      <c r="J470" s="38" t="n">
        <v>8.27</v>
      </c>
      <c r="K470" s="20" t="n">
        <v>500</v>
      </c>
      <c r="L470" s="26">
        <f>IF(H470&lt;=J470,1,0)</f>
        <v>1</v>
      </c>
    </row>
    <row r="471">
      <c r="A471" s="24" t="inlineStr">
        <is>
          <t>QL-078-2</t>
        </is>
      </c>
      <c r="B471" s="39" t="n">
        <v>45735</v>
      </c>
      <c r="C471" s="40" t="inlineStr">
        <is>
          <t>进港</t>
        </is>
      </c>
      <c r="D471" s="24" t="inlineStr">
        <is>
          <t>金属矿石</t>
        </is>
      </c>
      <c r="E471" s="24" t="inlineStr">
        <is>
          <t>国内沿海</t>
        </is>
      </c>
      <c r="F471" s="24" t="inlineStr">
        <is>
          <t>02号泊位</t>
        </is>
      </c>
      <c r="G471" s="25" t="n">
        <v>14768</v>
      </c>
      <c r="H471" s="41" t="n">
        <v>8.93</v>
      </c>
      <c r="I471" s="41" t="n">
        <v>1.5</v>
      </c>
      <c r="J471" s="41" t="n">
        <v>9.529999999999999</v>
      </c>
      <c r="K471" s="25" t="n">
        <v>0</v>
      </c>
      <c r="L471" s="26">
        <f>IF(H471&lt;=J471,1,0)</f>
        <v>1</v>
      </c>
    </row>
    <row r="472">
      <c r="A472" s="19" t="inlineStr">
        <is>
          <t>QL-078-3</t>
        </is>
      </c>
      <c r="B472" s="36" t="n">
        <v>45735</v>
      </c>
      <c r="C472" s="37" t="inlineStr">
        <is>
          <t>进港</t>
        </is>
      </c>
      <c r="D472" s="19" t="inlineStr">
        <is>
          <t>煤炭</t>
        </is>
      </c>
      <c r="E472" s="19" t="inlineStr">
        <is>
          <t>东南亚</t>
        </is>
      </c>
      <c r="F472" s="19" t="inlineStr">
        <is>
          <t>03号泊位</t>
        </is>
      </c>
      <c r="G472" s="20" t="n">
        <v>11677</v>
      </c>
      <c r="H472" s="38" t="n">
        <v>8.140000000000001</v>
      </c>
      <c r="I472" s="38" t="n">
        <v>5.45</v>
      </c>
      <c r="J472" s="38" t="n">
        <v>8.85</v>
      </c>
      <c r="K472" s="20" t="n">
        <v>0</v>
      </c>
      <c r="L472" s="26">
        <f>IF(H472&lt;=J472,1,0)</f>
        <v>1</v>
      </c>
    </row>
    <row r="473">
      <c r="A473" s="24" t="inlineStr">
        <is>
          <t>QL-078-4</t>
        </is>
      </c>
      <c r="B473" s="39" t="n">
        <v>45735</v>
      </c>
      <c r="C473" s="40" t="inlineStr">
        <is>
          <t>进港</t>
        </is>
      </c>
      <c r="D473" s="24" t="inlineStr">
        <is>
          <t>粮食</t>
        </is>
      </c>
      <c r="E473" s="24" t="inlineStr">
        <is>
          <t>东亚</t>
        </is>
      </c>
      <c r="F473" s="24" t="inlineStr">
        <is>
          <t>04号泊位</t>
        </is>
      </c>
      <c r="G473" s="25" t="n">
        <v>7419</v>
      </c>
      <c r="H473" s="41" t="n">
        <v>6.01</v>
      </c>
      <c r="I473" s="41" t="n">
        <v>0.72</v>
      </c>
      <c r="J473" s="41" t="n">
        <v>7.27</v>
      </c>
      <c r="K473" s="25" t="n">
        <v>0</v>
      </c>
      <c r="L473" s="26">
        <f>IF(H473&lt;=J473,1,0)</f>
        <v>1</v>
      </c>
    </row>
    <row r="474">
      <c r="A474" s="19" t="inlineStr">
        <is>
          <t>QL-078-5</t>
        </is>
      </c>
      <c r="B474" s="36" t="n">
        <v>45735</v>
      </c>
      <c r="C474" s="37" t="inlineStr">
        <is>
          <t>出港</t>
        </is>
      </c>
      <c r="D474" s="19" t="inlineStr">
        <is>
          <t>液体散货</t>
        </is>
      </c>
      <c r="E474" s="19" t="inlineStr">
        <is>
          <t>国内沿海</t>
        </is>
      </c>
      <c r="F474" s="19" t="inlineStr">
        <is>
          <t>05号泊位</t>
        </is>
      </c>
      <c r="G474" s="20" t="n">
        <v>10333</v>
      </c>
      <c r="H474" s="38" t="n">
        <v>6.24</v>
      </c>
      <c r="I474" s="38" t="n">
        <v>1.13</v>
      </c>
      <c r="J474" s="38" t="n">
        <v>7.18</v>
      </c>
      <c r="K474" s="20" t="n">
        <v>0</v>
      </c>
      <c r="L474" s="26">
        <f>IF(H474&lt;=J474,1,0)</f>
        <v>1</v>
      </c>
    </row>
    <row r="475">
      <c r="A475" s="24" t="inlineStr">
        <is>
          <t>QL-078-6</t>
        </is>
      </c>
      <c r="B475" s="39" t="n">
        <v>45735</v>
      </c>
      <c r="C475" s="40" t="inlineStr">
        <is>
          <t>进港</t>
        </is>
      </c>
      <c r="D475" s="24" t="inlineStr">
        <is>
          <t>件杂货</t>
        </is>
      </c>
      <c r="E475" s="24" t="inlineStr">
        <is>
          <t>国内沿海</t>
        </is>
      </c>
      <c r="F475" s="24" t="inlineStr">
        <is>
          <t>06号泊位</t>
        </is>
      </c>
      <c r="G475" s="25" t="n">
        <v>5690</v>
      </c>
      <c r="H475" s="41" t="n">
        <v>8.26</v>
      </c>
      <c r="I475" s="41" t="n">
        <v>1.94</v>
      </c>
      <c r="J475" s="41" t="n">
        <v>9.33</v>
      </c>
      <c r="K475" s="25" t="n">
        <v>0</v>
      </c>
      <c r="L475" s="26">
        <f>IF(H475&lt;=J475,1,0)</f>
        <v>1</v>
      </c>
    </row>
    <row r="476">
      <c r="A476" s="19" t="inlineStr">
        <is>
          <t>QL-079-1</t>
        </is>
      </c>
      <c r="B476" s="36" t="n">
        <v>45736</v>
      </c>
      <c r="C476" s="37" t="inlineStr">
        <is>
          <t>出港</t>
        </is>
      </c>
      <c r="D476" s="19" t="inlineStr">
        <is>
          <t>集装箱货物</t>
        </is>
      </c>
      <c r="E476" s="19" t="inlineStr">
        <is>
          <t>东南亚</t>
        </is>
      </c>
      <c r="F476" s="19" t="inlineStr">
        <is>
          <t>01号泊位</t>
        </is>
      </c>
      <c r="G476" s="20" t="n">
        <v>11222</v>
      </c>
      <c r="H476" s="38" t="n">
        <v>11.44</v>
      </c>
      <c r="I476" s="38" t="n">
        <v>5.56</v>
      </c>
      <c r="J476" s="38" t="n">
        <v>12.47</v>
      </c>
      <c r="K476" s="20" t="n">
        <v>763</v>
      </c>
      <c r="L476" s="26">
        <f>IF(H476&lt;=J476,1,0)</f>
        <v>1</v>
      </c>
    </row>
    <row r="477">
      <c r="A477" s="24" t="inlineStr">
        <is>
          <t>QL-079-2</t>
        </is>
      </c>
      <c r="B477" s="39" t="n">
        <v>45736</v>
      </c>
      <c r="C477" s="40" t="inlineStr">
        <is>
          <t>进港</t>
        </is>
      </c>
      <c r="D477" s="24" t="inlineStr">
        <is>
          <t>金属矿石</t>
        </is>
      </c>
      <c r="E477" s="24" t="inlineStr">
        <is>
          <t>东亚</t>
        </is>
      </c>
      <c r="F477" s="24" t="inlineStr">
        <is>
          <t>02号泊位</t>
        </is>
      </c>
      <c r="G477" s="25" t="n">
        <v>22818</v>
      </c>
      <c r="H477" s="41" t="n">
        <v>13.9</v>
      </c>
      <c r="I477" s="41" t="n">
        <v>3.39</v>
      </c>
      <c r="J477" s="41" t="n">
        <v>14.72</v>
      </c>
      <c r="K477" s="25" t="n">
        <v>0</v>
      </c>
      <c r="L477" s="26">
        <f>IF(H477&lt;=J477,1,0)</f>
        <v>1</v>
      </c>
    </row>
    <row r="478">
      <c r="A478" s="19" t="inlineStr">
        <is>
          <t>QL-079-3</t>
        </is>
      </c>
      <c r="B478" s="36" t="n">
        <v>45736</v>
      </c>
      <c r="C478" s="37" t="inlineStr">
        <is>
          <t>进港</t>
        </is>
      </c>
      <c r="D478" s="19" t="inlineStr">
        <is>
          <t>煤炭</t>
        </is>
      </c>
      <c r="E478" s="19" t="inlineStr">
        <is>
          <t>北美</t>
        </is>
      </c>
      <c r="F478" s="19" t="inlineStr">
        <is>
          <t>03号泊位</t>
        </is>
      </c>
      <c r="G478" s="20" t="n">
        <v>5519</v>
      </c>
      <c r="H478" s="38" t="n">
        <v>4.42</v>
      </c>
      <c r="I478" s="38" t="n">
        <v>0.68</v>
      </c>
      <c r="J478" s="38" t="n">
        <v>4.18</v>
      </c>
      <c r="K478" s="20" t="n">
        <v>0</v>
      </c>
      <c r="L478" s="26">
        <f>IF(H478&lt;=J478,1,0)</f>
        <v>0</v>
      </c>
    </row>
    <row r="479">
      <c r="A479" s="24" t="inlineStr">
        <is>
          <t>QL-079-4</t>
        </is>
      </c>
      <c r="B479" s="39" t="n">
        <v>45736</v>
      </c>
      <c r="C479" s="40" t="inlineStr">
        <is>
          <t>进港</t>
        </is>
      </c>
      <c r="D479" s="24" t="inlineStr">
        <is>
          <t>粮食</t>
        </is>
      </c>
      <c r="E479" s="24" t="inlineStr">
        <is>
          <t>欧洲</t>
        </is>
      </c>
      <c r="F479" s="24" t="inlineStr">
        <is>
          <t>04号泊位</t>
        </is>
      </c>
      <c r="G479" s="25" t="n">
        <v>5506</v>
      </c>
      <c r="H479" s="41" t="n">
        <v>5.67</v>
      </c>
      <c r="I479" s="41" t="n">
        <v>2.82</v>
      </c>
      <c r="J479" s="41" t="n">
        <v>5.4</v>
      </c>
      <c r="K479" s="25" t="n">
        <v>0</v>
      </c>
      <c r="L479" s="26">
        <f>IF(H479&lt;=J479,1,0)</f>
        <v>0</v>
      </c>
    </row>
    <row r="480">
      <c r="A480" s="19" t="inlineStr">
        <is>
          <t>QL-079-5</t>
        </is>
      </c>
      <c r="B480" s="36" t="n">
        <v>45736</v>
      </c>
      <c r="C480" s="37" t="inlineStr">
        <is>
          <t>进港</t>
        </is>
      </c>
      <c r="D480" s="19" t="inlineStr">
        <is>
          <t>液体散货</t>
        </is>
      </c>
      <c r="E480" s="19" t="inlineStr">
        <is>
          <t>东南亚</t>
        </is>
      </c>
      <c r="F480" s="19" t="inlineStr">
        <is>
          <t>05号泊位</t>
        </is>
      </c>
      <c r="G480" s="20" t="n">
        <v>8852</v>
      </c>
      <c r="H480" s="38" t="n">
        <v>6.47</v>
      </c>
      <c r="I480" s="38" t="n">
        <v>2.29</v>
      </c>
      <c r="J480" s="38" t="n">
        <v>6.15</v>
      </c>
      <c r="K480" s="20" t="n">
        <v>0</v>
      </c>
      <c r="L480" s="26">
        <f>IF(H480&lt;=J480,1,0)</f>
        <v>0</v>
      </c>
    </row>
    <row r="481">
      <c r="A481" s="24" t="inlineStr">
        <is>
          <t>QL-079-6</t>
        </is>
      </c>
      <c r="B481" s="39" t="n">
        <v>45736</v>
      </c>
      <c r="C481" s="40" t="inlineStr">
        <is>
          <t>进港</t>
        </is>
      </c>
      <c r="D481" s="24" t="inlineStr">
        <is>
          <t>件杂货</t>
        </is>
      </c>
      <c r="E481" s="24" t="inlineStr">
        <is>
          <t>北美</t>
        </is>
      </c>
      <c r="F481" s="24" t="inlineStr">
        <is>
          <t>06号泊位</t>
        </is>
      </c>
      <c r="G481" s="25" t="n">
        <v>4695</v>
      </c>
      <c r="H481" s="41" t="n">
        <v>8.68</v>
      </c>
      <c r="I481" s="41" t="n">
        <v>1.96</v>
      </c>
      <c r="J481" s="41" t="n">
        <v>7.7</v>
      </c>
      <c r="K481" s="25" t="n">
        <v>0</v>
      </c>
      <c r="L481" s="26">
        <f>IF(H481&lt;=J481,1,0)</f>
        <v>0</v>
      </c>
    </row>
    <row r="482">
      <c r="A482" s="19" t="inlineStr">
        <is>
          <t>QL-080-1</t>
        </is>
      </c>
      <c r="B482" s="36" t="n">
        <v>45737</v>
      </c>
      <c r="C482" s="37" t="inlineStr">
        <is>
          <t>出港</t>
        </is>
      </c>
      <c r="D482" s="19" t="inlineStr">
        <is>
          <t>集装箱货物</t>
        </is>
      </c>
      <c r="E482" s="19" t="inlineStr">
        <is>
          <t>东南亚</t>
        </is>
      </c>
      <c r="F482" s="19" t="inlineStr">
        <is>
          <t>01号泊位</t>
        </is>
      </c>
      <c r="G482" s="20" t="n">
        <v>7124</v>
      </c>
      <c r="H482" s="38" t="n">
        <v>8.68</v>
      </c>
      <c r="I482" s="38" t="n">
        <v>0.75</v>
      </c>
      <c r="J482" s="38" t="n">
        <v>7.92</v>
      </c>
      <c r="K482" s="20" t="n">
        <v>426</v>
      </c>
      <c r="L482" s="26">
        <f>IF(H482&lt;=J482,1,0)</f>
        <v>0</v>
      </c>
    </row>
    <row r="483">
      <c r="A483" s="24" t="inlineStr">
        <is>
          <t>QL-080-2</t>
        </is>
      </c>
      <c r="B483" s="39" t="n">
        <v>45737</v>
      </c>
      <c r="C483" s="40" t="inlineStr">
        <is>
          <t>进港</t>
        </is>
      </c>
      <c r="D483" s="24" t="inlineStr">
        <is>
          <t>金属矿石</t>
        </is>
      </c>
      <c r="E483" s="24" t="inlineStr">
        <is>
          <t>北美</t>
        </is>
      </c>
      <c r="F483" s="24" t="inlineStr">
        <is>
          <t>02号泊位</t>
        </is>
      </c>
      <c r="G483" s="25" t="n">
        <v>13326</v>
      </c>
      <c r="H483" s="41" t="n">
        <v>7.37</v>
      </c>
      <c r="I483" s="41" t="n">
        <v>0.99</v>
      </c>
      <c r="J483" s="41" t="n">
        <v>8.6</v>
      </c>
      <c r="K483" s="25" t="n">
        <v>0</v>
      </c>
      <c r="L483" s="26">
        <f>IF(H483&lt;=J483,1,0)</f>
        <v>1</v>
      </c>
    </row>
    <row r="484">
      <c r="A484" s="19" t="inlineStr">
        <is>
          <t>QL-080-3</t>
        </is>
      </c>
      <c r="B484" s="36" t="n">
        <v>45737</v>
      </c>
      <c r="C484" s="37" t="inlineStr">
        <is>
          <t>进港</t>
        </is>
      </c>
      <c r="D484" s="19" t="inlineStr">
        <is>
          <t>煤炭</t>
        </is>
      </c>
      <c r="E484" s="19" t="inlineStr">
        <is>
          <t>东亚</t>
        </is>
      </c>
      <c r="F484" s="19" t="inlineStr">
        <is>
          <t>03号泊位</t>
        </is>
      </c>
      <c r="G484" s="20" t="n">
        <v>13786</v>
      </c>
      <c r="H484" s="38" t="n">
        <v>10.24</v>
      </c>
      <c r="I484" s="38" t="n">
        <v>3.63</v>
      </c>
      <c r="J484" s="38" t="n">
        <v>10.44</v>
      </c>
      <c r="K484" s="20" t="n">
        <v>0</v>
      </c>
      <c r="L484" s="26">
        <f>IF(H484&lt;=J484,1,0)</f>
        <v>1</v>
      </c>
    </row>
    <row r="485">
      <c r="A485" s="24" t="inlineStr">
        <is>
          <t>QL-080-4</t>
        </is>
      </c>
      <c r="B485" s="39" t="n">
        <v>45737</v>
      </c>
      <c r="C485" s="40" t="inlineStr">
        <is>
          <t>进港</t>
        </is>
      </c>
      <c r="D485" s="24" t="inlineStr">
        <is>
          <t>粮食</t>
        </is>
      </c>
      <c r="E485" s="24" t="inlineStr">
        <is>
          <t>东南亚</t>
        </is>
      </c>
      <c r="F485" s="24" t="inlineStr">
        <is>
          <t>04号泊位</t>
        </is>
      </c>
      <c r="G485" s="25" t="n">
        <v>8694</v>
      </c>
      <c r="H485" s="41" t="n">
        <v>9.33</v>
      </c>
      <c r="I485" s="41" t="n">
        <v>2.06</v>
      </c>
      <c r="J485" s="41" t="n">
        <v>8.52</v>
      </c>
      <c r="K485" s="25" t="n">
        <v>0</v>
      </c>
      <c r="L485" s="26">
        <f>IF(H485&lt;=J485,1,0)</f>
        <v>0</v>
      </c>
    </row>
    <row r="486">
      <c r="A486" s="19" t="inlineStr">
        <is>
          <t>QL-080-5</t>
        </is>
      </c>
      <c r="B486" s="36" t="n">
        <v>45737</v>
      </c>
      <c r="C486" s="37" t="inlineStr">
        <is>
          <t>进港</t>
        </is>
      </c>
      <c r="D486" s="19" t="inlineStr">
        <is>
          <t>液体散货</t>
        </is>
      </c>
      <c r="E486" s="19" t="inlineStr">
        <is>
          <t>欧洲</t>
        </is>
      </c>
      <c r="F486" s="19" t="inlineStr">
        <is>
          <t>05号泊位</t>
        </is>
      </c>
      <c r="G486" s="20" t="n">
        <v>12020</v>
      </c>
      <c r="H486" s="38" t="n">
        <v>7.93</v>
      </c>
      <c r="I486" s="38" t="n">
        <v>2.48</v>
      </c>
      <c r="J486" s="38" t="n">
        <v>8.35</v>
      </c>
      <c r="K486" s="20" t="n">
        <v>0</v>
      </c>
      <c r="L486" s="26">
        <f>IF(H486&lt;=J486,1,0)</f>
        <v>1</v>
      </c>
    </row>
    <row r="487">
      <c r="A487" s="24" t="inlineStr">
        <is>
          <t>QL-080-6</t>
        </is>
      </c>
      <c r="B487" s="39" t="n">
        <v>45737</v>
      </c>
      <c r="C487" s="40" t="inlineStr">
        <is>
          <t>出港</t>
        </is>
      </c>
      <c r="D487" s="24" t="inlineStr">
        <is>
          <t>件杂货</t>
        </is>
      </c>
      <c r="E487" s="24" t="inlineStr">
        <is>
          <t>国内沿海</t>
        </is>
      </c>
      <c r="F487" s="24" t="inlineStr">
        <is>
          <t>06号泊位</t>
        </is>
      </c>
      <c r="G487" s="25" t="n">
        <v>5309</v>
      </c>
      <c r="H487" s="41" t="n">
        <v>10.46</v>
      </c>
      <c r="I487" s="41" t="n">
        <v>3.87</v>
      </c>
      <c r="J487" s="41" t="n">
        <v>8.699999999999999</v>
      </c>
      <c r="K487" s="25" t="n">
        <v>0</v>
      </c>
      <c r="L487" s="26">
        <f>IF(H487&lt;=J487,1,0)</f>
        <v>0</v>
      </c>
    </row>
    <row r="488">
      <c r="A488" s="19" t="inlineStr">
        <is>
          <t>QL-081-1</t>
        </is>
      </c>
      <c r="B488" s="36" t="n">
        <v>45738</v>
      </c>
      <c r="C488" s="37" t="inlineStr">
        <is>
          <t>进港</t>
        </is>
      </c>
      <c r="D488" s="19" t="inlineStr">
        <is>
          <t>集装箱货物</t>
        </is>
      </c>
      <c r="E488" s="19" t="inlineStr">
        <is>
          <t>东南亚</t>
        </is>
      </c>
      <c r="F488" s="19" t="inlineStr">
        <is>
          <t>01号泊位</t>
        </is>
      </c>
      <c r="G488" s="20" t="n">
        <v>7772</v>
      </c>
      <c r="H488" s="38" t="n">
        <v>9.66</v>
      </c>
      <c r="I488" s="38" t="n">
        <v>8.24</v>
      </c>
      <c r="J488" s="38" t="n">
        <v>8.640000000000001</v>
      </c>
      <c r="K488" s="20" t="n">
        <v>572</v>
      </c>
      <c r="L488" s="26">
        <f>IF(H488&lt;=J488,1,0)</f>
        <v>0</v>
      </c>
    </row>
    <row r="489">
      <c r="A489" s="24" t="inlineStr">
        <is>
          <t>QL-081-2</t>
        </is>
      </c>
      <c r="B489" s="39" t="n">
        <v>45738</v>
      </c>
      <c r="C489" s="40" t="inlineStr">
        <is>
          <t>出港</t>
        </is>
      </c>
      <c r="D489" s="24" t="inlineStr">
        <is>
          <t>金属矿石</t>
        </is>
      </c>
      <c r="E489" s="24" t="inlineStr">
        <is>
          <t>国内沿海</t>
        </is>
      </c>
      <c r="F489" s="24" t="inlineStr">
        <is>
          <t>02号泊位</t>
        </is>
      </c>
      <c r="G489" s="25" t="n">
        <v>10910</v>
      </c>
      <c r="H489" s="41" t="n">
        <v>6.3</v>
      </c>
      <c r="I489" s="41" t="n">
        <v>1.94</v>
      </c>
      <c r="J489" s="41" t="n">
        <v>7.04</v>
      </c>
      <c r="K489" s="25" t="n">
        <v>0</v>
      </c>
      <c r="L489" s="26">
        <f>IF(H489&lt;=J489,1,0)</f>
        <v>1</v>
      </c>
    </row>
    <row r="490">
      <c r="A490" s="19" t="inlineStr">
        <is>
          <t>QL-081-3</t>
        </is>
      </c>
      <c r="B490" s="36" t="n">
        <v>45738</v>
      </c>
      <c r="C490" s="37" t="inlineStr">
        <is>
          <t>出港</t>
        </is>
      </c>
      <c r="D490" s="19" t="inlineStr">
        <is>
          <t>煤炭</t>
        </is>
      </c>
      <c r="E490" s="19" t="inlineStr">
        <is>
          <t>东南亚</t>
        </is>
      </c>
      <c r="F490" s="19" t="inlineStr">
        <is>
          <t>03号泊位</t>
        </is>
      </c>
      <c r="G490" s="20" t="n">
        <v>16418</v>
      </c>
      <c r="H490" s="38" t="n">
        <v>12.04</v>
      </c>
      <c r="I490" s="38" t="n">
        <v>3.06</v>
      </c>
      <c r="J490" s="38" t="n">
        <v>12.44</v>
      </c>
      <c r="K490" s="20" t="n">
        <v>0</v>
      </c>
      <c r="L490" s="26">
        <f>IF(H490&lt;=J490,1,0)</f>
        <v>1</v>
      </c>
    </row>
    <row r="491">
      <c r="A491" s="24" t="inlineStr">
        <is>
          <t>QL-081-4</t>
        </is>
      </c>
      <c r="B491" s="39" t="n">
        <v>45738</v>
      </c>
      <c r="C491" s="40" t="inlineStr">
        <is>
          <t>进港</t>
        </is>
      </c>
      <c r="D491" s="24" t="inlineStr">
        <is>
          <t>粮食</t>
        </is>
      </c>
      <c r="E491" s="24" t="inlineStr">
        <is>
          <t>欧洲</t>
        </is>
      </c>
      <c r="F491" s="24" t="inlineStr">
        <is>
          <t>04号泊位</t>
        </is>
      </c>
      <c r="G491" s="25" t="n">
        <v>10211</v>
      </c>
      <c r="H491" s="41" t="n">
        <v>8.48</v>
      </c>
      <c r="I491" s="41" t="n">
        <v>2.29</v>
      </c>
      <c r="J491" s="41" t="n">
        <v>10.01</v>
      </c>
      <c r="K491" s="25" t="n">
        <v>0</v>
      </c>
      <c r="L491" s="26">
        <f>IF(H491&lt;=J491,1,0)</f>
        <v>1</v>
      </c>
    </row>
    <row r="492">
      <c r="A492" s="19" t="inlineStr">
        <is>
          <t>QL-081-5</t>
        </is>
      </c>
      <c r="B492" s="36" t="n">
        <v>45738</v>
      </c>
      <c r="C492" s="37" t="inlineStr">
        <is>
          <t>进港</t>
        </is>
      </c>
      <c r="D492" s="19" t="inlineStr">
        <is>
          <t>液体散货</t>
        </is>
      </c>
      <c r="E492" s="19" t="inlineStr">
        <is>
          <t>欧洲</t>
        </is>
      </c>
      <c r="F492" s="19" t="inlineStr">
        <is>
          <t>05号泊位</t>
        </is>
      </c>
      <c r="G492" s="20" t="n">
        <v>17467</v>
      </c>
      <c r="H492" s="38" t="n">
        <v>13.08</v>
      </c>
      <c r="I492" s="38" t="n">
        <v>2.37</v>
      </c>
      <c r="J492" s="38" t="n">
        <v>12.13</v>
      </c>
      <c r="K492" s="20" t="n">
        <v>0</v>
      </c>
      <c r="L492" s="26">
        <f>IF(H492&lt;=J492,1,0)</f>
        <v>0</v>
      </c>
    </row>
    <row r="493">
      <c r="A493" s="24" t="inlineStr">
        <is>
          <t>QL-081-6</t>
        </is>
      </c>
      <c r="B493" s="39" t="n">
        <v>45738</v>
      </c>
      <c r="C493" s="40" t="inlineStr">
        <is>
          <t>出港</t>
        </is>
      </c>
      <c r="D493" s="24" t="inlineStr">
        <is>
          <t>件杂货</t>
        </is>
      </c>
      <c r="E493" s="24" t="inlineStr">
        <is>
          <t>北美</t>
        </is>
      </c>
      <c r="F493" s="24" t="inlineStr">
        <is>
          <t>06号泊位</t>
        </is>
      </c>
      <c r="G493" s="25" t="n">
        <v>5133</v>
      </c>
      <c r="H493" s="41" t="n">
        <v>8.92</v>
      </c>
      <c r="I493" s="41" t="n">
        <v>0.3</v>
      </c>
      <c r="J493" s="41" t="n">
        <v>8.41</v>
      </c>
      <c r="K493" s="25" t="n">
        <v>0</v>
      </c>
      <c r="L493" s="26">
        <f>IF(H493&lt;=J493,1,0)</f>
        <v>0</v>
      </c>
    </row>
    <row r="494">
      <c r="A494" s="19" t="inlineStr">
        <is>
          <t>QL-082-1</t>
        </is>
      </c>
      <c r="B494" s="36" t="n">
        <v>45739</v>
      </c>
      <c r="C494" s="37" t="inlineStr">
        <is>
          <t>出港</t>
        </is>
      </c>
      <c r="D494" s="19" t="inlineStr">
        <is>
          <t>集装箱货物</t>
        </is>
      </c>
      <c r="E494" s="19" t="inlineStr">
        <is>
          <t>东南亚</t>
        </is>
      </c>
      <c r="F494" s="19" t="inlineStr">
        <is>
          <t>01号泊位</t>
        </is>
      </c>
      <c r="G494" s="20" t="n">
        <v>10387</v>
      </c>
      <c r="H494" s="38" t="n">
        <v>10.31</v>
      </c>
      <c r="I494" s="38" t="n">
        <v>7.62</v>
      </c>
      <c r="J494" s="38" t="n">
        <v>11.54</v>
      </c>
      <c r="K494" s="20" t="n">
        <v>719</v>
      </c>
      <c r="L494" s="26">
        <f>IF(H494&lt;=J494,1,0)</f>
        <v>1</v>
      </c>
    </row>
    <row r="495">
      <c r="A495" s="24" t="inlineStr">
        <is>
          <t>QL-082-2</t>
        </is>
      </c>
      <c r="B495" s="39" t="n">
        <v>45739</v>
      </c>
      <c r="C495" s="40" t="inlineStr">
        <is>
          <t>进港</t>
        </is>
      </c>
      <c r="D495" s="24" t="inlineStr">
        <is>
          <t>金属矿石</t>
        </is>
      </c>
      <c r="E495" s="24" t="inlineStr">
        <is>
          <t>东亚</t>
        </is>
      </c>
      <c r="F495" s="24" t="inlineStr">
        <is>
          <t>02号泊位</t>
        </is>
      </c>
      <c r="G495" s="25" t="n">
        <v>19188</v>
      </c>
      <c r="H495" s="41" t="n">
        <v>12.97</v>
      </c>
      <c r="I495" s="41" t="n">
        <v>2.87</v>
      </c>
      <c r="J495" s="41" t="n">
        <v>12.38</v>
      </c>
      <c r="K495" s="25" t="n">
        <v>0</v>
      </c>
      <c r="L495" s="26">
        <f>IF(H495&lt;=J495,1,0)</f>
        <v>0</v>
      </c>
    </row>
    <row r="496">
      <c r="A496" s="19" t="inlineStr">
        <is>
          <t>QL-082-3</t>
        </is>
      </c>
      <c r="B496" s="36" t="n">
        <v>45739</v>
      </c>
      <c r="C496" s="37" t="inlineStr">
        <is>
          <t>出港</t>
        </is>
      </c>
      <c r="D496" s="19" t="inlineStr">
        <is>
          <t>煤炭</t>
        </is>
      </c>
      <c r="E496" s="19" t="inlineStr">
        <is>
          <t>北美</t>
        </is>
      </c>
      <c r="F496" s="19" t="inlineStr">
        <is>
          <t>03号泊位</t>
        </is>
      </c>
      <c r="G496" s="20" t="n">
        <v>12403</v>
      </c>
      <c r="H496" s="38" t="n">
        <v>7.66</v>
      </c>
      <c r="I496" s="38" t="n">
        <v>0.4</v>
      </c>
      <c r="J496" s="38" t="n">
        <v>9.4</v>
      </c>
      <c r="K496" s="20" t="n">
        <v>0</v>
      </c>
      <c r="L496" s="26">
        <f>IF(H496&lt;=J496,1,0)</f>
        <v>1</v>
      </c>
    </row>
    <row r="497">
      <c r="A497" s="24" t="inlineStr">
        <is>
          <t>QL-082-4</t>
        </is>
      </c>
      <c r="B497" s="39" t="n">
        <v>45739</v>
      </c>
      <c r="C497" s="40" t="inlineStr">
        <is>
          <t>进港</t>
        </is>
      </c>
      <c r="D497" s="24" t="inlineStr">
        <is>
          <t>粮食</t>
        </is>
      </c>
      <c r="E497" s="24" t="inlineStr">
        <is>
          <t>东南亚</t>
        </is>
      </c>
      <c r="F497" s="24" t="inlineStr">
        <is>
          <t>04号泊位</t>
        </is>
      </c>
      <c r="G497" s="25" t="n">
        <v>7275</v>
      </c>
      <c r="H497" s="41" t="n">
        <v>7.23</v>
      </c>
      <c r="I497" s="41" t="n">
        <v>3.77</v>
      </c>
      <c r="J497" s="41" t="n">
        <v>7.13</v>
      </c>
      <c r="K497" s="25" t="n">
        <v>0</v>
      </c>
      <c r="L497" s="26">
        <f>IF(H497&lt;=J497,1,0)</f>
        <v>0</v>
      </c>
    </row>
    <row r="498">
      <c r="A498" s="19" t="inlineStr">
        <is>
          <t>QL-082-5</t>
        </is>
      </c>
      <c r="B498" s="36" t="n">
        <v>45739</v>
      </c>
      <c r="C498" s="37" t="inlineStr">
        <is>
          <t>出港</t>
        </is>
      </c>
      <c r="D498" s="19" t="inlineStr">
        <is>
          <t>液体散货</t>
        </is>
      </c>
      <c r="E498" s="19" t="inlineStr">
        <is>
          <t>北美</t>
        </is>
      </c>
      <c r="F498" s="19" t="inlineStr">
        <is>
          <t>05号泊位</t>
        </is>
      </c>
      <c r="G498" s="20" t="n">
        <v>11952</v>
      </c>
      <c r="H498" s="38" t="n">
        <v>6.76</v>
      </c>
      <c r="I498" s="38" t="n">
        <v>1.42</v>
      </c>
      <c r="J498" s="38" t="n">
        <v>8.300000000000001</v>
      </c>
      <c r="K498" s="20" t="n">
        <v>0</v>
      </c>
      <c r="L498" s="26">
        <f>IF(H498&lt;=J498,1,0)</f>
        <v>1</v>
      </c>
    </row>
    <row r="499">
      <c r="A499" s="24" t="inlineStr">
        <is>
          <t>QL-082-6</t>
        </is>
      </c>
      <c r="B499" s="39" t="n">
        <v>45739</v>
      </c>
      <c r="C499" s="40" t="inlineStr">
        <is>
          <t>出港</t>
        </is>
      </c>
      <c r="D499" s="24" t="inlineStr">
        <is>
          <t>件杂货</t>
        </is>
      </c>
      <c r="E499" s="24" t="inlineStr">
        <is>
          <t>东亚</t>
        </is>
      </c>
      <c r="F499" s="24" t="inlineStr">
        <is>
          <t>06号泊位</t>
        </is>
      </c>
      <c r="G499" s="25" t="n">
        <v>4416</v>
      </c>
      <c r="H499" s="41" t="n">
        <v>8.59</v>
      </c>
      <c r="I499" s="41" t="n">
        <v>0.63</v>
      </c>
      <c r="J499" s="41" t="n">
        <v>7.24</v>
      </c>
      <c r="K499" s="25" t="n">
        <v>0</v>
      </c>
      <c r="L499" s="26">
        <f>IF(H499&lt;=J499,1,0)</f>
        <v>0</v>
      </c>
    </row>
    <row r="500">
      <c r="A500" s="19" t="inlineStr">
        <is>
          <t>QL-083-1</t>
        </is>
      </c>
      <c r="B500" s="36" t="n">
        <v>45740</v>
      </c>
      <c r="C500" s="37" t="inlineStr">
        <is>
          <t>出港</t>
        </is>
      </c>
      <c r="D500" s="19" t="inlineStr">
        <is>
          <t>集装箱货物</t>
        </is>
      </c>
      <c r="E500" s="19" t="inlineStr">
        <is>
          <t>国内沿海</t>
        </is>
      </c>
      <c r="F500" s="19" t="inlineStr">
        <is>
          <t>01号泊位</t>
        </is>
      </c>
      <c r="G500" s="20" t="n">
        <v>6809</v>
      </c>
      <c r="H500" s="38" t="n">
        <v>8.34</v>
      </c>
      <c r="I500" s="38" t="n">
        <v>4.96</v>
      </c>
      <c r="J500" s="38" t="n">
        <v>7.57</v>
      </c>
      <c r="K500" s="20" t="n">
        <v>563</v>
      </c>
      <c r="L500" s="26">
        <f>IF(H500&lt;=J500,1,0)</f>
        <v>0</v>
      </c>
    </row>
    <row r="501">
      <c r="A501" s="24" t="inlineStr">
        <is>
          <t>QL-083-2</t>
        </is>
      </c>
      <c r="B501" s="39" t="n">
        <v>45740</v>
      </c>
      <c r="C501" s="40" t="inlineStr">
        <is>
          <t>进港</t>
        </is>
      </c>
      <c r="D501" s="24" t="inlineStr">
        <is>
          <t>金属矿石</t>
        </is>
      </c>
      <c r="E501" s="24" t="inlineStr">
        <is>
          <t>东南亚</t>
        </is>
      </c>
      <c r="F501" s="24" t="inlineStr">
        <is>
          <t>02号泊位</t>
        </is>
      </c>
      <c r="G501" s="25" t="n">
        <v>19565</v>
      </c>
      <c r="H501" s="41" t="n">
        <v>13.48</v>
      </c>
      <c r="I501" s="41" t="n">
        <v>1.47</v>
      </c>
      <c r="J501" s="41" t="n">
        <v>12.62</v>
      </c>
      <c r="K501" s="25" t="n">
        <v>0</v>
      </c>
      <c r="L501" s="26">
        <f>IF(H501&lt;=J501,1,0)</f>
        <v>0</v>
      </c>
    </row>
    <row r="502">
      <c r="A502" s="19" t="inlineStr">
        <is>
          <t>QL-083-3</t>
        </is>
      </c>
      <c r="B502" s="36" t="n">
        <v>45740</v>
      </c>
      <c r="C502" s="37" t="inlineStr">
        <is>
          <t>进港</t>
        </is>
      </c>
      <c r="D502" s="19" t="inlineStr">
        <is>
          <t>煤炭</t>
        </is>
      </c>
      <c r="E502" s="19" t="inlineStr">
        <is>
          <t>国内沿海</t>
        </is>
      </c>
      <c r="F502" s="19" t="inlineStr">
        <is>
          <t>03号泊位</t>
        </is>
      </c>
      <c r="G502" s="20" t="n">
        <v>8560</v>
      </c>
      <c r="H502" s="38" t="n">
        <v>6.52</v>
      </c>
      <c r="I502" s="38" t="n">
        <v>1.93</v>
      </c>
      <c r="J502" s="38" t="n">
        <v>6.48</v>
      </c>
      <c r="K502" s="20" t="n">
        <v>0</v>
      </c>
      <c r="L502" s="26">
        <f>IF(H502&lt;=J502,1,0)</f>
        <v>0</v>
      </c>
    </row>
    <row r="503">
      <c r="A503" s="24" t="inlineStr">
        <is>
          <t>QL-083-4</t>
        </is>
      </c>
      <c r="B503" s="39" t="n">
        <v>45740</v>
      </c>
      <c r="C503" s="40" t="inlineStr">
        <is>
          <t>进港</t>
        </is>
      </c>
      <c r="D503" s="24" t="inlineStr">
        <is>
          <t>粮食</t>
        </is>
      </c>
      <c r="E503" s="24" t="inlineStr">
        <is>
          <t>北美</t>
        </is>
      </c>
      <c r="F503" s="24" t="inlineStr">
        <is>
          <t>04号泊位</t>
        </is>
      </c>
      <c r="G503" s="25" t="n">
        <v>7282</v>
      </c>
      <c r="H503" s="41" t="n">
        <v>7.19</v>
      </c>
      <c r="I503" s="41" t="n">
        <v>0.96</v>
      </c>
      <c r="J503" s="41" t="n">
        <v>7.14</v>
      </c>
      <c r="K503" s="25" t="n">
        <v>0</v>
      </c>
      <c r="L503" s="26">
        <f>IF(H503&lt;=J503,1,0)</f>
        <v>0</v>
      </c>
    </row>
    <row r="504">
      <c r="A504" s="19" t="inlineStr">
        <is>
          <t>QL-083-5</t>
        </is>
      </c>
      <c r="B504" s="36" t="n">
        <v>45740</v>
      </c>
      <c r="C504" s="37" t="inlineStr">
        <is>
          <t>进港</t>
        </is>
      </c>
      <c r="D504" s="19" t="inlineStr">
        <is>
          <t>液体散货</t>
        </is>
      </c>
      <c r="E504" s="19" t="inlineStr">
        <is>
          <t>东亚</t>
        </is>
      </c>
      <c r="F504" s="19" t="inlineStr">
        <is>
          <t>05号泊位</t>
        </is>
      </c>
      <c r="G504" s="20" t="n">
        <v>8784</v>
      </c>
      <c r="H504" s="38" t="n">
        <v>6.92</v>
      </c>
      <c r="I504" s="38" t="n">
        <v>0.98</v>
      </c>
      <c r="J504" s="38" t="n">
        <v>6.1</v>
      </c>
      <c r="K504" s="20" t="n">
        <v>0</v>
      </c>
      <c r="L504" s="26">
        <f>IF(H504&lt;=J504,1,0)</f>
        <v>0</v>
      </c>
    </row>
    <row r="505">
      <c r="A505" s="24" t="inlineStr">
        <is>
          <t>QL-083-6</t>
        </is>
      </c>
      <c r="B505" s="39" t="n">
        <v>45740</v>
      </c>
      <c r="C505" s="40" t="inlineStr">
        <is>
          <t>进港</t>
        </is>
      </c>
      <c r="D505" s="24" t="inlineStr">
        <is>
          <t>件杂货</t>
        </is>
      </c>
      <c r="E505" s="24" t="inlineStr">
        <is>
          <t>东南亚</t>
        </is>
      </c>
      <c r="F505" s="24" t="inlineStr">
        <is>
          <t>06号泊位</t>
        </is>
      </c>
      <c r="G505" s="25" t="n">
        <v>3601</v>
      </c>
      <c r="H505" s="41" t="n">
        <v>6.31</v>
      </c>
      <c r="I505" s="41" t="n">
        <v>0.75</v>
      </c>
      <c r="J505" s="41" t="n">
        <v>5.9</v>
      </c>
      <c r="K505" s="25" t="n">
        <v>0</v>
      </c>
      <c r="L505" s="26">
        <f>IF(H505&lt;=J505,1,0)</f>
        <v>0</v>
      </c>
    </row>
    <row r="506">
      <c r="A506" s="19" t="inlineStr">
        <is>
          <t>QL-084-1</t>
        </is>
      </c>
      <c r="B506" s="36" t="n">
        <v>45741</v>
      </c>
      <c r="C506" s="37" t="inlineStr">
        <is>
          <t>出港</t>
        </is>
      </c>
      <c r="D506" s="19" t="inlineStr">
        <is>
          <t>集装箱货物</t>
        </is>
      </c>
      <c r="E506" s="19" t="inlineStr">
        <is>
          <t>东亚</t>
        </is>
      </c>
      <c r="F506" s="19" t="inlineStr">
        <is>
          <t>01号泊位</t>
        </is>
      </c>
      <c r="G506" s="20" t="n">
        <v>6812</v>
      </c>
      <c r="H506" s="38" t="n">
        <v>9.02</v>
      </c>
      <c r="I506" s="38" t="n">
        <v>3.04</v>
      </c>
      <c r="J506" s="38" t="n">
        <v>7.57</v>
      </c>
      <c r="K506" s="20" t="n">
        <v>511</v>
      </c>
      <c r="L506" s="26">
        <f>IF(H506&lt;=J506,1,0)</f>
        <v>0</v>
      </c>
    </row>
    <row r="507">
      <c r="A507" s="24" t="inlineStr">
        <is>
          <t>QL-084-2</t>
        </is>
      </c>
      <c r="B507" s="39" t="n">
        <v>45741</v>
      </c>
      <c r="C507" s="40" t="inlineStr">
        <is>
          <t>进港</t>
        </is>
      </c>
      <c r="D507" s="24" t="inlineStr">
        <is>
          <t>金属矿石</t>
        </is>
      </c>
      <c r="E507" s="24" t="inlineStr">
        <is>
          <t>东亚</t>
        </is>
      </c>
      <c r="F507" s="24" t="inlineStr">
        <is>
          <t>02号泊位</t>
        </is>
      </c>
      <c r="G507" s="25" t="n">
        <v>31515</v>
      </c>
      <c r="H507" s="41" t="n">
        <v>17.77</v>
      </c>
      <c r="I507" s="41" t="n">
        <v>2.93</v>
      </c>
      <c r="J507" s="41" t="n">
        <v>20.33</v>
      </c>
      <c r="K507" s="25" t="n">
        <v>0</v>
      </c>
      <c r="L507" s="26">
        <f>IF(H507&lt;=J507,1,0)</f>
        <v>1</v>
      </c>
    </row>
    <row r="508">
      <c r="A508" s="19" t="inlineStr">
        <is>
          <t>QL-084-3</t>
        </is>
      </c>
      <c r="B508" s="36" t="n">
        <v>45741</v>
      </c>
      <c r="C508" s="37" t="inlineStr">
        <is>
          <t>出港</t>
        </is>
      </c>
      <c r="D508" s="19" t="inlineStr">
        <is>
          <t>煤炭</t>
        </is>
      </c>
      <c r="E508" s="19" t="inlineStr">
        <is>
          <t>国内沿海</t>
        </is>
      </c>
      <c r="F508" s="19" t="inlineStr">
        <is>
          <t>03号泊位</t>
        </is>
      </c>
      <c r="G508" s="20" t="n">
        <v>9821</v>
      </c>
      <c r="H508" s="38" t="n">
        <v>7.29</v>
      </c>
      <c r="I508" s="38" t="n">
        <v>0.3</v>
      </c>
      <c r="J508" s="38" t="n">
        <v>7.44</v>
      </c>
      <c r="K508" s="20" t="n">
        <v>0</v>
      </c>
      <c r="L508" s="26">
        <f>IF(H508&lt;=J508,1,0)</f>
        <v>1</v>
      </c>
    </row>
    <row r="509">
      <c r="A509" s="24" t="inlineStr">
        <is>
          <t>QL-084-4</t>
        </is>
      </c>
      <c r="B509" s="39" t="n">
        <v>45741</v>
      </c>
      <c r="C509" s="40" t="inlineStr">
        <is>
          <t>进港</t>
        </is>
      </c>
      <c r="D509" s="24" t="inlineStr">
        <is>
          <t>粮食</t>
        </is>
      </c>
      <c r="E509" s="24" t="inlineStr">
        <is>
          <t>东南亚</t>
        </is>
      </c>
      <c r="F509" s="24" t="inlineStr">
        <is>
          <t>04号泊位</t>
        </is>
      </c>
      <c r="G509" s="25" t="n">
        <v>6622</v>
      </c>
      <c r="H509" s="41" t="n">
        <v>7.47</v>
      </c>
      <c r="I509" s="41" t="n">
        <v>3.05</v>
      </c>
      <c r="J509" s="41" t="n">
        <v>6.49</v>
      </c>
      <c r="K509" s="25" t="n">
        <v>0</v>
      </c>
      <c r="L509" s="26">
        <f>IF(H509&lt;=J509,1,0)</f>
        <v>0</v>
      </c>
    </row>
    <row r="510">
      <c r="A510" s="19" t="inlineStr">
        <is>
          <t>QL-084-5</t>
        </is>
      </c>
      <c r="B510" s="36" t="n">
        <v>45741</v>
      </c>
      <c r="C510" s="37" t="inlineStr">
        <is>
          <t>出港</t>
        </is>
      </c>
      <c r="D510" s="19" t="inlineStr">
        <is>
          <t>液体散货</t>
        </is>
      </c>
      <c r="E510" s="19" t="inlineStr">
        <is>
          <t>北美</t>
        </is>
      </c>
      <c r="F510" s="19" t="inlineStr">
        <is>
          <t>05号泊位</t>
        </is>
      </c>
      <c r="G510" s="20" t="n">
        <v>7387</v>
      </c>
      <c r="H510" s="38" t="n">
        <v>4.87</v>
      </c>
      <c r="I510" s="38" t="n">
        <v>0.62</v>
      </c>
      <c r="J510" s="38" t="n">
        <v>5.13</v>
      </c>
      <c r="K510" s="20" t="n">
        <v>0</v>
      </c>
      <c r="L510" s="26">
        <f>IF(H510&lt;=J510,1,0)</f>
        <v>1</v>
      </c>
    </row>
    <row r="511">
      <c r="A511" s="24" t="inlineStr">
        <is>
          <t>QL-084-6</t>
        </is>
      </c>
      <c r="B511" s="39" t="n">
        <v>45741</v>
      </c>
      <c r="C511" s="40" t="inlineStr">
        <is>
          <t>出港</t>
        </is>
      </c>
      <c r="D511" s="24" t="inlineStr">
        <is>
          <t>件杂货</t>
        </is>
      </c>
      <c r="E511" s="24" t="inlineStr">
        <is>
          <t>欧洲</t>
        </is>
      </c>
      <c r="F511" s="24" t="inlineStr">
        <is>
          <t>06号泊位</t>
        </is>
      </c>
      <c r="G511" s="25" t="n">
        <v>2880</v>
      </c>
      <c r="H511" s="41" t="n">
        <v>5.21</v>
      </c>
      <c r="I511" s="41" t="n">
        <v>1.09</v>
      </c>
      <c r="J511" s="41" t="n">
        <v>4.72</v>
      </c>
      <c r="K511" s="25" t="n">
        <v>0</v>
      </c>
      <c r="L511" s="26">
        <f>IF(H511&lt;=J511,1,0)</f>
        <v>0</v>
      </c>
    </row>
    <row r="512">
      <c r="A512" s="19" t="inlineStr">
        <is>
          <t>QL-085-1</t>
        </is>
      </c>
      <c r="B512" s="36" t="n">
        <v>45742</v>
      </c>
      <c r="C512" s="37" t="inlineStr">
        <is>
          <t>出港</t>
        </is>
      </c>
      <c r="D512" s="19" t="inlineStr">
        <is>
          <t>集装箱货物</t>
        </is>
      </c>
      <c r="E512" s="19" t="inlineStr">
        <is>
          <t>东亚</t>
        </is>
      </c>
      <c r="F512" s="19" t="inlineStr">
        <is>
          <t>01号泊位</t>
        </is>
      </c>
      <c r="G512" s="20" t="n">
        <v>13200</v>
      </c>
      <c r="H512" s="38" t="n">
        <v>14.34</v>
      </c>
      <c r="I512" s="38" t="n">
        <v>1.68</v>
      </c>
      <c r="J512" s="38" t="n">
        <v>14.67</v>
      </c>
      <c r="K512" s="20" t="n">
        <v>934</v>
      </c>
      <c r="L512" s="26">
        <f>IF(H512&lt;=J512,1,0)</f>
        <v>1</v>
      </c>
    </row>
    <row r="513">
      <c r="A513" s="24" t="inlineStr">
        <is>
          <t>QL-085-2</t>
        </is>
      </c>
      <c r="B513" s="39" t="n">
        <v>45742</v>
      </c>
      <c r="C513" s="40" t="inlineStr">
        <is>
          <t>进港</t>
        </is>
      </c>
      <c r="D513" s="24" t="inlineStr">
        <is>
          <t>金属矿石</t>
        </is>
      </c>
      <c r="E513" s="24" t="inlineStr">
        <is>
          <t>东亚</t>
        </is>
      </c>
      <c r="F513" s="24" t="inlineStr">
        <is>
          <t>02号泊位</t>
        </is>
      </c>
      <c r="G513" s="25" t="n">
        <v>28966</v>
      </c>
      <c r="H513" s="41" t="n">
        <v>16.29</v>
      </c>
      <c r="I513" s="41" t="n">
        <v>0.48</v>
      </c>
      <c r="J513" s="41" t="n">
        <v>18.69</v>
      </c>
      <c r="K513" s="25" t="n">
        <v>0</v>
      </c>
      <c r="L513" s="26">
        <f>IF(H513&lt;=J513,1,0)</f>
        <v>1</v>
      </c>
    </row>
    <row r="514">
      <c r="A514" s="19" t="inlineStr">
        <is>
          <t>QL-085-3</t>
        </is>
      </c>
      <c r="B514" s="36" t="n">
        <v>45742</v>
      </c>
      <c r="C514" s="37" t="inlineStr">
        <is>
          <t>进港</t>
        </is>
      </c>
      <c r="D514" s="19" t="inlineStr">
        <is>
          <t>煤炭</t>
        </is>
      </c>
      <c r="E514" s="19" t="inlineStr">
        <is>
          <t>东亚</t>
        </is>
      </c>
      <c r="F514" s="19" t="inlineStr">
        <is>
          <t>03号泊位</t>
        </is>
      </c>
      <c r="G514" s="20" t="n">
        <v>9362</v>
      </c>
      <c r="H514" s="38" t="n">
        <v>7.77</v>
      </c>
      <c r="I514" s="38" t="n">
        <v>1.74</v>
      </c>
      <c r="J514" s="38" t="n">
        <v>7.09</v>
      </c>
      <c r="K514" s="20" t="n">
        <v>0</v>
      </c>
      <c r="L514" s="26">
        <f>IF(H514&lt;=J514,1,0)</f>
        <v>0</v>
      </c>
    </row>
    <row r="515">
      <c r="A515" s="24" t="inlineStr">
        <is>
          <t>QL-085-4</t>
        </is>
      </c>
      <c r="B515" s="39" t="n">
        <v>45742</v>
      </c>
      <c r="C515" s="40" t="inlineStr">
        <is>
          <t>出港</t>
        </is>
      </c>
      <c r="D515" s="24" t="inlineStr">
        <is>
          <t>粮食</t>
        </is>
      </c>
      <c r="E515" s="24" t="inlineStr">
        <is>
          <t>东南亚</t>
        </is>
      </c>
      <c r="F515" s="24" t="inlineStr">
        <is>
          <t>04号泊位</t>
        </is>
      </c>
      <c r="G515" s="25" t="n">
        <v>6146</v>
      </c>
      <c r="H515" s="41" t="n">
        <v>6.52</v>
      </c>
      <c r="I515" s="41" t="n">
        <v>3.99</v>
      </c>
      <c r="J515" s="41" t="n">
        <v>6.03</v>
      </c>
      <c r="K515" s="25" t="n">
        <v>0</v>
      </c>
      <c r="L515" s="26">
        <f>IF(H515&lt;=J515,1,0)</f>
        <v>0</v>
      </c>
    </row>
    <row r="516">
      <c r="A516" s="19" t="inlineStr">
        <is>
          <t>QL-085-5</t>
        </is>
      </c>
      <c r="B516" s="36" t="n">
        <v>45742</v>
      </c>
      <c r="C516" s="37" t="inlineStr">
        <is>
          <t>出港</t>
        </is>
      </c>
      <c r="D516" s="19" t="inlineStr">
        <is>
          <t>液体散货</t>
        </is>
      </c>
      <c r="E516" s="19" t="inlineStr">
        <is>
          <t>东南亚</t>
        </is>
      </c>
      <c r="F516" s="19" t="inlineStr">
        <is>
          <t>05号泊位</t>
        </is>
      </c>
      <c r="G516" s="20" t="n">
        <v>8048</v>
      </c>
      <c r="H516" s="38" t="n">
        <v>6.38</v>
      </c>
      <c r="I516" s="38" t="n">
        <v>3.85</v>
      </c>
      <c r="J516" s="38" t="n">
        <v>5.59</v>
      </c>
      <c r="K516" s="20" t="n">
        <v>0</v>
      </c>
      <c r="L516" s="26">
        <f>IF(H516&lt;=J516,1,0)</f>
        <v>0</v>
      </c>
    </row>
    <row r="517">
      <c r="A517" s="24" t="inlineStr">
        <is>
          <t>QL-085-6</t>
        </is>
      </c>
      <c r="B517" s="39" t="n">
        <v>45742</v>
      </c>
      <c r="C517" s="40" t="inlineStr">
        <is>
          <t>出港</t>
        </is>
      </c>
      <c r="D517" s="24" t="inlineStr">
        <is>
          <t>件杂货</t>
        </is>
      </c>
      <c r="E517" s="24" t="inlineStr">
        <is>
          <t>欧洲</t>
        </is>
      </c>
      <c r="F517" s="24" t="inlineStr">
        <is>
          <t>06号泊位</t>
        </is>
      </c>
      <c r="G517" s="25" t="n">
        <v>4234</v>
      </c>
      <c r="H517" s="41" t="n">
        <v>7.39</v>
      </c>
      <c r="I517" s="41" t="n">
        <v>2.19</v>
      </c>
      <c r="J517" s="41" t="n">
        <v>6.94</v>
      </c>
      <c r="K517" s="25" t="n">
        <v>0</v>
      </c>
      <c r="L517" s="26">
        <f>IF(H517&lt;=J517,1,0)</f>
        <v>0</v>
      </c>
    </row>
    <row r="518">
      <c r="A518" s="19" t="inlineStr">
        <is>
          <t>QL-086-1</t>
        </is>
      </c>
      <c r="B518" s="36" t="n">
        <v>45743</v>
      </c>
      <c r="C518" s="37" t="inlineStr">
        <is>
          <t>出港</t>
        </is>
      </c>
      <c r="D518" s="19" t="inlineStr">
        <is>
          <t>集装箱货物</t>
        </is>
      </c>
      <c r="E518" s="19" t="inlineStr">
        <is>
          <t>东亚</t>
        </is>
      </c>
      <c r="F518" s="19" t="inlineStr">
        <is>
          <t>01号泊位</t>
        </is>
      </c>
      <c r="G518" s="20" t="n">
        <v>4721</v>
      </c>
      <c r="H518" s="38" t="n">
        <v>6.06</v>
      </c>
      <c r="I518" s="38" t="n">
        <v>0.3</v>
      </c>
      <c r="J518" s="38" t="n">
        <v>5.25</v>
      </c>
      <c r="K518" s="20" t="n">
        <v>311</v>
      </c>
      <c r="L518" s="26">
        <f>IF(H518&lt;=J518,1,0)</f>
        <v>0</v>
      </c>
    </row>
    <row r="519">
      <c r="A519" s="24" t="inlineStr">
        <is>
          <t>QL-086-2</t>
        </is>
      </c>
      <c r="B519" s="39" t="n">
        <v>45743</v>
      </c>
      <c r="C519" s="40" t="inlineStr">
        <is>
          <t>进港</t>
        </is>
      </c>
      <c r="D519" s="24" t="inlineStr">
        <is>
          <t>金属矿石</t>
        </is>
      </c>
      <c r="E519" s="24" t="inlineStr">
        <is>
          <t>东亚</t>
        </is>
      </c>
      <c r="F519" s="24" t="inlineStr">
        <is>
          <t>02号泊位</t>
        </is>
      </c>
      <c r="G519" s="25" t="n">
        <v>17816</v>
      </c>
      <c r="H519" s="41" t="n">
        <v>10.55</v>
      </c>
      <c r="I519" s="41" t="n">
        <v>0.86</v>
      </c>
      <c r="J519" s="41" t="n">
        <v>11.49</v>
      </c>
      <c r="K519" s="25" t="n">
        <v>0</v>
      </c>
      <c r="L519" s="26">
        <f>IF(H519&lt;=J519,1,0)</f>
        <v>1</v>
      </c>
    </row>
    <row r="520">
      <c r="A520" s="19" t="inlineStr">
        <is>
          <t>QL-086-3</t>
        </is>
      </c>
      <c r="B520" s="36" t="n">
        <v>45743</v>
      </c>
      <c r="C520" s="37" t="inlineStr">
        <is>
          <t>出港</t>
        </is>
      </c>
      <c r="D520" s="19" t="inlineStr">
        <is>
          <t>煤炭</t>
        </is>
      </c>
      <c r="E520" s="19" t="inlineStr">
        <is>
          <t>国内沿海</t>
        </is>
      </c>
      <c r="F520" s="19" t="inlineStr">
        <is>
          <t>03号泊位</t>
        </is>
      </c>
      <c r="G520" s="20" t="n">
        <v>8935</v>
      </c>
      <c r="H520" s="38" t="n">
        <v>7.52</v>
      </c>
      <c r="I520" s="38" t="n">
        <v>0.7</v>
      </c>
      <c r="J520" s="38" t="n">
        <v>6.77</v>
      </c>
      <c r="K520" s="20" t="n">
        <v>0</v>
      </c>
      <c r="L520" s="26">
        <f>IF(H520&lt;=J520,1,0)</f>
        <v>0</v>
      </c>
    </row>
    <row r="521">
      <c r="A521" s="24" t="inlineStr">
        <is>
          <t>QL-086-4</t>
        </is>
      </c>
      <c r="B521" s="39" t="n">
        <v>45743</v>
      </c>
      <c r="C521" s="40" t="inlineStr">
        <is>
          <t>进港</t>
        </is>
      </c>
      <c r="D521" s="24" t="inlineStr">
        <is>
          <t>粮食</t>
        </is>
      </c>
      <c r="E521" s="24" t="inlineStr">
        <is>
          <t>东亚</t>
        </is>
      </c>
      <c r="F521" s="24" t="inlineStr">
        <is>
          <t>04号泊位</t>
        </is>
      </c>
      <c r="G521" s="25" t="n">
        <v>5224</v>
      </c>
      <c r="H521" s="41" t="n">
        <v>5.21</v>
      </c>
      <c r="I521" s="41" t="n">
        <v>2.57</v>
      </c>
      <c r="J521" s="41" t="n">
        <v>5.12</v>
      </c>
      <c r="K521" s="25" t="n">
        <v>0</v>
      </c>
      <c r="L521" s="26">
        <f>IF(H521&lt;=J521,1,0)</f>
        <v>0</v>
      </c>
    </row>
    <row r="522">
      <c r="A522" s="19" t="inlineStr">
        <is>
          <t>QL-086-5</t>
        </is>
      </c>
      <c r="B522" s="36" t="n">
        <v>45743</v>
      </c>
      <c r="C522" s="37" t="inlineStr">
        <is>
          <t>进港</t>
        </is>
      </c>
      <c r="D522" s="19" t="inlineStr">
        <is>
          <t>液体散货</t>
        </is>
      </c>
      <c r="E522" s="19" t="inlineStr">
        <is>
          <t>东亚</t>
        </is>
      </c>
      <c r="F522" s="19" t="inlineStr">
        <is>
          <t>05号泊位</t>
        </is>
      </c>
      <c r="G522" s="20" t="n">
        <v>10362</v>
      </c>
      <c r="H522" s="38" t="n">
        <v>6.9</v>
      </c>
      <c r="I522" s="38" t="n">
        <v>0.3</v>
      </c>
      <c r="J522" s="38" t="n">
        <v>7.2</v>
      </c>
      <c r="K522" s="20" t="n">
        <v>0</v>
      </c>
      <c r="L522" s="26">
        <f>IF(H522&lt;=J522,1,0)</f>
        <v>1</v>
      </c>
    </row>
    <row r="523">
      <c r="A523" s="24" t="inlineStr">
        <is>
          <t>QL-086-6</t>
        </is>
      </c>
      <c r="B523" s="39" t="n">
        <v>45743</v>
      </c>
      <c r="C523" s="40" t="inlineStr">
        <is>
          <t>出港</t>
        </is>
      </c>
      <c r="D523" s="24" t="inlineStr">
        <is>
          <t>件杂货</t>
        </is>
      </c>
      <c r="E523" s="24" t="inlineStr">
        <is>
          <t>国内沿海</t>
        </is>
      </c>
      <c r="F523" s="24" t="inlineStr">
        <is>
          <t>06号泊位</t>
        </is>
      </c>
      <c r="G523" s="25" t="n">
        <v>4471</v>
      </c>
      <c r="H523" s="41" t="n">
        <v>8.33</v>
      </c>
      <c r="I523" s="41" t="n">
        <v>1.57</v>
      </c>
      <c r="J523" s="41" t="n">
        <v>7.33</v>
      </c>
      <c r="K523" s="25" t="n">
        <v>0</v>
      </c>
      <c r="L523" s="26">
        <f>IF(H523&lt;=J523,1,0)</f>
        <v>0</v>
      </c>
    </row>
    <row r="524">
      <c r="A524" s="19" t="inlineStr">
        <is>
          <t>QL-087-1</t>
        </is>
      </c>
      <c r="B524" s="36" t="n">
        <v>45744</v>
      </c>
      <c r="C524" s="37" t="inlineStr">
        <is>
          <t>出港</t>
        </is>
      </c>
      <c r="D524" s="19" t="inlineStr">
        <is>
          <t>集装箱货物</t>
        </is>
      </c>
      <c r="E524" s="19" t="inlineStr">
        <is>
          <t>国内沿海</t>
        </is>
      </c>
      <c r="F524" s="19" t="inlineStr">
        <is>
          <t>01号泊位</t>
        </is>
      </c>
      <c r="G524" s="20" t="n">
        <v>6926</v>
      </c>
      <c r="H524" s="38" t="n">
        <v>7</v>
      </c>
      <c r="I524" s="38" t="n">
        <v>4.63</v>
      </c>
      <c r="J524" s="38" t="n">
        <v>7.7</v>
      </c>
      <c r="K524" s="20" t="n">
        <v>488</v>
      </c>
      <c r="L524" s="26">
        <f>IF(H524&lt;=J524,1,0)</f>
        <v>1</v>
      </c>
    </row>
    <row r="525">
      <c r="A525" s="24" t="inlineStr">
        <is>
          <t>QL-087-2</t>
        </is>
      </c>
      <c r="B525" s="39" t="n">
        <v>45744</v>
      </c>
      <c r="C525" s="40" t="inlineStr">
        <is>
          <t>进港</t>
        </is>
      </c>
      <c r="D525" s="24" t="inlineStr">
        <is>
          <t>金属矿石</t>
        </is>
      </c>
      <c r="E525" s="24" t="inlineStr">
        <is>
          <t>欧洲</t>
        </is>
      </c>
      <c r="F525" s="24" t="inlineStr">
        <is>
          <t>02号泊位</t>
        </is>
      </c>
      <c r="G525" s="25" t="n">
        <v>11830</v>
      </c>
      <c r="H525" s="41" t="n">
        <v>8.65</v>
      </c>
      <c r="I525" s="41" t="n">
        <v>0.38</v>
      </c>
      <c r="J525" s="41" t="n">
        <v>7.63</v>
      </c>
      <c r="K525" s="25" t="n">
        <v>0</v>
      </c>
      <c r="L525" s="26">
        <f>IF(H525&lt;=J525,1,0)</f>
        <v>0</v>
      </c>
    </row>
    <row r="526">
      <c r="A526" s="19" t="inlineStr">
        <is>
          <t>QL-087-3</t>
        </is>
      </c>
      <c r="B526" s="36" t="n">
        <v>45744</v>
      </c>
      <c r="C526" s="37" t="inlineStr">
        <is>
          <t>出港</t>
        </is>
      </c>
      <c r="D526" s="19" t="inlineStr">
        <is>
          <t>煤炭</t>
        </is>
      </c>
      <c r="E526" s="19" t="inlineStr">
        <is>
          <t>东南亚</t>
        </is>
      </c>
      <c r="F526" s="19" t="inlineStr">
        <is>
          <t>03号泊位</t>
        </is>
      </c>
      <c r="G526" s="20" t="n">
        <v>7795</v>
      </c>
      <c r="H526" s="38" t="n">
        <v>5.84</v>
      </c>
      <c r="I526" s="38" t="n">
        <v>0.57</v>
      </c>
      <c r="J526" s="38" t="n">
        <v>5.91</v>
      </c>
      <c r="K526" s="20" t="n">
        <v>0</v>
      </c>
      <c r="L526" s="26">
        <f>IF(H526&lt;=J526,1,0)</f>
        <v>1</v>
      </c>
    </row>
    <row r="527">
      <c r="A527" s="24" t="inlineStr">
        <is>
          <t>QL-087-4</t>
        </is>
      </c>
      <c r="B527" s="39" t="n">
        <v>45744</v>
      </c>
      <c r="C527" s="40" t="inlineStr">
        <is>
          <t>出港</t>
        </is>
      </c>
      <c r="D527" s="24" t="inlineStr">
        <is>
          <t>粮食</t>
        </is>
      </c>
      <c r="E527" s="24" t="inlineStr">
        <is>
          <t>北美</t>
        </is>
      </c>
      <c r="F527" s="24" t="inlineStr">
        <is>
          <t>04号泊位</t>
        </is>
      </c>
      <c r="G527" s="25" t="n">
        <v>6540</v>
      </c>
      <c r="H527" s="41" t="n">
        <v>6.36</v>
      </c>
      <c r="I527" s="41" t="n">
        <v>3.01</v>
      </c>
      <c r="J527" s="41" t="n">
        <v>6.41</v>
      </c>
      <c r="K527" s="25" t="n">
        <v>0</v>
      </c>
      <c r="L527" s="26">
        <f>IF(H527&lt;=J527,1,0)</f>
        <v>1</v>
      </c>
    </row>
    <row r="528">
      <c r="A528" s="19" t="inlineStr">
        <is>
          <t>QL-087-5</t>
        </is>
      </c>
      <c r="B528" s="36" t="n">
        <v>45744</v>
      </c>
      <c r="C528" s="37" t="inlineStr">
        <is>
          <t>出港</t>
        </is>
      </c>
      <c r="D528" s="19" t="inlineStr">
        <is>
          <t>液体散货</t>
        </is>
      </c>
      <c r="E528" s="19" t="inlineStr">
        <is>
          <t>东南亚</t>
        </is>
      </c>
      <c r="F528" s="19" t="inlineStr">
        <is>
          <t>05号泊位</t>
        </is>
      </c>
      <c r="G528" s="20" t="n">
        <v>9771</v>
      </c>
      <c r="H528" s="38" t="n">
        <v>6.55</v>
      </c>
      <c r="I528" s="38" t="n">
        <v>2.07</v>
      </c>
      <c r="J528" s="38" t="n">
        <v>6.79</v>
      </c>
      <c r="K528" s="20" t="n">
        <v>0</v>
      </c>
      <c r="L528" s="26">
        <f>IF(H528&lt;=J528,1,0)</f>
        <v>1</v>
      </c>
    </row>
    <row r="529">
      <c r="A529" s="24" t="inlineStr">
        <is>
          <t>QL-087-6</t>
        </is>
      </c>
      <c r="B529" s="39" t="n">
        <v>45744</v>
      </c>
      <c r="C529" s="40" t="inlineStr">
        <is>
          <t>进港</t>
        </is>
      </c>
      <c r="D529" s="24" t="inlineStr">
        <is>
          <t>件杂货</t>
        </is>
      </c>
      <c r="E529" s="24" t="inlineStr">
        <is>
          <t>东南亚</t>
        </is>
      </c>
      <c r="F529" s="24" t="inlineStr">
        <is>
          <t>06号泊位</t>
        </is>
      </c>
      <c r="G529" s="25" t="n">
        <v>6090</v>
      </c>
      <c r="H529" s="41" t="n">
        <v>11.83</v>
      </c>
      <c r="I529" s="41" t="n">
        <v>6.84</v>
      </c>
      <c r="J529" s="41" t="n">
        <v>9.98</v>
      </c>
      <c r="K529" s="25" t="n">
        <v>0</v>
      </c>
      <c r="L529" s="26">
        <f>IF(H529&lt;=J529,1,0)</f>
        <v>0</v>
      </c>
    </row>
    <row r="530">
      <c r="A530" s="19" t="inlineStr">
        <is>
          <t>QL-088-1</t>
        </is>
      </c>
      <c r="B530" s="36" t="n">
        <v>45745</v>
      </c>
      <c r="C530" s="37" t="inlineStr">
        <is>
          <t>进港</t>
        </is>
      </c>
      <c r="D530" s="19" t="inlineStr">
        <is>
          <t>集装箱货物</t>
        </is>
      </c>
      <c r="E530" s="19" t="inlineStr">
        <is>
          <t>国内沿海</t>
        </is>
      </c>
      <c r="F530" s="19" t="inlineStr">
        <is>
          <t>01号泊位</t>
        </is>
      </c>
      <c r="G530" s="20" t="n">
        <v>8066</v>
      </c>
      <c r="H530" s="38" t="n">
        <v>10.86</v>
      </c>
      <c r="I530" s="38" t="n">
        <v>1.63</v>
      </c>
      <c r="J530" s="38" t="n">
        <v>8.960000000000001</v>
      </c>
      <c r="K530" s="20" t="n">
        <v>541</v>
      </c>
      <c r="L530" s="26">
        <f>IF(H530&lt;=J530,1,0)</f>
        <v>0</v>
      </c>
    </row>
    <row r="531">
      <c r="A531" s="24" t="inlineStr">
        <is>
          <t>QL-088-2</t>
        </is>
      </c>
      <c r="B531" s="39" t="n">
        <v>45745</v>
      </c>
      <c r="C531" s="40" t="inlineStr">
        <is>
          <t>出港</t>
        </is>
      </c>
      <c r="D531" s="24" t="inlineStr">
        <is>
          <t>金属矿石</t>
        </is>
      </c>
      <c r="E531" s="24" t="inlineStr">
        <is>
          <t>东南亚</t>
        </is>
      </c>
      <c r="F531" s="24" t="inlineStr">
        <is>
          <t>02号泊位</t>
        </is>
      </c>
      <c r="G531" s="25" t="n">
        <v>14398</v>
      </c>
      <c r="H531" s="41" t="n">
        <v>10.25</v>
      </c>
      <c r="I531" s="41" t="n">
        <v>1.26</v>
      </c>
      <c r="J531" s="41" t="n">
        <v>9.289999999999999</v>
      </c>
      <c r="K531" s="25" t="n">
        <v>0</v>
      </c>
      <c r="L531" s="26">
        <f>IF(H531&lt;=J531,1,0)</f>
        <v>0</v>
      </c>
    </row>
    <row r="532">
      <c r="A532" s="19" t="inlineStr">
        <is>
          <t>QL-088-3</t>
        </is>
      </c>
      <c r="B532" s="36" t="n">
        <v>45745</v>
      </c>
      <c r="C532" s="37" t="inlineStr">
        <is>
          <t>进港</t>
        </is>
      </c>
      <c r="D532" s="19" t="inlineStr">
        <is>
          <t>煤炭</t>
        </is>
      </c>
      <c r="E532" s="19" t="inlineStr">
        <is>
          <t>国内沿海</t>
        </is>
      </c>
      <c r="F532" s="19" t="inlineStr">
        <is>
          <t>03号泊位</t>
        </is>
      </c>
      <c r="G532" s="20" t="n">
        <v>10263</v>
      </c>
      <c r="H532" s="38" t="n">
        <v>6.85</v>
      </c>
      <c r="I532" s="38" t="n">
        <v>3.55</v>
      </c>
      <c r="J532" s="38" t="n">
        <v>7.78</v>
      </c>
      <c r="K532" s="20" t="n">
        <v>0</v>
      </c>
      <c r="L532" s="26">
        <f>IF(H532&lt;=J532,1,0)</f>
        <v>1</v>
      </c>
    </row>
    <row r="533">
      <c r="A533" s="24" t="inlineStr">
        <is>
          <t>QL-088-4</t>
        </is>
      </c>
      <c r="B533" s="39" t="n">
        <v>45745</v>
      </c>
      <c r="C533" s="40" t="inlineStr">
        <is>
          <t>出港</t>
        </is>
      </c>
      <c r="D533" s="24" t="inlineStr">
        <is>
          <t>粮食</t>
        </is>
      </c>
      <c r="E533" s="24" t="inlineStr">
        <is>
          <t>欧洲</t>
        </is>
      </c>
      <c r="F533" s="24" t="inlineStr">
        <is>
          <t>04号泊位</t>
        </is>
      </c>
      <c r="G533" s="25" t="n">
        <v>5859</v>
      </c>
      <c r="H533" s="41" t="n">
        <v>5.69</v>
      </c>
      <c r="I533" s="41" t="n">
        <v>6.64</v>
      </c>
      <c r="J533" s="41" t="n">
        <v>5.74</v>
      </c>
      <c r="K533" s="25" t="n">
        <v>0</v>
      </c>
      <c r="L533" s="26">
        <f>IF(H533&lt;=J533,1,0)</f>
        <v>1</v>
      </c>
    </row>
    <row r="534">
      <c r="A534" s="19" t="inlineStr">
        <is>
          <t>QL-088-5</t>
        </is>
      </c>
      <c r="B534" s="36" t="n">
        <v>45745</v>
      </c>
      <c r="C534" s="37" t="inlineStr">
        <is>
          <t>进港</t>
        </is>
      </c>
      <c r="D534" s="19" t="inlineStr">
        <is>
          <t>液体散货</t>
        </is>
      </c>
      <c r="E534" s="19" t="inlineStr">
        <is>
          <t>欧洲</t>
        </is>
      </c>
      <c r="F534" s="19" t="inlineStr">
        <is>
          <t>05号泊位</t>
        </is>
      </c>
      <c r="G534" s="20" t="n">
        <v>14458</v>
      </c>
      <c r="H534" s="38" t="n">
        <v>9.380000000000001</v>
      </c>
      <c r="I534" s="38" t="n">
        <v>4.22</v>
      </c>
      <c r="J534" s="38" t="n">
        <v>10.04</v>
      </c>
      <c r="K534" s="20" t="n">
        <v>0</v>
      </c>
      <c r="L534" s="26">
        <f>IF(H534&lt;=J534,1,0)</f>
        <v>1</v>
      </c>
    </row>
    <row r="535">
      <c r="A535" s="24" t="inlineStr">
        <is>
          <t>QL-088-6</t>
        </is>
      </c>
      <c r="B535" s="39" t="n">
        <v>45745</v>
      </c>
      <c r="C535" s="40" t="inlineStr">
        <is>
          <t>出港</t>
        </is>
      </c>
      <c r="D535" s="24" t="inlineStr">
        <is>
          <t>件杂货</t>
        </is>
      </c>
      <c r="E535" s="24" t="inlineStr">
        <is>
          <t>东南亚</t>
        </is>
      </c>
      <c r="F535" s="24" t="inlineStr">
        <is>
          <t>06号泊位</t>
        </is>
      </c>
      <c r="G535" s="25" t="n">
        <v>3911</v>
      </c>
      <c r="H535" s="41" t="n">
        <v>6.77</v>
      </c>
      <c r="I535" s="41" t="n">
        <v>0.66</v>
      </c>
      <c r="J535" s="41" t="n">
        <v>6.41</v>
      </c>
      <c r="K535" s="25" t="n">
        <v>0</v>
      </c>
      <c r="L535" s="26">
        <f>IF(H535&lt;=J535,1,0)</f>
        <v>0</v>
      </c>
    </row>
    <row r="536">
      <c r="A536" s="19" t="inlineStr">
        <is>
          <t>QL-089-1</t>
        </is>
      </c>
      <c r="B536" s="36" t="n">
        <v>45746</v>
      </c>
      <c r="C536" s="37" t="inlineStr">
        <is>
          <t>出港</t>
        </is>
      </c>
      <c r="D536" s="19" t="inlineStr">
        <is>
          <t>集装箱货物</t>
        </is>
      </c>
      <c r="E536" s="19" t="inlineStr">
        <is>
          <t>东亚</t>
        </is>
      </c>
      <c r="F536" s="19" t="inlineStr">
        <is>
          <t>01号泊位</t>
        </is>
      </c>
      <c r="G536" s="20" t="n">
        <v>6355</v>
      </c>
      <c r="H536" s="38" t="n">
        <v>6.95</v>
      </c>
      <c r="I536" s="38" t="n">
        <v>4.38</v>
      </c>
      <c r="J536" s="38" t="n">
        <v>7.06</v>
      </c>
      <c r="K536" s="20" t="n">
        <v>522</v>
      </c>
      <c r="L536" s="26">
        <f>IF(H536&lt;=J536,1,0)</f>
        <v>1</v>
      </c>
    </row>
    <row r="537">
      <c r="A537" s="24" t="inlineStr">
        <is>
          <t>QL-089-2</t>
        </is>
      </c>
      <c r="B537" s="39" t="n">
        <v>45746</v>
      </c>
      <c r="C537" s="40" t="inlineStr">
        <is>
          <t>进港</t>
        </is>
      </c>
      <c r="D537" s="24" t="inlineStr">
        <is>
          <t>金属矿石</t>
        </is>
      </c>
      <c r="E537" s="24" t="inlineStr">
        <is>
          <t>北美</t>
        </is>
      </c>
      <c r="F537" s="24" t="inlineStr">
        <is>
          <t>02号泊位</t>
        </is>
      </c>
      <c r="G537" s="25" t="n">
        <v>13752</v>
      </c>
      <c r="H537" s="41" t="n">
        <v>8.02</v>
      </c>
      <c r="I537" s="41" t="n">
        <v>4.75</v>
      </c>
      <c r="J537" s="41" t="n">
        <v>8.869999999999999</v>
      </c>
      <c r="K537" s="25" t="n">
        <v>0</v>
      </c>
      <c r="L537" s="26">
        <f>IF(H537&lt;=J537,1,0)</f>
        <v>1</v>
      </c>
    </row>
    <row r="538">
      <c r="A538" s="19" t="inlineStr">
        <is>
          <t>QL-089-3</t>
        </is>
      </c>
      <c r="B538" s="36" t="n">
        <v>45746</v>
      </c>
      <c r="C538" s="37" t="inlineStr">
        <is>
          <t>进港</t>
        </is>
      </c>
      <c r="D538" s="19" t="inlineStr">
        <is>
          <t>煤炭</t>
        </is>
      </c>
      <c r="E538" s="19" t="inlineStr">
        <is>
          <t>北美</t>
        </is>
      </c>
      <c r="F538" s="19" t="inlineStr">
        <is>
          <t>03号泊位</t>
        </is>
      </c>
      <c r="G538" s="20" t="n">
        <v>15483</v>
      </c>
      <c r="H538" s="38" t="n">
        <v>10.55</v>
      </c>
      <c r="I538" s="38" t="n">
        <v>1.65</v>
      </c>
      <c r="J538" s="38" t="n">
        <v>11.73</v>
      </c>
      <c r="K538" s="20" t="n">
        <v>0</v>
      </c>
      <c r="L538" s="26">
        <f>IF(H538&lt;=J538,1,0)</f>
        <v>1</v>
      </c>
    </row>
    <row r="539">
      <c r="A539" s="24" t="inlineStr">
        <is>
          <t>QL-089-4</t>
        </is>
      </c>
      <c r="B539" s="39" t="n">
        <v>45746</v>
      </c>
      <c r="C539" s="40" t="inlineStr">
        <is>
          <t>进港</t>
        </is>
      </c>
      <c r="D539" s="24" t="inlineStr">
        <is>
          <t>粮食</t>
        </is>
      </c>
      <c r="E539" s="24" t="inlineStr">
        <is>
          <t>国内沿海</t>
        </is>
      </c>
      <c r="F539" s="24" t="inlineStr">
        <is>
          <t>04号泊位</t>
        </is>
      </c>
      <c r="G539" s="25" t="n">
        <v>6846</v>
      </c>
      <c r="H539" s="41" t="n">
        <v>7.15</v>
      </c>
      <c r="I539" s="41" t="n">
        <v>1.64</v>
      </c>
      <c r="J539" s="41" t="n">
        <v>6.71</v>
      </c>
      <c r="K539" s="25" t="n">
        <v>0</v>
      </c>
      <c r="L539" s="26">
        <f>IF(H539&lt;=J539,1,0)</f>
        <v>0</v>
      </c>
    </row>
    <row r="540">
      <c r="A540" s="19" t="inlineStr">
        <is>
          <t>QL-089-5</t>
        </is>
      </c>
      <c r="B540" s="36" t="n">
        <v>45746</v>
      </c>
      <c r="C540" s="37" t="inlineStr">
        <is>
          <t>进港</t>
        </is>
      </c>
      <c r="D540" s="19" t="inlineStr">
        <is>
          <t>液体散货</t>
        </is>
      </c>
      <c r="E540" s="19" t="inlineStr">
        <is>
          <t>国内沿海</t>
        </is>
      </c>
      <c r="F540" s="19" t="inlineStr">
        <is>
          <t>05号泊位</t>
        </is>
      </c>
      <c r="G540" s="20" t="n">
        <v>9241</v>
      </c>
      <c r="H540" s="38" t="n">
        <v>7.24</v>
      </c>
      <c r="I540" s="38" t="n">
        <v>3.12</v>
      </c>
      <c r="J540" s="38" t="n">
        <v>6.42</v>
      </c>
      <c r="K540" s="20" t="n">
        <v>0</v>
      </c>
      <c r="L540" s="26">
        <f>IF(H540&lt;=J540,1,0)</f>
        <v>0</v>
      </c>
    </row>
    <row r="541">
      <c r="A541" s="24" t="inlineStr">
        <is>
          <t>QL-089-6</t>
        </is>
      </c>
      <c r="B541" s="39" t="n">
        <v>45746</v>
      </c>
      <c r="C541" s="40" t="inlineStr">
        <is>
          <t>进港</t>
        </is>
      </c>
      <c r="D541" s="24" t="inlineStr">
        <is>
          <t>件杂货</t>
        </is>
      </c>
      <c r="E541" s="24" t="inlineStr">
        <is>
          <t>国内沿海</t>
        </is>
      </c>
      <c r="F541" s="24" t="inlineStr">
        <is>
          <t>06号泊位</t>
        </is>
      </c>
      <c r="G541" s="25" t="n">
        <v>3570</v>
      </c>
      <c r="H541" s="41" t="n">
        <v>5.84</v>
      </c>
      <c r="I541" s="41" t="n">
        <v>2.98</v>
      </c>
      <c r="J541" s="41" t="n">
        <v>5.85</v>
      </c>
      <c r="K541" s="25" t="n">
        <v>0</v>
      </c>
      <c r="L541" s="26">
        <f>IF(H541&lt;=J541,1,0)</f>
        <v>1</v>
      </c>
    </row>
    <row r="542">
      <c r="A542" s="19" t="inlineStr">
        <is>
          <t>QL-090-1</t>
        </is>
      </c>
      <c r="B542" s="36" t="n">
        <v>45747</v>
      </c>
      <c r="C542" s="37" t="inlineStr">
        <is>
          <t>出港</t>
        </is>
      </c>
      <c r="D542" s="19" t="inlineStr">
        <is>
          <t>集装箱货物</t>
        </is>
      </c>
      <c r="E542" s="19" t="inlineStr">
        <is>
          <t>东南亚</t>
        </is>
      </c>
      <c r="F542" s="19" t="inlineStr">
        <is>
          <t>01号泊位</t>
        </is>
      </c>
      <c r="G542" s="20" t="n">
        <v>6386</v>
      </c>
      <c r="H542" s="38" t="n">
        <v>6.19</v>
      </c>
      <c r="I542" s="38" t="n">
        <v>2.64</v>
      </c>
      <c r="J542" s="38" t="n">
        <v>7.1</v>
      </c>
      <c r="K542" s="20" t="n">
        <v>507</v>
      </c>
      <c r="L542" s="26">
        <f>IF(H542&lt;=J542,1,0)</f>
        <v>1</v>
      </c>
    </row>
    <row r="543">
      <c r="A543" s="24" t="inlineStr">
        <is>
          <t>QL-090-2</t>
        </is>
      </c>
      <c r="B543" s="39" t="n">
        <v>45747</v>
      </c>
      <c r="C543" s="40" t="inlineStr">
        <is>
          <t>进港</t>
        </is>
      </c>
      <c r="D543" s="24" t="inlineStr">
        <is>
          <t>金属矿石</t>
        </is>
      </c>
      <c r="E543" s="24" t="inlineStr">
        <is>
          <t>国内沿海</t>
        </is>
      </c>
      <c r="F543" s="24" t="inlineStr">
        <is>
          <t>02号泊位</t>
        </is>
      </c>
      <c r="G543" s="25" t="n">
        <v>15434</v>
      </c>
      <c r="H543" s="41" t="n">
        <v>9.26</v>
      </c>
      <c r="I543" s="41" t="n">
        <v>2.04</v>
      </c>
      <c r="J543" s="41" t="n">
        <v>9.960000000000001</v>
      </c>
      <c r="K543" s="25" t="n">
        <v>0</v>
      </c>
      <c r="L543" s="26">
        <f>IF(H543&lt;=J543,1,0)</f>
        <v>1</v>
      </c>
    </row>
    <row r="544">
      <c r="A544" s="19" t="inlineStr">
        <is>
          <t>QL-090-3</t>
        </is>
      </c>
      <c r="B544" s="36" t="n">
        <v>45747</v>
      </c>
      <c r="C544" s="37" t="inlineStr">
        <is>
          <t>出港</t>
        </is>
      </c>
      <c r="D544" s="19" t="inlineStr">
        <is>
          <t>煤炭</t>
        </is>
      </c>
      <c r="E544" s="19" t="inlineStr">
        <is>
          <t>国内沿海</t>
        </is>
      </c>
      <c r="F544" s="19" t="inlineStr">
        <is>
          <t>03号泊位</t>
        </is>
      </c>
      <c r="G544" s="20" t="n">
        <v>8871</v>
      </c>
      <c r="H544" s="38" t="n">
        <v>6.72</v>
      </c>
      <c r="I544" s="38" t="n">
        <v>0.39</v>
      </c>
      <c r="J544" s="38" t="n">
        <v>6.72</v>
      </c>
      <c r="K544" s="20" t="n">
        <v>0</v>
      </c>
      <c r="L544" s="26">
        <f>IF(H544&lt;=J544,1,0)</f>
        <v>1</v>
      </c>
    </row>
    <row r="545">
      <c r="A545" s="24" t="inlineStr">
        <is>
          <t>QL-090-4</t>
        </is>
      </c>
      <c r="B545" s="39" t="n">
        <v>45747</v>
      </c>
      <c r="C545" s="40" t="inlineStr">
        <is>
          <t>出港</t>
        </is>
      </c>
      <c r="D545" s="24" t="inlineStr">
        <is>
          <t>粮食</t>
        </is>
      </c>
      <c r="E545" s="24" t="inlineStr">
        <is>
          <t>东亚</t>
        </is>
      </c>
      <c r="F545" s="24" t="inlineStr">
        <is>
          <t>04号泊位</t>
        </is>
      </c>
      <c r="G545" s="25" t="n">
        <v>5998</v>
      </c>
      <c r="H545" s="41" t="n">
        <v>5.05</v>
      </c>
      <c r="I545" s="41" t="n">
        <v>2.11</v>
      </c>
      <c r="J545" s="41" t="n">
        <v>5.88</v>
      </c>
      <c r="K545" s="25" t="n">
        <v>0</v>
      </c>
      <c r="L545" s="26">
        <f>IF(H545&lt;=J545,1,0)</f>
        <v>1</v>
      </c>
    </row>
    <row r="546">
      <c r="A546" s="19" t="inlineStr">
        <is>
          <t>QL-090-5</t>
        </is>
      </c>
      <c r="B546" s="36" t="n">
        <v>45747</v>
      </c>
      <c r="C546" s="37" t="inlineStr">
        <is>
          <t>进港</t>
        </is>
      </c>
      <c r="D546" s="19" t="inlineStr">
        <is>
          <t>液体散货</t>
        </is>
      </c>
      <c r="E546" s="19" t="inlineStr">
        <is>
          <t>国内沿海</t>
        </is>
      </c>
      <c r="F546" s="19" t="inlineStr">
        <is>
          <t>05号泊位</t>
        </is>
      </c>
      <c r="G546" s="20" t="n">
        <v>10579</v>
      </c>
      <c r="H546" s="38" t="n">
        <v>7.98</v>
      </c>
      <c r="I546" s="38" t="n">
        <v>2.24</v>
      </c>
      <c r="J546" s="38" t="n">
        <v>7.35</v>
      </c>
      <c r="K546" s="20" t="n">
        <v>0</v>
      </c>
      <c r="L546" s="26">
        <f>IF(H546&lt;=J546,1,0)</f>
        <v>0</v>
      </c>
    </row>
    <row r="547">
      <c r="A547" s="24" t="inlineStr">
        <is>
          <t>QL-090-6</t>
        </is>
      </c>
      <c r="B547" s="39" t="n">
        <v>45747</v>
      </c>
      <c r="C547" s="40" t="inlineStr">
        <is>
          <t>出港</t>
        </is>
      </c>
      <c r="D547" s="24" t="inlineStr">
        <is>
          <t>件杂货</t>
        </is>
      </c>
      <c r="E547" s="24" t="inlineStr">
        <is>
          <t>国内沿海</t>
        </is>
      </c>
      <c r="F547" s="24" t="inlineStr">
        <is>
          <t>06号泊位</t>
        </is>
      </c>
      <c r="G547" s="25" t="n">
        <v>4444</v>
      </c>
      <c r="H547" s="41" t="n">
        <v>6.48</v>
      </c>
      <c r="I547" s="41" t="n">
        <v>2.22</v>
      </c>
      <c r="J547" s="41" t="n">
        <v>7.29</v>
      </c>
      <c r="K547" s="25" t="n">
        <v>0</v>
      </c>
      <c r="L547" s="26">
        <f>IF(H547&lt;=J547,1,0)</f>
        <v>1</v>
      </c>
    </row>
    <row r="548">
      <c r="A548" s="19" t="inlineStr">
        <is>
          <t>QL-091-1</t>
        </is>
      </c>
      <c r="B548" s="36" t="n">
        <v>45748</v>
      </c>
      <c r="C548" s="37" t="inlineStr">
        <is>
          <t>进港</t>
        </is>
      </c>
      <c r="D548" s="19" t="inlineStr">
        <is>
          <t>集装箱货物</t>
        </is>
      </c>
      <c r="E548" s="19" t="inlineStr">
        <is>
          <t>东南亚</t>
        </is>
      </c>
      <c r="F548" s="19" t="inlineStr">
        <is>
          <t>01号泊位</t>
        </is>
      </c>
      <c r="G548" s="20" t="n">
        <v>5467</v>
      </c>
      <c r="H548" s="38" t="n">
        <v>6.24</v>
      </c>
      <c r="I548" s="38" t="n">
        <v>4.67</v>
      </c>
      <c r="J548" s="38" t="n">
        <v>6.07</v>
      </c>
      <c r="K548" s="20" t="n">
        <v>335</v>
      </c>
      <c r="L548" s="26">
        <f>IF(H548&lt;=J548,1,0)</f>
        <v>0</v>
      </c>
    </row>
    <row r="549">
      <c r="A549" s="24" t="inlineStr">
        <is>
          <t>QL-091-2</t>
        </is>
      </c>
      <c r="B549" s="39" t="n">
        <v>45748</v>
      </c>
      <c r="C549" s="40" t="inlineStr">
        <is>
          <t>进港</t>
        </is>
      </c>
      <c r="D549" s="24" t="inlineStr">
        <is>
          <t>金属矿石</t>
        </is>
      </c>
      <c r="E549" s="24" t="inlineStr">
        <is>
          <t>东亚</t>
        </is>
      </c>
      <c r="F549" s="24" t="inlineStr">
        <is>
          <t>02号泊位</t>
        </is>
      </c>
      <c r="G549" s="25" t="n">
        <v>17032</v>
      </c>
      <c r="H549" s="41" t="n">
        <v>10.43</v>
      </c>
      <c r="I549" s="41" t="n">
        <v>0.78</v>
      </c>
      <c r="J549" s="41" t="n">
        <v>10.99</v>
      </c>
      <c r="K549" s="25" t="n">
        <v>0</v>
      </c>
      <c r="L549" s="26">
        <f>IF(H549&lt;=J549,1,0)</f>
        <v>1</v>
      </c>
    </row>
    <row r="550">
      <c r="A550" s="19" t="inlineStr">
        <is>
          <t>QL-091-3</t>
        </is>
      </c>
      <c r="B550" s="36" t="n">
        <v>45748</v>
      </c>
      <c r="C550" s="37" t="inlineStr">
        <is>
          <t>进港</t>
        </is>
      </c>
      <c r="D550" s="19" t="inlineStr">
        <is>
          <t>煤炭</t>
        </is>
      </c>
      <c r="E550" s="19" t="inlineStr">
        <is>
          <t>国内沿海</t>
        </is>
      </c>
      <c r="F550" s="19" t="inlineStr">
        <is>
          <t>03号泊位</t>
        </is>
      </c>
      <c r="G550" s="20" t="n">
        <v>9113</v>
      </c>
      <c r="H550" s="38" t="n">
        <v>5.81</v>
      </c>
      <c r="I550" s="38" t="n">
        <v>2.68</v>
      </c>
      <c r="J550" s="38" t="n">
        <v>6.9</v>
      </c>
      <c r="K550" s="20" t="n">
        <v>0</v>
      </c>
      <c r="L550" s="26">
        <f>IF(H550&lt;=J550,1,0)</f>
        <v>1</v>
      </c>
    </row>
    <row r="551">
      <c r="A551" s="24" t="inlineStr">
        <is>
          <t>QL-091-4</t>
        </is>
      </c>
      <c r="B551" s="39" t="n">
        <v>45748</v>
      </c>
      <c r="C551" s="40" t="inlineStr">
        <is>
          <t>进港</t>
        </is>
      </c>
      <c r="D551" s="24" t="inlineStr">
        <is>
          <t>粮食</t>
        </is>
      </c>
      <c r="E551" s="24" t="inlineStr">
        <is>
          <t>国内沿海</t>
        </is>
      </c>
      <c r="F551" s="24" t="inlineStr">
        <is>
          <t>04号泊位</t>
        </is>
      </c>
      <c r="G551" s="25" t="n">
        <v>4136</v>
      </c>
      <c r="H551" s="41" t="n">
        <v>4.48</v>
      </c>
      <c r="I551" s="41" t="n">
        <v>0.48</v>
      </c>
      <c r="J551" s="41" t="n">
        <v>4.05</v>
      </c>
      <c r="K551" s="25" t="n">
        <v>0</v>
      </c>
      <c r="L551" s="26">
        <f>IF(H551&lt;=J551,1,0)</f>
        <v>0</v>
      </c>
    </row>
    <row r="552">
      <c r="A552" s="19" t="inlineStr">
        <is>
          <t>QL-091-5</t>
        </is>
      </c>
      <c r="B552" s="36" t="n">
        <v>45748</v>
      </c>
      <c r="C552" s="37" t="inlineStr">
        <is>
          <t>出港</t>
        </is>
      </c>
      <c r="D552" s="19" t="inlineStr">
        <is>
          <t>液体散货</t>
        </is>
      </c>
      <c r="E552" s="19" t="inlineStr">
        <is>
          <t>东南亚</t>
        </is>
      </c>
      <c r="F552" s="19" t="inlineStr">
        <is>
          <t>05号泊位</t>
        </is>
      </c>
      <c r="G552" s="20" t="n">
        <v>10280</v>
      </c>
      <c r="H552" s="38" t="n">
        <v>7.05</v>
      </c>
      <c r="I552" s="38" t="n">
        <v>2</v>
      </c>
      <c r="J552" s="38" t="n">
        <v>7.14</v>
      </c>
      <c r="K552" s="20" t="n">
        <v>0</v>
      </c>
      <c r="L552" s="26">
        <f>IF(H552&lt;=J552,1,0)</f>
        <v>1</v>
      </c>
    </row>
    <row r="553">
      <c r="A553" s="24" t="inlineStr">
        <is>
          <t>QL-091-6</t>
        </is>
      </c>
      <c r="B553" s="39" t="n">
        <v>45748</v>
      </c>
      <c r="C553" s="40" t="inlineStr">
        <is>
          <t>出港</t>
        </is>
      </c>
      <c r="D553" s="24" t="inlineStr">
        <is>
          <t>件杂货</t>
        </is>
      </c>
      <c r="E553" s="24" t="inlineStr">
        <is>
          <t>国内沿海</t>
        </is>
      </c>
      <c r="F553" s="24" t="inlineStr">
        <is>
          <t>06号泊位</t>
        </is>
      </c>
      <c r="G553" s="25" t="n">
        <v>4985</v>
      </c>
      <c r="H553" s="41" t="n">
        <v>8.57</v>
      </c>
      <c r="I553" s="41" t="n">
        <v>5.45</v>
      </c>
      <c r="J553" s="41" t="n">
        <v>8.17</v>
      </c>
      <c r="K553" s="25" t="n">
        <v>0</v>
      </c>
      <c r="L553" s="26">
        <f>IF(H553&lt;=J553,1,0)</f>
        <v>0</v>
      </c>
    </row>
    <row r="554">
      <c r="A554" s="19" t="inlineStr">
        <is>
          <t>QL-092-1</t>
        </is>
      </c>
      <c r="B554" s="36" t="n">
        <v>45749</v>
      </c>
      <c r="C554" s="37" t="inlineStr">
        <is>
          <t>出港</t>
        </is>
      </c>
      <c r="D554" s="19" t="inlineStr">
        <is>
          <t>集装箱货物</t>
        </is>
      </c>
      <c r="E554" s="19" t="inlineStr">
        <is>
          <t>国内沿海</t>
        </is>
      </c>
      <c r="F554" s="19" t="inlineStr">
        <is>
          <t>01号泊位</t>
        </is>
      </c>
      <c r="G554" s="20" t="n">
        <v>8274</v>
      </c>
      <c r="H554" s="38" t="n">
        <v>10.37</v>
      </c>
      <c r="I554" s="38" t="n">
        <v>4.13</v>
      </c>
      <c r="J554" s="38" t="n">
        <v>9.19</v>
      </c>
      <c r="K554" s="20" t="n">
        <v>683</v>
      </c>
      <c r="L554" s="26">
        <f>IF(H554&lt;=J554,1,0)</f>
        <v>0</v>
      </c>
    </row>
    <row r="555">
      <c r="A555" s="24" t="inlineStr">
        <is>
          <t>QL-092-2</t>
        </is>
      </c>
      <c r="B555" s="39" t="n">
        <v>45749</v>
      </c>
      <c r="C555" s="40" t="inlineStr">
        <is>
          <t>进港</t>
        </is>
      </c>
      <c r="D555" s="24" t="inlineStr">
        <is>
          <t>金属矿石</t>
        </is>
      </c>
      <c r="E555" s="24" t="inlineStr">
        <is>
          <t>东亚</t>
        </is>
      </c>
      <c r="F555" s="24" t="inlineStr">
        <is>
          <t>02号泊位</t>
        </is>
      </c>
      <c r="G555" s="25" t="n">
        <v>18218</v>
      </c>
      <c r="H555" s="41" t="n">
        <v>11.52</v>
      </c>
      <c r="I555" s="41" t="n">
        <v>4.07</v>
      </c>
      <c r="J555" s="41" t="n">
        <v>11.75</v>
      </c>
      <c r="K555" s="25" t="n">
        <v>0</v>
      </c>
      <c r="L555" s="26">
        <f>IF(H555&lt;=J555,1,0)</f>
        <v>1</v>
      </c>
    </row>
    <row r="556">
      <c r="A556" s="19" t="inlineStr">
        <is>
          <t>QL-092-3</t>
        </is>
      </c>
      <c r="B556" s="36" t="n">
        <v>45749</v>
      </c>
      <c r="C556" s="37" t="inlineStr">
        <is>
          <t>进港</t>
        </is>
      </c>
      <c r="D556" s="19" t="inlineStr">
        <is>
          <t>煤炭</t>
        </is>
      </c>
      <c r="E556" s="19" t="inlineStr">
        <is>
          <t>欧洲</t>
        </is>
      </c>
      <c r="F556" s="19" t="inlineStr">
        <is>
          <t>03号泊位</t>
        </is>
      </c>
      <c r="G556" s="20" t="n">
        <v>4733</v>
      </c>
      <c r="H556" s="38" t="n">
        <v>3.18</v>
      </c>
      <c r="I556" s="38" t="n">
        <v>3.06</v>
      </c>
      <c r="J556" s="38" t="n">
        <v>3.59</v>
      </c>
      <c r="K556" s="20" t="n">
        <v>0</v>
      </c>
      <c r="L556" s="26">
        <f>IF(H556&lt;=J556,1,0)</f>
        <v>1</v>
      </c>
    </row>
    <row r="557">
      <c r="A557" s="24" t="inlineStr">
        <is>
          <t>QL-092-4</t>
        </is>
      </c>
      <c r="B557" s="39" t="n">
        <v>45749</v>
      </c>
      <c r="C557" s="40" t="inlineStr">
        <is>
          <t>进港</t>
        </is>
      </c>
      <c r="D557" s="24" t="inlineStr">
        <is>
          <t>粮食</t>
        </is>
      </c>
      <c r="E557" s="24" t="inlineStr">
        <is>
          <t>欧洲</t>
        </is>
      </c>
      <c r="F557" s="24" t="inlineStr">
        <is>
          <t>04号泊位</t>
        </is>
      </c>
      <c r="G557" s="25" t="n">
        <v>11449</v>
      </c>
      <c r="H557" s="41" t="n">
        <v>10.94</v>
      </c>
      <c r="I557" s="41" t="n">
        <v>2.88</v>
      </c>
      <c r="J557" s="41" t="n">
        <v>11.22</v>
      </c>
      <c r="K557" s="25" t="n">
        <v>0</v>
      </c>
      <c r="L557" s="26">
        <f>IF(H557&lt;=J557,1,0)</f>
        <v>1</v>
      </c>
    </row>
    <row r="558">
      <c r="A558" s="19" t="inlineStr">
        <is>
          <t>QL-092-5</t>
        </is>
      </c>
      <c r="B558" s="36" t="n">
        <v>45749</v>
      </c>
      <c r="C558" s="37" t="inlineStr">
        <is>
          <t>进港</t>
        </is>
      </c>
      <c r="D558" s="19" t="inlineStr">
        <is>
          <t>液体散货</t>
        </is>
      </c>
      <c r="E558" s="19" t="inlineStr">
        <is>
          <t>东亚</t>
        </is>
      </c>
      <c r="F558" s="19" t="inlineStr">
        <is>
          <t>05号泊位</t>
        </is>
      </c>
      <c r="G558" s="20" t="n">
        <v>6186</v>
      </c>
      <c r="H558" s="38" t="n">
        <v>3.6</v>
      </c>
      <c r="I558" s="38" t="n">
        <v>4.6</v>
      </c>
      <c r="J558" s="38" t="n">
        <v>4.3</v>
      </c>
      <c r="K558" s="20" t="n">
        <v>0</v>
      </c>
      <c r="L558" s="26">
        <f>IF(H558&lt;=J558,1,0)</f>
        <v>1</v>
      </c>
    </row>
    <row r="559">
      <c r="A559" s="24" t="inlineStr">
        <is>
          <t>QL-092-6</t>
        </is>
      </c>
      <c r="B559" s="39" t="n">
        <v>45749</v>
      </c>
      <c r="C559" s="40" t="inlineStr">
        <is>
          <t>出港</t>
        </is>
      </c>
      <c r="D559" s="24" t="inlineStr">
        <is>
          <t>件杂货</t>
        </is>
      </c>
      <c r="E559" s="24" t="inlineStr">
        <is>
          <t>东亚</t>
        </is>
      </c>
      <c r="F559" s="24" t="inlineStr">
        <is>
          <t>06号泊位</t>
        </is>
      </c>
      <c r="G559" s="25" t="n">
        <v>5284</v>
      </c>
      <c r="H559" s="41" t="n">
        <v>8.109999999999999</v>
      </c>
      <c r="I559" s="41" t="n">
        <v>1.86</v>
      </c>
      <c r="J559" s="41" t="n">
        <v>8.66</v>
      </c>
      <c r="K559" s="25" t="n">
        <v>0</v>
      </c>
      <c r="L559" s="26">
        <f>IF(H559&lt;=J559,1,0)</f>
        <v>1</v>
      </c>
    </row>
    <row r="560">
      <c r="A560" s="19" t="inlineStr">
        <is>
          <t>QL-093-1</t>
        </is>
      </c>
      <c r="B560" s="36" t="n">
        <v>45750</v>
      </c>
      <c r="C560" s="37" t="inlineStr">
        <is>
          <t>进港</t>
        </is>
      </c>
      <c r="D560" s="19" t="inlineStr">
        <is>
          <t>集装箱货物</t>
        </is>
      </c>
      <c r="E560" s="19" t="inlineStr">
        <is>
          <t>欧洲</t>
        </is>
      </c>
      <c r="F560" s="19" t="inlineStr">
        <is>
          <t>01号泊位</t>
        </is>
      </c>
      <c r="G560" s="20" t="n">
        <v>7602</v>
      </c>
      <c r="H560" s="38" t="n">
        <v>7.71</v>
      </c>
      <c r="I560" s="38" t="n">
        <v>6.19</v>
      </c>
      <c r="J560" s="38" t="n">
        <v>8.449999999999999</v>
      </c>
      <c r="K560" s="20" t="n">
        <v>613</v>
      </c>
      <c r="L560" s="26">
        <f>IF(H560&lt;=J560,1,0)</f>
        <v>1</v>
      </c>
    </row>
    <row r="561">
      <c r="A561" s="24" t="inlineStr">
        <is>
          <t>QL-093-2</t>
        </is>
      </c>
      <c r="B561" s="39" t="n">
        <v>45750</v>
      </c>
      <c r="C561" s="40" t="inlineStr">
        <is>
          <t>进港</t>
        </is>
      </c>
      <c r="D561" s="24" t="inlineStr">
        <is>
          <t>金属矿石</t>
        </is>
      </c>
      <c r="E561" s="24" t="inlineStr">
        <is>
          <t>国内沿海</t>
        </is>
      </c>
      <c r="F561" s="24" t="inlineStr">
        <is>
          <t>02号泊位</t>
        </is>
      </c>
      <c r="G561" s="25" t="n">
        <v>11899</v>
      </c>
      <c r="H561" s="41" t="n">
        <v>8.69</v>
      </c>
      <c r="I561" s="41" t="n">
        <v>1.29</v>
      </c>
      <c r="J561" s="41" t="n">
        <v>7.68</v>
      </c>
      <c r="K561" s="25" t="n">
        <v>0</v>
      </c>
      <c r="L561" s="26">
        <f>IF(H561&lt;=J561,1,0)</f>
        <v>0</v>
      </c>
    </row>
    <row r="562">
      <c r="A562" s="19" t="inlineStr">
        <is>
          <t>QL-093-3</t>
        </is>
      </c>
      <c r="B562" s="36" t="n">
        <v>45750</v>
      </c>
      <c r="C562" s="37" t="inlineStr">
        <is>
          <t>出港</t>
        </is>
      </c>
      <c r="D562" s="19" t="inlineStr">
        <is>
          <t>煤炭</t>
        </is>
      </c>
      <c r="E562" s="19" t="inlineStr">
        <is>
          <t>国内沿海</t>
        </is>
      </c>
      <c r="F562" s="19" t="inlineStr">
        <is>
          <t>03号泊位</t>
        </is>
      </c>
      <c r="G562" s="20" t="n">
        <v>11738</v>
      </c>
      <c r="H562" s="38" t="n">
        <v>7.88</v>
      </c>
      <c r="I562" s="38" t="n">
        <v>5.03</v>
      </c>
      <c r="J562" s="38" t="n">
        <v>8.890000000000001</v>
      </c>
      <c r="K562" s="20" t="n">
        <v>0</v>
      </c>
      <c r="L562" s="26">
        <f>IF(H562&lt;=J562,1,0)</f>
        <v>1</v>
      </c>
    </row>
    <row r="563">
      <c r="A563" s="24" t="inlineStr">
        <is>
          <t>QL-093-4</t>
        </is>
      </c>
      <c r="B563" s="39" t="n">
        <v>45750</v>
      </c>
      <c r="C563" s="40" t="inlineStr">
        <is>
          <t>进港</t>
        </is>
      </c>
      <c r="D563" s="24" t="inlineStr">
        <is>
          <t>粮食</t>
        </is>
      </c>
      <c r="E563" s="24" t="inlineStr">
        <is>
          <t>东亚</t>
        </is>
      </c>
      <c r="F563" s="24" t="inlineStr">
        <is>
          <t>04号泊位</t>
        </is>
      </c>
      <c r="G563" s="25" t="n">
        <v>6397</v>
      </c>
      <c r="H563" s="41" t="n">
        <v>5.16</v>
      </c>
      <c r="I563" s="41" t="n">
        <v>1.73</v>
      </c>
      <c r="J563" s="41" t="n">
        <v>6.27</v>
      </c>
      <c r="K563" s="25" t="n">
        <v>0</v>
      </c>
      <c r="L563" s="26">
        <f>IF(H563&lt;=J563,1,0)</f>
        <v>1</v>
      </c>
    </row>
    <row r="564">
      <c r="A564" s="19" t="inlineStr">
        <is>
          <t>QL-093-5</t>
        </is>
      </c>
      <c r="B564" s="36" t="n">
        <v>45750</v>
      </c>
      <c r="C564" s="37" t="inlineStr">
        <is>
          <t>出港</t>
        </is>
      </c>
      <c r="D564" s="19" t="inlineStr">
        <is>
          <t>液体散货</t>
        </is>
      </c>
      <c r="E564" s="19" t="inlineStr">
        <is>
          <t>欧洲</t>
        </is>
      </c>
      <c r="F564" s="19" t="inlineStr">
        <is>
          <t>05号泊位</t>
        </is>
      </c>
      <c r="G564" s="20" t="n">
        <v>8826</v>
      </c>
      <c r="H564" s="38" t="n">
        <v>5.85</v>
      </c>
      <c r="I564" s="38" t="n">
        <v>2.29</v>
      </c>
      <c r="J564" s="38" t="n">
        <v>6.13</v>
      </c>
      <c r="K564" s="20" t="n">
        <v>0</v>
      </c>
      <c r="L564" s="26">
        <f>IF(H564&lt;=J564,1,0)</f>
        <v>1</v>
      </c>
    </row>
    <row r="565">
      <c r="A565" s="24" t="inlineStr">
        <is>
          <t>QL-093-6</t>
        </is>
      </c>
      <c r="B565" s="39" t="n">
        <v>45750</v>
      </c>
      <c r="C565" s="40" t="inlineStr">
        <is>
          <t>出港</t>
        </is>
      </c>
      <c r="D565" s="24" t="inlineStr">
        <is>
          <t>件杂货</t>
        </is>
      </c>
      <c r="E565" s="24" t="inlineStr">
        <is>
          <t>国内沿海</t>
        </is>
      </c>
      <c r="F565" s="24" t="inlineStr">
        <is>
          <t>06号泊位</t>
        </is>
      </c>
      <c r="G565" s="25" t="n">
        <v>5066</v>
      </c>
      <c r="H565" s="41" t="n">
        <v>8.550000000000001</v>
      </c>
      <c r="I565" s="41" t="n">
        <v>2.57</v>
      </c>
      <c r="J565" s="41" t="n">
        <v>8.300000000000001</v>
      </c>
      <c r="K565" s="25" t="n">
        <v>0</v>
      </c>
      <c r="L565" s="26">
        <f>IF(H565&lt;=J565,1,0)</f>
        <v>0</v>
      </c>
    </row>
    <row r="566">
      <c r="A566" s="19" t="inlineStr">
        <is>
          <t>QL-094-1</t>
        </is>
      </c>
      <c r="B566" s="36" t="n">
        <v>45751</v>
      </c>
      <c r="C566" s="37" t="inlineStr">
        <is>
          <t>进港</t>
        </is>
      </c>
      <c r="D566" s="19" t="inlineStr">
        <is>
          <t>集装箱货物</t>
        </is>
      </c>
      <c r="E566" s="19" t="inlineStr">
        <is>
          <t>国内沿海</t>
        </is>
      </c>
      <c r="F566" s="19" t="inlineStr">
        <is>
          <t>01号泊位</t>
        </is>
      </c>
      <c r="G566" s="20" t="n">
        <v>10093</v>
      </c>
      <c r="H566" s="38" t="n">
        <v>13.28</v>
      </c>
      <c r="I566" s="38" t="n">
        <v>0.3</v>
      </c>
      <c r="J566" s="38" t="n">
        <v>11.21</v>
      </c>
      <c r="K566" s="20" t="n">
        <v>739</v>
      </c>
      <c r="L566" s="26">
        <f>IF(H566&lt;=J566,1,0)</f>
        <v>0</v>
      </c>
    </row>
    <row r="567">
      <c r="A567" s="24" t="inlineStr">
        <is>
          <t>QL-094-2</t>
        </is>
      </c>
      <c r="B567" s="39" t="n">
        <v>45751</v>
      </c>
      <c r="C567" s="40" t="inlineStr">
        <is>
          <t>进港</t>
        </is>
      </c>
      <c r="D567" s="24" t="inlineStr">
        <is>
          <t>金属矿石</t>
        </is>
      </c>
      <c r="E567" s="24" t="inlineStr">
        <is>
          <t>欧洲</t>
        </is>
      </c>
      <c r="F567" s="24" t="inlineStr">
        <is>
          <t>02号泊位</t>
        </is>
      </c>
      <c r="G567" s="25" t="n">
        <v>16907</v>
      </c>
      <c r="H567" s="41" t="n">
        <v>9.98</v>
      </c>
      <c r="I567" s="41" t="n">
        <v>1.48</v>
      </c>
      <c r="J567" s="41" t="n">
        <v>10.91</v>
      </c>
      <c r="K567" s="25" t="n">
        <v>0</v>
      </c>
      <c r="L567" s="26">
        <f>IF(H567&lt;=J567,1,0)</f>
        <v>1</v>
      </c>
    </row>
    <row r="568">
      <c r="A568" s="19" t="inlineStr">
        <is>
          <t>QL-094-3</t>
        </is>
      </c>
      <c r="B568" s="36" t="n">
        <v>45751</v>
      </c>
      <c r="C568" s="37" t="inlineStr">
        <is>
          <t>出港</t>
        </is>
      </c>
      <c r="D568" s="19" t="inlineStr">
        <is>
          <t>煤炭</t>
        </is>
      </c>
      <c r="E568" s="19" t="inlineStr">
        <is>
          <t>北美</t>
        </is>
      </c>
      <c r="F568" s="19" t="inlineStr">
        <is>
          <t>03号泊位</t>
        </is>
      </c>
      <c r="G568" s="20" t="n">
        <v>12673</v>
      </c>
      <c r="H568" s="38" t="n">
        <v>8.449999999999999</v>
      </c>
      <c r="I568" s="38" t="n">
        <v>1.35</v>
      </c>
      <c r="J568" s="38" t="n">
        <v>9.6</v>
      </c>
      <c r="K568" s="20" t="n">
        <v>0</v>
      </c>
      <c r="L568" s="26">
        <f>IF(H568&lt;=J568,1,0)</f>
        <v>1</v>
      </c>
    </row>
    <row r="569">
      <c r="A569" s="24" t="inlineStr">
        <is>
          <t>QL-094-4</t>
        </is>
      </c>
      <c r="B569" s="39" t="n">
        <v>45751</v>
      </c>
      <c r="C569" s="40" t="inlineStr">
        <is>
          <t>出港</t>
        </is>
      </c>
      <c r="D569" s="24" t="inlineStr">
        <is>
          <t>粮食</t>
        </is>
      </c>
      <c r="E569" s="24" t="inlineStr">
        <is>
          <t>东南亚</t>
        </is>
      </c>
      <c r="F569" s="24" t="inlineStr">
        <is>
          <t>04号泊位</t>
        </is>
      </c>
      <c r="G569" s="25" t="n">
        <v>7794</v>
      </c>
      <c r="H569" s="41" t="n">
        <v>7.46</v>
      </c>
      <c r="I569" s="41" t="n">
        <v>3.17</v>
      </c>
      <c r="J569" s="41" t="n">
        <v>7.64</v>
      </c>
      <c r="K569" s="25" t="n">
        <v>0</v>
      </c>
      <c r="L569" s="26">
        <f>IF(H569&lt;=J569,1,0)</f>
        <v>1</v>
      </c>
    </row>
    <row r="570">
      <c r="A570" s="19" t="inlineStr">
        <is>
          <t>QL-094-5</t>
        </is>
      </c>
      <c r="B570" s="36" t="n">
        <v>45751</v>
      </c>
      <c r="C570" s="37" t="inlineStr">
        <is>
          <t>出港</t>
        </is>
      </c>
      <c r="D570" s="19" t="inlineStr">
        <is>
          <t>液体散货</t>
        </is>
      </c>
      <c r="E570" s="19" t="inlineStr">
        <is>
          <t>欧洲</t>
        </is>
      </c>
      <c r="F570" s="19" t="inlineStr">
        <is>
          <t>05号泊位</t>
        </is>
      </c>
      <c r="G570" s="20" t="n">
        <v>10429</v>
      </c>
      <c r="H570" s="38" t="n">
        <v>7.12</v>
      </c>
      <c r="I570" s="38" t="n">
        <v>0.53</v>
      </c>
      <c r="J570" s="38" t="n">
        <v>7.24</v>
      </c>
      <c r="K570" s="20" t="n">
        <v>0</v>
      </c>
      <c r="L570" s="26">
        <f>IF(H570&lt;=J570,1,0)</f>
        <v>1</v>
      </c>
    </row>
    <row r="571">
      <c r="A571" s="24" t="inlineStr">
        <is>
          <t>QL-094-6</t>
        </is>
      </c>
      <c r="B571" s="39" t="n">
        <v>45751</v>
      </c>
      <c r="C571" s="40" t="inlineStr">
        <is>
          <t>出港</t>
        </is>
      </c>
      <c r="D571" s="24" t="inlineStr">
        <is>
          <t>件杂货</t>
        </is>
      </c>
      <c r="E571" s="24" t="inlineStr">
        <is>
          <t>东南亚</t>
        </is>
      </c>
      <c r="F571" s="24" t="inlineStr">
        <is>
          <t>06号泊位</t>
        </is>
      </c>
      <c r="G571" s="25" t="n">
        <v>5707</v>
      </c>
      <c r="H571" s="41" t="n">
        <v>8.4</v>
      </c>
      <c r="I571" s="41" t="n">
        <v>7.09</v>
      </c>
      <c r="J571" s="41" t="n">
        <v>9.359999999999999</v>
      </c>
      <c r="K571" s="25" t="n">
        <v>0</v>
      </c>
      <c r="L571" s="26">
        <f>IF(H571&lt;=J571,1,0)</f>
        <v>1</v>
      </c>
    </row>
    <row r="572">
      <c r="A572" s="19" t="inlineStr">
        <is>
          <t>QL-095-1</t>
        </is>
      </c>
      <c r="B572" s="36" t="n">
        <v>45752</v>
      </c>
      <c r="C572" s="37" t="inlineStr">
        <is>
          <t>进港</t>
        </is>
      </c>
      <c r="D572" s="19" t="inlineStr">
        <is>
          <t>集装箱货物</t>
        </is>
      </c>
      <c r="E572" s="19" t="inlineStr">
        <is>
          <t>国内沿海</t>
        </is>
      </c>
      <c r="F572" s="19" t="inlineStr">
        <is>
          <t>01号泊位</t>
        </is>
      </c>
      <c r="G572" s="20" t="n">
        <v>11858</v>
      </c>
      <c r="H572" s="38" t="n">
        <v>14.43</v>
      </c>
      <c r="I572" s="38" t="n">
        <v>4.6</v>
      </c>
      <c r="J572" s="38" t="n">
        <v>13.18</v>
      </c>
      <c r="K572" s="20" t="n">
        <v>856</v>
      </c>
      <c r="L572" s="26">
        <f>IF(H572&lt;=J572,1,0)</f>
        <v>0</v>
      </c>
    </row>
    <row r="573">
      <c r="A573" s="24" t="inlineStr">
        <is>
          <t>QL-095-2</t>
        </is>
      </c>
      <c r="B573" s="39" t="n">
        <v>45752</v>
      </c>
      <c r="C573" s="40" t="inlineStr">
        <is>
          <t>进港</t>
        </is>
      </c>
      <c r="D573" s="24" t="inlineStr">
        <is>
          <t>金属矿石</t>
        </is>
      </c>
      <c r="E573" s="24" t="inlineStr">
        <is>
          <t>东南亚</t>
        </is>
      </c>
      <c r="F573" s="24" t="inlineStr">
        <is>
          <t>02号泊位</t>
        </is>
      </c>
      <c r="G573" s="25" t="n">
        <v>21219</v>
      </c>
      <c r="H573" s="41" t="n">
        <v>15.45</v>
      </c>
      <c r="I573" s="41" t="n">
        <v>4.9</v>
      </c>
      <c r="J573" s="41" t="n">
        <v>13.69</v>
      </c>
      <c r="K573" s="25" t="n">
        <v>0</v>
      </c>
      <c r="L573" s="26">
        <f>IF(H573&lt;=J573,1,0)</f>
        <v>0</v>
      </c>
    </row>
    <row r="574">
      <c r="A574" s="19" t="inlineStr">
        <is>
          <t>QL-095-3</t>
        </is>
      </c>
      <c r="B574" s="36" t="n">
        <v>45752</v>
      </c>
      <c r="C574" s="37" t="inlineStr">
        <is>
          <t>进港</t>
        </is>
      </c>
      <c r="D574" s="19" t="inlineStr">
        <is>
          <t>煤炭</t>
        </is>
      </c>
      <c r="E574" s="19" t="inlineStr">
        <is>
          <t>国内沿海</t>
        </is>
      </c>
      <c r="F574" s="19" t="inlineStr">
        <is>
          <t>03号泊位</t>
        </is>
      </c>
      <c r="G574" s="20" t="n">
        <v>15465</v>
      </c>
      <c r="H574" s="38" t="n">
        <v>13.2</v>
      </c>
      <c r="I574" s="38" t="n">
        <v>0.99</v>
      </c>
      <c r="J574" s="38" t="n">
        <v>11.72</v>
      </c>
      <c r="K574" s="20" t="n">
        <v>0</v>
      </c>
      <c r="L574" s="26">
        <f>IF(H574&lt;=J574,1,0)</f>
        <v>0</v>
      </c>
    </row>
    <row r="575">
      <c r="A575" s="24" t="inlineStr">
        <is>
          <t>QL-095-4</t>
        </is>
      </c>
      <c r="B575" s="39" t="n">
        <v>45752</v>
      </c>
      <c r="C575" s="40" t="inlineStr">
        <is>
          <t>进港</t>
        </is>
      </c>
      <c r="D575" s="24" t="inlineStr">
        <is>
          <t>粮食</t>
        </is>
      </c>
      <c r="E575" s="24" t="inlineStr">
        <is>
          <t>东亚</t>
        </is>
      </c>
      <c r="F575" s="24" t="inlineStr">
        <is>
          <t>04号泊位</t>
        </is>
      </c>
      <c r="G575" s="25" t="n">
        <v>10051</v>
      </c>
      <c r="H575" s="41" t="n">
        <v>10.39</v>
      </c>
      <c r="I575" s="41" t="n">
        <v>1.55</v>
      </c>
      <c r="J575" s="41" t="n">
        <v>9.85</v>
      </c>
      <c r="K575" s="25" t="n">
        <v>0</v>
      </c>
      <c r="L575" s="26">
        <f>IF(H575&lt;=J575,1,0)</f>
        <v>0</v>
      </c>
    </row>
    <row r="576">
      <c r="A576" s="19" t="inlineStr">
        <is>
          <t>QL-095-5</t>
        </is>
      </c>
      <c r="B576" s="36" t="n">
        <v>45752</v>
      </c>
      <c r="C576" s="37" t="inlineStr">
        <is>
          <t>出港</t>
        </is>
      </c>
      <c r="D576" s="19" t="inlineStr">
        <is>
          <t>液体散货</t>
        </is>
      </c>
      <c r="E576" s="19" t="inlineStr">
        <is>
          <t>东南亚</t>
        </is>
      </c>
      <c r="F576" s="19" t="inlineStr">
        <is>
          <t>05号泊位</t>
        </is>
      </c>
      <c r="G576" s="20" t="n">
        <v>17803</v>
      </c>
      <c r="H576" s="38" t="n">
        <v>14.31</v>
      </c>
      <c r="I576" s="38" t="n">
        <v>3.23</v>
      </c>
      <c r="J576" s="38" t="n">
        <v>12.36</v>
      </c>
      <c r="K576" s="20" t="n">
        <v>0</v>
      </c>
      <c r="L576" s="26">
        <f>IF(H576&lt;=J576,1,0)</f>
        <v>0</v>
      </c>
    </row>
    <row r="577">
      <c r="A577" s="24" t="inlineStr">
        <is>
          <t>QL-095-6</t>
        </is>
      </c>
      <c r="B577" s="39" t="n">
        <v>45752</v>
      </c>
      <c r="C577" s="40" t="inlineStr">
        <is>
          <t>进港</t>
        </is>
      </c>
      <c r="D577" s="24" t="inlineStr">
        <is>
          <t>件杂货</t>
        </is>
      </c>
      <c r="E577" s="24" t="inlineStr">
        <is>
          <t>国内沿海</t>
        </is>
      </c>
      <c r="F577" s="24" t="inlineStr">
        <is>
          <t>06号泊位</t>
        </is>
      </c>
      <c r="G577" s="25" t="n">
        <v>3887</v>
      </c>
      <c r="H577" s="41" t="n">
        <v>6.99</v>
      </c>
      <c r="I577" s="41" t="n">
        <v>0.9</v>
      </c>
      <c r="J577" s="41" t="n">
        <v>6.37</v>
      </c>
      <c r="K577" s="25" t="n">
        <v>0</v>
      </c>
      <c r="L577" s="26">
        <f>IF(H577&lt;=J577,1,0)</f>
        <v>0</v>
      </c>
    </row>
    <row r="578">
      <c r="A578" s="19" t="inlineStr">
        <is>
          <t>QL-096-1</t>
        </is>
      </c>
      <c r="B578" s="36" t="n">
        <v>45753</v>
      </c>
      <c r="C578" s="37" t="inlineStr">
        <is>
          <t>进港</t>
        </is>
      </c>
      <c r="D578" s="19" t="inlineStr">
        <is>
          <t>集装箱货物</t>
        </is>
      </c>
      <c r="E578" s="19" t="inlineStr">
        <is>
          <t>国内沿海</t>
        </is>
      </c>
      <c r="F578" s="19" t="inlineStr">
        <is>
          <t>01号泊位</t>
        </is>
      </c>
      <c r="G578" s="20" t="n">
        <v>10741</v>
      </c>
      <c r="H578" s="38" t="n">
        <v>13.48</v>
      </c>
      <c r="I578" s="38" t="n">
        <v>2.89</v>
      </c>
      <c r="J578" s="38" t="n">
        <v>11.93</v>
      </c>
      <c r="K578" s="20" t="n">
        <v>719</v>
      </c>
      <c r="L578" s="26">
        <f>IF(H578&lt;=J578,1,0)</f>
        <v>0</v>
      </c>
    </row>
    <row r="579">
      <c r="A579" s="24" t="inlineStr">
        <is>
          <t>QL-096-2</t>
        </is>
      </c>
      <c r="B579" s="39" t="n">
        <v>45753</v>
      </c>
      <c r="C579" s="40" t="inlineStr">
        <is>
          <t>进港</t>
        </is>
      </c>
      <c r="D579" s="24" t="inlineStr">
        <is>
          <t>金属矿石</t>
        </is>
      </c>
      <c r="E579" s="24" t="inlineStr">
        <is>
          <t>东南亚</t>
        </is>
      </c>
      <c r="F579" s="24" t="inlineStr">
        <is>
          <t>02号泊位</t>
        </is>
      </c>
      <c r="G579" s="25" t="n">
        <v>24670</v>
      </c>
      <c r="H579" s="41" t="n">
        <v>16.99</v>
      </c>
      <c r="I579" s="41" t="n">
        <v>0.7</v>
      </c>
      <c r="J579" s="41" t="n">
        <v>15.92</v>
      </c>
      <c r="K579" s="25" t="n">
        <v>0</v>
      </c>
      <c r="L579" s="26">
        <f>IF(H579&lt;=J579,1,0)</f>
        <v>0</v>
      </c>
    </row>
    <row r="580">
      <c r="A580" s="19" t="inlineStr">
        <is>
          <t>QL-096-3</t>
        </is>
      </c>
      <c r="B580" s="36" t="n">
        <v>45753</v>
      </c>
      <c r="C580" s="37" t="inlineStr">
        <is>
          <t>进港</t>
        </is>
      </c>
      <c r="D580" s="19" t="inlineStr">
        <is>
          <t>煤炭</t>
        </is>
      </c>
      <c r="E580" s="19" t="inlineStr">
        <is>
          <t>国内沿海</t>
        </is>
      </c>
      <c r="F580" s="19" t="inlineStr">
        <is>
          <t>03号泊位</t>
        </is>
      </c>
      <c r="G580" s="20" t="n">
        <v>15122</v>
      </c>
      <c r="H580" s="38" t="n">
        <v>12.73</v>
      </c>
      <c r="I580" s="38" t="n">
        <v>4.16</v>
      </c>
      <c r="J580" s="38" t="n">
        <v>11.46</v>
      </c>
      <c r="K580" s="20" t="n">
        <v>0</v>
      </c>
      <c r="L580" s="26">
        <f>IF(H580&lt;=J580,1,0)</f>
        <v>0</v>
      </c>
    </row>
    <row r="581">
      <c r="A581" s="24" t="inlineStr">
        <is>
          <t>QL-096-4</t>
        </is>
      </c>
      <c r="B581" s="39" t="n">
        <v>45753</v>
      </c>
      <c r="C581" s="40" t="inlineStr">
        <is>
          <t>进港</t>
        </is>
      </c>
      <c r="D581" s="24" t="inlineStr">
        <is>
          <t>粮食</t>
        </is>
      </c>
      <c r="E581" s="24" t="inlineStr">
        <is>
          <t>东亚</t>
        </is>
      </c>
      <c r="F581" s="24" t="inlineStr">
        <is>
          <t>04号泊位</t>
        </is>
      </c>
      <c r="G581" s="25" t="n">
        <v>10114</v>
      </c>
      <c r="H581" s="41" t="n">
        <v>10.71</v>
      </c>
      <c r="I581" s="41" t="n">
        <v>1.82</v>
      </c>
      <c r="J581" s="41" t="n">
        <v>9.92</v>
      </c>
      <c r="K581" s="25" t="n">
        <v>0</v>
      </c>
      <c r="L581" s="26">
        <f>IF(H581&lt;=J581,1,0)</f>
        <v>0</v>
      </c>
    </row>
    <row r="582">
      <c r="A582" s="19" t="inlineStr">
        <is>
          <t>QL-096-5</t>
        </is>
      </c>
      <c r="B582" s="36" t="n">
        <v>45753</v>
      </c>
      <c r="C582" s="37" t="inlineStr">
        <is>
          <t>出港</t>
        </is>
      </c>
      <c r="D582" s="19" t="inlineStr">
        <is>
          <t>液体散货</t>
        </is>
      </c>
      <c r="E582" s="19" t="inlineStr">
        <is>
          <t>东南亚</t>
        </is>
      </c>
      <c r="F582" s="19" t="inlineStr">
        <is>
          <t>05号泊位</t>
        </is>
      </c>
      <c r="G582" s="20" t="n">
        <v>14005</v>
      </c>
      <c r="H582" s="38" t="n">
        <v>8.32</v>
      </c>
      <c r="I582" s="38" t="n">
        <v>1.67</v>
      </c>
      <c r="J582" s="38" t="n">
        <v>9.73</v>
      </c>
      <c r="K582" s="20" t="n">
        <v>0</v>
      </c>
      <c r="L582" s="26">
        <f>IF(H582&lt;=J582,1,0)</f>
        <v>1</v>
      </c>
    </row>
    <row r="583">
      <c r="A583" s="24" t="inlineStr">
        <is>
          <t>QL-096-6</t>
        </is>
      </c>
      <c r="B583" s="39" t="n">
        <v>45753</v>
      </c>
      <c r="C583" s="40" t="inlineStr">
        <is>
          <t>出港</t>
        </is>
      </c>
      <c r="D583" s="24" t="inlineStr">
        <is>
          <t>件杂货</t>
        </is>
      </c>
      <c r="E583" s="24" t="inlineStr">
        <is>
          <t>东南亚</t>
        </is>
      </c>
      <c r="F583" s="24" t="inlineStr">
        <is>
          <t>06号泊位</t>
        </is>
      </c>
      <c r="G583" s="25" t="n">
        <v>4971</v>
      </c>
      <c r="H583" s="41" t="n">
        <v>9.449999999999999</v>
      </c>
      <c r="I583" s="41" t="n">
        <v>0.8</v>
      </c>
      <c r="J583" s="41" t="n">
        <v>8.15</v>
      </c>
      <c r="K583" s="25" t="n">
        <v>0</v>
      </c>
      <c r="L583" s="26">
        <f>IF(H583&lt;=J583,1,0)</f>
        <v>0</v>
      </c>
    </row>
    <row r="584">
      <c r="A584" s="19" t="inlineStr">
        <is>
          <t>QL-097-1</t>
        </is>
      </c>
      <c r="B584" s="36" t="n">
        <v>45754</v>
      </c>
      <c r="C584" s="37" t="inlineStr">
        <is>
          <t>进港</t>
        </is>
      </c>
      <c r="D584" s="19" t="inlineStr">
        <is>
          <t>集装箱货物</t>
        </is>
      </c>
      <c r="E584" s="19" t="inlineStr">
        <is>
          <t>欧洲</t>
        </is>
      </c>
      <c r="F584" s="19" t="inlineStr">
        <is>
          <t>01号泊位</t>
        </is>
      </c>
      <c r="G584" s="20" t="n">
        <v>6132</v>
      </c>
      <c r="H584" s="38" t="n">
        <v>6.07</v>
      </c>
      <c r="I584" s="38" t="n">
        <v>1.97</v>
      </c>
      <c r="J584" s="38" t="n">
        <v>6.81</v>
      </c>
      <c r="K584" s="20" t="n">
        <v>489</v>
      </c>
      <c r="L584" s="26">
        <f>IF(H584&lt;=J584,1,0)</f>
        <v>1</v>
      </c>
    </row>
    <row r="585">
      <c r="A585" s="24" t="inlineStr">
        <is>
          <t>QL-097-2</t>
        </is>
      </c>
      <c r="B585" s="39" t="n">
        <v>45754</v>
      </c>
      <c r="C585" s="40" t="inlineStr">
        <is>
          <t>进港</t>
        </is>
      </c>
      <c r="D585" s="24" t="inlineStr">
        <is>
          <t>金属矿石</t>
        </is>
      </c>
      <c r="E585" s="24" t="inlineStr">
        <is>
          <t>东南亚</t>
        </is>
      </c>
      <c r="F585" s="24" t="inlineStr">
        <is>
          <t>02号泊位</t>
        </is>
      </c>
      <c r="G585" s="25" t="n">
        <v>16592</v>
      </c>
      <c r="H585" s="41" t="n">
        <v>12.02</v>
      </c>
      <c r="I585" s="41" t="n">
        <v>0.58</v>
      </c>
      <c r="J585" s="41" t="n">
        <v>10.7</v>
      </c>
      <c r="K585" s="25" t="n">
        <v>0</v>
      </c>
      <c r="L585" s="26">
        <f>IF(H585&lt;=J585,1,0)</f>
        <v>0</v>
      </c>
    </row>
    <row r="586">
      <c r="A586" s="19" t="inlineStr">
        <is>
          <t>QL-097-3</t>
        </is>
      </c>
      <c r="B586" s="36" t="n">
        <v>45754</v>
      </c>
      <c r="C586" s="37" t="inlineStr">
        <is>
          <t>出港</t>
        </is>
      </c>
      <c r="D586" s="19" t="inlineStr">
        <is>
          <t>煤炭</t>
        </is>
      </c>
      <c r="E586" s="19" t="inlineStr">
        <is>
          <t>欧洲</t>
        </is>
      </c>
      <c r="F586" s="19" t="inlineStr">
        <is>
          <t>03号泊位</t>
        </is>
      </c>
      <c r="G586" s="20" t="n">
        <v>10372</v>
      </c>
      <c r="H586" s="38" t="n">
        <v>8.52</v>
      </c>
      <c r="I586" s="38" t="n">
        <v>1.18</v>
      </c>
      <c r="J586" s="38" t="n">
        <v>7.86</v>
      </c>
      <c r="K586" s="20" t="n">
        <v>0</v>
      </c>
      <c r="L586" s="26">
        <f>IF(H586&lt;=J586,1,0)</f>
        <v>0</v>
      </c>
    </row>
    <row r="587">
      <c r="A587" s="24" t="inlineStr">
        <is>
          <t>QL-097-4</t>
        </is>
      </c>
      <c r="B587" s="39" t="n">
        <v>45754</v>
      </c>
      <c r="C587" s="40" t="inlineStr">
        <is>
          <t>进港</t>
        </is>
      </c>
      <c r="D587" s="24" t="inlineStr">
        <is>
          <t>粮食</t>
        </is>
      </c>
      <c r="E587" s="24" t="inlineStr">
        <is>
          <t>东南亚</t>
        </is>
      </c>
      <c r="F587" s="24" t="inlineStr">
        <is>
          <t>04号泊位</t>
        </is>
      </c>
      <c r="G587" s="25" t="n">
        <v>8987</v>
      </c>
      <c r="H587" s="41" t="n">
        <v>7.37</v>
      </c>
      <c r="I587" s="41" t="n">
        <v>0.91</v>
      </c>
      <c r="J587" s="41" t="n">
        <v>8.81</v>
      </c>
      <c r="K587" s="25" t="n">
        <v>0</v>
      </c>
      <c r="L587" s="26">
        <f>IF(H587&lt;=J587,1,0)</f>
        <v>1</v>
      </c>
    </row>
    <row r="588">
      <c r="A588" s="19" t="inlineStr">
        <is>
          <t>QL-097-5</t>
        </is>
      </c>
      <c r="B588" s="36" t="n">
        <v>45754</v>
      </c>
      <c r="C588" s="37" t="inlineStr">
        <is>
          <t>出港</t>
        </is>
      </c>
      <c r="D588" s="19" t="inlineStr">
        <is>
          <t>液体散货</t>
        </is>
      </c>
      <c r="E588" s="19" t="inlineStr">
        <is>
          <t>东亚</t>
        </is>
      </c>
      <c r="F588" s="19" t="inlineStr">
        <is>
          <t>05号泊位</t>
        </is>
      </c>
      <c r="G588" s="20" t="n">
        <v>13711</v>
      </c>
      <c r="H588" s="38" t="n">
        <v>8.41</v>
      </c>
      <c r="I588" s="38" t="n">
        <v>2.55</v>
      </c>
      <c r="J588" s="38" t="n">
        <v>9.52</v>
      </c>
      <c r="K588" s="20" t="n">
        <v>0</v>
      </c>
      <c r="L588" s="26">
        <f>IF(H588&lt;=J588,1,0)</f>
        <v>1</v>
      </c>
    </row>
    <row r="589">
      <c r="A589" s="24" t="inlineStr">
        <is>
          <t>QL-097-6</t>
        </is>
      </c>
      <c r="B589" s="39" t="n">
        <v>45754</v>
      </c>
      <c r="C589" s="40" t="inlineStr">
        <is>
          <t>出港</t>
        </is>
      </c>
      <c r="D589" s="24" t="inlineStr">
        <is>
          <t>件杂货</t>
        </is>
      </c>
      <c r="E589" s="24" t="inlineStr">
        <is>
          <t>欧洲</t>
        </is>
      </c>
      <c r="F589" s="24" t="inlineStr">
        <is>
          <t>06号泊位</t>
        </is>
      </c>
      <c r="G589" s="25" t="n">
        <v>4676</v>
      </c>
      <c r="H589" s="41" t="n">
        <v>7.85</v>
      </c>
      <c r="I589" s="41" t="n">
        <v>3.07</v>
      </c>
      <c r="J589" s="41" t="n">
        <v>7.67</v>
      </c>
      <c r="K589" s="25" t="n">
        <v>0</v>
      </c>
      <c r="L589" s="26">
        <f>IF(H589&lt;=J589,1,0)</f>
        <v>0</v>
      </c>
    </row>
    <row r="590">
      <c r="A590" s="19" t="inlineStr">
        <is>
          <t>QL-098-1</t>
        </is>
      </c>
      <c r="B590" s="36" t="n">
        <v>45755</v>
      </c>
      <c r="C590" s="37" t="inlineStr">
        <is>
          <t>出港</t>
        </is>
      </c>
      <c r="D590" s="19" t="inlineStr">
        <is>
          <t>集装箱货物</t>
        </is>
      </c>
      <c r="E590" s="19" t="inlineStr">
        <is>
          <t>东亚</t>
        </is>
      </c>
      <c r="F590" s="19" t="inlineStr">
        <is>
          <t>01号泊位</t>
        </is>
      </c>
      <c r="G590" s="20" t="n">
        <v>7016</v>
      </c>
      <c r="H590" s="38" t="n">
        <v>7.29</v>
      </c>
      <c r="I590" s="38" t="n">
        <v>1.48</v>
      </c>
      <c r="J590" s="38" t="n">
        <v>7.8</v>
      </c>
      <c r="K590" s="20" t="n">
        <v>486</v>
      </c>
      <c r="L590" s="26">
        <f>IF(H590&lt;=J590,1,0)</f>
        <v>1</v>
      </c>
    </row>
    <row r="591">
      <c r="A591" s="24" t="inlineStr">
        <is>
          <t>QL-098-2</t>
        </is>
      </c>
      <c r="B591" s="39" t="n">
        <v>45755</v>
      </c>
      <c r="C591" s="40" t="inlineStr">
        <is>
          <t>进港</t>
        </is>
      </c>
      <c r="D591" s="24" t="inlineStr">
        <is>
          <t>金属矿石</t>
        </is>
      </c>
      <c r="E591" s="24" t="inlineStr">
        <is>
          <t>欧洲</t>
        </is>
      </c>
      <c r="F591" s="24" t="inlineStr">
        <is>
          <t>02号泊位</t>
        </is>
      </c>
      <c r="G591" s="25" t="n">
        <v>16298</v>
      </c>
      <c r="H591" s="41" t="n">
        <v>9.890000000000001</v>
      </c>
      <c r="I591" s="41" t="n">
        <v>0.96</v>
      </c>
      <c r="J591" s="41" t="n">
        <v>10.51</v>
      </c>
      <c r="K591" s="25" t="n">
        <v>0</v>
      </c>
      <c r="L591" s="26">
        <f>IF(H591&lt;=J591,1,0)</f>
        <v>1</v>
      </c>
    </row>
    <row r="592">
      <c r="A592" s="19" t="inlineStr">
        <is>
          <t>QL-098-3</t>
        </is>
      </c>
      <c r="B592" s="36" t="n">
        <v>45755</v>
      </c>
      <c r="C592" s="37" t="inlineStr">
        <is>
          <t>进港</t>
        </is>
      </c>
      <c r="D592" s="19" t="inlineStr">
        <is>
          <t>煤炭</t>
        </is>
      </c>
      <c r="E592" s="19" t="inlineStr">
        <is>
          <t>北美</t>
        </is>
      </c>
      <c r="F592" s="19" t="inlineStr">
        <is>
          <t>03号泊位</t>
        </is>
      </c>
      <c r="G592" s="20" t="n">
        <v>11386</v>
      </c>
      <c r="H592" s="38" t="n">
        <v>9.44</v>
      </c>
      <c r="I592" s="38" t="n">
        <v>2.6</v>
      </c>
      <c r="J592" s="38" t="n">
        <v>8.630000000000001</v>
      </c>
      <c r="K592" s="20" t="n">
        <v>0</v>
      </c>
      <c r="L592" s="26">
        <f>IF(H592&lt;=J592,1,0)</f>
        <v>0</v>
      </c>
    </row>
    <row r="593">
      <c r="A593" s="24" t="inlineStr">
        <is>
          <t>QL-098-4</t>
        </is>
      </c>
      <c r="B593" s="39" t="n">
        <v>45755</v>
      </c>
      <c r="C593" s="40" t="inlineStr">
        <is>
          <t>进港</t>
        </is>
      </c>
      <c r="D593" s="24" t="inlineStr">
        <is>
          <t>粮食</t>
        </is>
      </c>
      <c r="E593" s="24" t="inlineStr">
        <is>
          <t>北美</t>
        </is>
      </c>
      <c r="F593" s="24" t="inlineStr">
        <is>
          <t>04号泊位</t>
        </is>
      </c>
      <c r="G593" s="25" t="n">
        <v>6356</v>
      </c>
      <c r="H593" s="41" t="n">
        <v>7.05</v>
      </c>
      <c r="I593" s="41" t="n">
        <v>1.54</v>
      </c>
      <c r="J593" s="41" t="n">
        <v>6.23</v>
      </c>
      <c r="K593" s="25" t="n">
        <v>0</v>
      </c>
      <c r="L593" s="26">
        <f>IF(H593&lt;=J593,1,0)</f>
        <v>0</v>
      </c>
    </row>
    <row r="594">
      <c r="A594" s="19" t="inlineStr">
        <is>
          <t>QL-098-5</t>
        </is>
      </c>
      <c r="B594" s="36" t="n">
        <v>45755</v>
      </c>
      <c r="C594" s="37" t="inlineStr">
        <is>
          <t>出港</t>
        </is>
      </c>
      <c r="D594" s="19" t="inlineStr">
        <is>
          <t>液体散货</t>
        </is>
      </c>
      <c r="E594" s="19" t="inlineStr">
        <is>
          <t>国内沿海</t>
        </is>
      </c>
      <c r="F594" s="19" t="inlineStr">
        <is>
          <t>05号泊位</t>
        </is>
      </c>
      <c r="G594" s="20" t="n">
        <v>10224</v>
      </c>
      <c r="H594" s="38" t="n">
        <v>7.39</v>
      </c>
      <c r="I594" s="38" t="n">
        <v>3.03</v>
      </c>
      <c r="J594" s="38" t="n">
        <v>7.1</v>
      </c>
      <c r="K594" s="20" t="n">
        <v>0</v>
      </c>
      <c r="L594" s="26">
        <f>IF(H594&lt;=J594,1,0)</f>
        <v>0</v>
      </c>
    </row>
    <row r="595">
      <c r="A595" s="24" t="inlineStr">
        <is>
          <t>QL-098-6</t>
        </is>
      </c>
      <c r="B595" s="39" t="n">
        <v>45755</v>
      </c>
      <c r="C595" s="40" t="inlineStr">
        <is>
          <t>出港</t>
        </is>
      </c>
      <c r="D595" s="24" t="inlineStr">
        <is>
          <t>件杂货</t>
        </is>
      </c>
      <c r="E595" s="24" t="inlineStr">
        <is>
          <t>东亚</t>
        </is>
      </c>
      <c r="F595" s="24" t="inlineStr">
        <is>
          <t>06号泊位</t>
        </is>
      </c>
      <c r="G595" s="25" t="n">
        <v>4554</v>
      </c>
      <c r="H595" s="41" t="n">
        <v>6.36</v>
      </c>
      <c r="I595" s="41" t="n">
        <v>0.87</v>
      </c>
      <c r="J595" s="41" t="n">
        <v>7.47</v>
      </c>
      <c r="K595" s="25" t="n">
        <v>0</v>
      </c>
      <c r="L595" s="26">
        <f>IF(H595&lt;=J595,1,0)</f>
        <v>1</v>
      </c>
    </row>
    <row r="596">
      <c r="A596" s="19" t="inlineStr">
        <is>
          <t>QL-099-1</t>
        </is>
      </c>
      <c r="B596" s="36" t="n">
        <v>45756</v>
      </c>
      <c r="C596" s="37" t="inlineStr">
        <is>
          <t>进港</t>
        </is>
      </c>
      <c r="D596" s="19" t="inlineStr">
        <is>
          <t>集装箱货物</t>
        </is>
      </c>
      <c r="E596" s="19" t="inlineStr">
        <is>
          <t>东南亚</t>
        </is>
      </c>
      <c r="F596" s="19" t="inlineStr">
        <is>
          <t>01号泊位</t>
        </is>
      </c>
      <c r="G596" s="20" t="n">
        <v>9085</v>
      </c>
      <c r="H596" s="38" t="n">
        <v>9.880000000000001</v>
      </c>
      <c r="I596" s="38" t="n">
        <v>3.59</v>
      </c>
      <c r="J596" s="38" t="n">
        <v>10.09</v>
      </c>
      <c r="K596" s="20" t="n">
        <v>575</v>
      </c>
      <c r="L596" s="26">
        <f>IF(H596&lt;=J596,1,0)</f>
        <v>1</v>
      </c>
    </row>
    <row r="597">
      <c r="A597" s="24" t="inlineStr">
        <is>
          <t>QL-099-2</t>
        </is>
      </c>
      <c r="B597" s="39" t="n">
        <v>45756</v>
      </c>
      <c r="C597" s="40" t="inlineStr">
        <is>
          <t>出港</t>
        </is>
      </c>
      <c r="D597" s="24" t="inlineStr">
        <is>
          <t>金属矿石</t>
        </is>
      </c>
      <c r="E597" s="24" t="inlineStr">
        <is>
          <t>欧洲</t>
        </is>
      </c>
      <c r="F597" s="24" t="inlineStr">
        <is>
          <t>02号泊位</t>
        </is>
      </c>
      <c r="G597" s="25" t="n">
        <v>17682</v>
      </c>
      <c r="H597" s="41" t="n">
        <v>11.06</v>
      </c>
      <c r="I597" s="41" t="n">
        <v>0.9</v>
      </c>
      <c r="J597" s="41" t="n">
        <v>11.41</v>
      </c>
      <c r="K597" s="25" t="n">
        <v>0</v>
      </c>
      <c r="L597" s="26">
        <f>IF(H597&lt;=J597,1,0)</f>
        <v>1</v>
      </c>
    </row>
    <row r="598">
      <c r="A598" s="19" t="inlineStr">
        <is>
          <t>QL-099-3</t>
        </is>
      </c>
      <c r="B598" s="36" t="n">
        <v>45756</v>
      </c>
      <c r="C598" s="37" t="inlineStr">
        <is>
          <t>出港</t>
        </is>
      </c>
      <c r="D598" s="19" t="inlineStr">
        <is>
          <t>煤炭</t>
        </is>
      </c>
      <c r="E598" s="19" t="inlineStr">
        <is>
          <t>东南亚</t>
        </is>
      </c>
      <c r="F598" s="19" t="inlineStr">
        <is>
          <t>03号泊位</t>
        </is>
      </c>
      <c r="G598" s="20" t="n">
        <v>10084</v>
      </c>
      <c r="H598" s="38" t="n">
        <v>6.78</v>
      </c>
      <c r="I598" s="38" t="n">
        <v>3.32</v>
      </c>
      <c r="J598" s="38" t="n">
        <v>7.64</v>
      </c>
      <c r="K598" s="20" t="n">
        <v>0</v>
      </c>
      <c r="L598" s="26">
        <f>IF(H598&lt;=J598,1,0)</f>
        <v>1</v>
      </c>
    </row>
    <row r="599">
      <c r="A599" s="24" t="inlineStr">
        <is>
          <t>QL-099-4</t>
        </is>
      </c>
      <c r="B599" s="39" t="n">
        <v>45756</v>
      </c>
      <c r="C599" s="40" t="inlineStr">
        <is>
          <t>进港</t>
        </is>
      </c>
      <c r="D599" s="24" t="inlineStr">
        <is>
          <t>粮食</t>
        </is>
      </c>
      <c r="E599" s="24" t="inlineStr">
        <is>
          <t>欧洲</t>
        </is>
      </c>
      <c r="F599" s="24" t="inlineStr">
        <is>
          <t>04号泊位</t>
        </is>
      </c>
      <c r="G599" s="25" t="n">
        <v>7888</v>
      </c>
      <c r="H599" s="41" t="n">
        <v>8.220000000000001</v>
      </c>
      <c r="I599" s="41" t="n">
        <v>4.27</v>
      </c>
      <c r="J599" s="41" t="n">
        <v>7.73</v>
      </c>
      <c r="K599" s="25" t="n">
        <v>0</v>
      </c>
      <c r="L599" s="26">
        <f>IF(H599&lt;=J599,1,0)</f>
        <v>0</v>
      </c>
    </row>
    <row r="600">
      <c r="A600" s="19" t="inlineStr">
        <is>
          <t>QL-099-5</t>
        </is>
      </c>
      <c r="B600" s="36" t="n">
        <v>45756</v>
      </c>
      <c r="C600" s="37" t="inlineStr">
        <is>
          <t>进港</t>
        </is>
      </c>
      <c r="D600" s="19" t="inlineStr">
        <is>
          <t>液体散货</t>
        </is>
      </c>
      <c r="E600" s="19" t="inlineStr">
        <is>
          <t>东南亚</t>
        </is>
      </c>
      <c r="F600" s="19" t="inlineStr">
        <is>
          <t>05号泊位</t>
        </is>
      </c>
      <c r="G600" s="20" t="n">
        <v>9257</v>
      </c>
      <c r="H600" s="38" t="n">
        <v>6.89</v>
      </c>
      <c r="I600" s="38" t="n">
        <v>2.27</v>
      </c>
      <c r="J600" s="38" t="n">
        <v>6.43</v>
      </c>
      <c r="K600" s="20" t="n">
        <v>0</v>
      </c>
      <c r="L600" s="26">
        <f>IF(H600&lt;=J600,1,0)</f>
        <v>0</v>
      </c>
    </row>
    <row r="601">
      <c r="A601" s="24" t="inlineStr">
        <is>
          <t>QL-099-6</t>
        </is>
      </c>
      <c r="B601" s="39" t="n">
        <v>45756</v>
      </c>
      <c r="C601" s="40" t="inlineStr">
        <is>
          <t>出港</t>
        </is>
      </c>
      <c r="D601" s="24" t="inlineStr">
        <is>
          <t>件杂货</t>
        </is>
      </c>
      <c r="E601" s="24" t="inlineStr">
        <is>
          <t>国内沿海</t>
        </is>
      </c>
      <c r="F601" s="24" t="inlineStr">
        <is>
          <t>06号泊位</t>
        </is>
      </c>
      <c r="G601" s="25" t="n">
        <v>3613</v>
      </c>
      <c r="H601" s="41" t="n">
        <v>5.47</v>
      </c>
      <c r="I601" s="41" t="n">
        <v>1.52</v>
      </c>
      <c r="J601" s="41" t="n">
        <v>5.92</v>
      </c>
      <c r="K601" s="25" t="n">
        <v>0</v>
      </c>
      <c r="L601" s="26">
        <f>IF(H601&lt;=J601,1,0)</f>
        <v>1</v>
      </c>
    </row>
    <row r="602">
      <c r="A602" s="19" t="inlineStr">
        <is>
          <t>QL-100-1</t>
        </is>
      </c>
      <c r="B602" s="36" t="n">
        <v>45757</v>
      </c>
      <c r="C602" s="37" t="inlineStr">
        <is>
          <t>出港</t>
        </is>
      </c>
      <c r="D602" s="19" t="inlineStr">
        <is>
          <t>集装箱货物</t>
        </is>
      </c>
      <c r="E602" s="19" t="inlineStr">
        <is>
          <t>东亚</t>
        </is>
      </c>
      <c r="F602" s="19" t="inlineStr">
        <is>
          <t>01号泊位</t>
        </is>
      </c>
      <c r="G602" s="20" t="n">
        <v>4736</v>
      </c>
      <c r="H602" s="38" t="n">
        <v>5.63</v>
      </c>
      <c r="I602" s="38" t="n">
        <v>1.86</v>
      </c>
      <c r="J602" s="38" t="n">
        <v>5.26</v>
      </c>
      <c r="K602" s="20" t="n">
        <v>356</v>
      </c>
      <c r="L602" s="26">
        <f>IF(H602&lt;=J602,1,0)</f>
        <v>0</v>
      </c>
    </row>
    <row r="603">
      <c r="A603" s="24" t="inlineStr">
        <is>
          <t>QL-100-2</t>
        </is>
      </c>
      <c r="B603" s="39" t="n">
        <v>45757</v>
      </c>
      <c r="C603" s="40" t="inlineStr">
        <is>
          <t>进港</t>
        </is>
      </c>
      <c r="D603" s="24" t="inlineStr">
        <is>
          <t>金属矿石</t>
        </is>
      </c>
      <c r="E603" s="24" t="inlineStr">
        <is>
          <t>东南亚</t>
        </is>
      </c>
      <c r="F603" s="24" t="inlineStr">
        <is>
          <t>02号泊位</t>
        </is>
      </c>
      <c r="G603" s="25" t="n">
        <v>15771</v>
      </c>
      <c r="H603" s="41" t="n">
        <v>10.46</v>
      </c>
      <c r="I603" s="41" t="n">
        <v>4.71</v>
      </c>
      <c r="J603" s="41" t="n">
        <v>10.17</v>
      </c>
      <c r="K603" s="25" t="n">
        <v>0</v>
      </c>
      <c r="L603" s="26">
        <f>IF(H603&lt;=J603,1,0)</f>
        <v>0</v>
      </c>
    </row>
    <row r="604">
      <c r="A604" s="19" t="inlineStr">
        <is>
          <t>QL-100-3</t>
        </is>
      </c>
      <c r="B604" s="36" t="n">
        <v>45757</v>
      </c>
      <c r="C604" s="37" t="inlineStr">
        <is>
          <t>出港</t>
        </is>
      </c>
      <c r="D604" s="19" t="inlineStr">
        <is>
          <t>煤炭</t>
        </is>
      </c>
      <c r="E604" s="19" t="inlineStr">
        <is>
          <t>国内沿海</t>
        </is>
      </c>
      <c r="F604" s="19" t="inlineStr">
        <is>
          <t>03号泊位</t>
        </is>
      </c>
      <c r="G604" s="20" t="n">
        <v>14210</v>
      </c>
      <c r="H604" s="38" t="n">
        <v>11.95</v>
      </c>
      <c r="I604" s="38" t="n">
        <v>7.04</v>
      </c>
      <c r="J604" s="38" t="n">
        <v>10.77</v>
      </c>
      <c r="K604" s="20" t="n">
        <v>0</v>
      </c>
      <c r="L604" s="26">
        <f>IF(H604&lt;=J604,1,0)</f>
        <v>0</v>
      </c>
    </row>
    <row r="605">
      <c r="A605" s="24" t="inlineStr">
        <is>
          <t>QL-100-4</t>
        </is>
      </c>
      <c r="B605" s="39" t="n">
        <v>45757</v>
      </c>
      <c r="C605" s="40" t="inlineStr">
        <is>
          <t>进港</t>
        </is>
      </c>
      <c r="D605" s="24" t="inlineStr">
        <is>
          <t>粮食</t>
        </is>
      </c>
      <c r="E605" s="24" t="inlineStr">
        <is>
          <t>东南亚</t>
        </is>
      </c>
      <c r="F605" s="24" t="inlineStr">
        <is>
          <t>04号泊位</t>
        </is>
      </c>
      <c r="G605" s="25" t="n">
        <v>8433</v>
      </c>
      <c r="H605" s="41" t="n">
        <v>9</v>
      </c>
      <c r="I605" s="41" t="n">
        <v>11.52</v>
      </c>
      <c r="J605" s="41" t="n">
        <v>8.27</v>
      </c>
      <c r="K605" s="25" t="n">
        <v>0</v>
      </c>
      <c r="L605" s="26">
        <f>IF(H605&lt;=J605,1,0)</f>
        <v>0</v>
      </c>
    </row>
    <row r="606">
      <c r="A606" s="19" t="inlineStr">
        <is>
          <t>QL-100-5</t>
        </is>
      </c>
      <c r="B606" s="36" t="n">
        <v>45757</v>
      </c>
      <c r="C606" s="37" t="inlineStr">
        <is>
          <t>进港</t>
        </is>
      </c>
      <c r="D606" s="19" t="inlineStr">
        <is>
          <t>液体散货</t>
        </is>
      </c>
      <c r="E606" s="19" t="inlineStr">
        <is>
          <t>东南亚</t>
        </is>
      </c>
      <c r="F606" s="19" t="inlineStr">
        <is>
          <t>05号泊位</t>
        </is>
      </c>
      <c r="G606" s="20" t="n">
        <v>13183</v>
      </c>
      <c r="H606" s="38" t="n">
        <v>9.130000000000001</v>
      </c>
      <c r="I606" s="38" t="n">
        <v>1.76</v>
      </c>
      <c r="J606" s="38" t="n">
        <v>9.15</v>
      </c>
      <c r="K606" s="20" t="n">
        <v>0</v>
      </c>
      <c r="L606" s="26">
        <f>IF(H606&lt;=J606,1,0)</f>
        <v>1</v>
      </c>
    </row>
    <row r="607">
      <c r="A607" s="24" t="inlineStr">
        <is>
          <t>QL-100-6</t>
        </is>
      </c>
      <c r="B607" s="39" t="n">
        <v>45757</v>
      </c>
      <c r="C607" s="40" t="inlineStr">
        <is>
          <t>出港</t>
        </is>
      </c>
      <c r="D607" s="24" t="inlineStr">
        <is>
          <t>件杂货</t>
        </is>
      </c>
      <c r="E607" s="24" t="inlineStr">
        <is>
          <t>东亚</t>
        </is>
      </c>
      <c r="F607" s="24" t="inlineStr">
        <is>
          <t>06号泊位</t>
        </is>
      </c>
      <c r="G607" s="25" t="n">
        <v>3728</v>
      </c>
      <c r="H607" s="41" t="n">
        <v>7.11</v>
      </c>
      <c r="I607" s="41" t="n">
        <v>2.1</v>
      </c>
      <c r="J607" s="41" t="n">
        <v>6.11</v>
      </c>
      <c r="K607" s="25" t="n">
        <v>0</v>
      </c>
      <c r="L607" s="26">
        <f>IF(H607&lt;=J607,1,0)</f>
        <v>0</v>
      </c>
    </row>
    <row r="608">
      <c r="A608" s="19" t="inlineStr">
        <is>
          <t>QL-101-1</t>
        </is>
      </c>
      <c r="B608" s="36" t="n">
        <v>45758</v>
      </c>
      <c r="C608" s="37" t="inlineStr">
        <is>
          <t>进港</t>
        </is>
      </c>
      <c r="D608" s="19" t="inlineStr">
        <is>
          <t>集装箱货物</t>
        </is>
      </c>
      <c r="E608" s="19" t="inlineStr">
        <is>
          <t>国内沿海</t>
        </is>
      </c>
      <c r="F608" s="19" t="inlineStr">
        <is>
          <t>01号泊位</t>
        </is>
      </c>
      <c r="G608" s="20" t="n">
        <v>6031</v>
      </c>
      <c r="H608" s="38" t="n">
        <v>7.86</v>
      </c>
      <c r="I608" s="38" t="n">
        <v>2.2</v>
      </c>
      <c r="J608" s="38" t="n">
        <v>6.7</v>
      </c>
      <c r="K608" s="20" t="n">
        <v>382</v>
      </c>
      <c r="L608" s="26">
        <f>IF(H608&lt;=J608,1,0)</f>
        <v>0</v>
      </c>
    </row>
    <row r="609">
      <c r="A609" s="24" t="inlineStr">
        <is>
          <t>QL-101-2</t>
        </is>
      </c>
      <c r="B609" s="39" t="n">
        <v>45758</v>
      </c>
      <c r="C609" s="40" t="inlineStr">
        <is>
          <t>出港</t>
        </is>
      </c>
      <c r="D609" s="24" t="inlineStr">
        <is>
          <t>金属矿石</t>
        </is>
      </c>
      <c r="E609" s="24" t="inlineStr">
        <is>
          <t>国内沿海</t>
        </is>
      </c>
      <c r="F609" s="24" t="inlineStr">
        <is>
          <t>02号泊位</t>
        </is>
      </c>
      <c r="G609" s="25" t="n">
        <v>17673</v>
      </c>
      <c r="H609" s="41" t="n">
        <v>10.6</v>
      </c>
      <c r="I609" s="41" t="n">
        <v>0.5</v>
      </c>
      <c r="J609" s="41" t="n">
        <v>11.4</v>
      </c>
      <c r="K609" s="25" t="n">
        <v>0</v>
      </c>
      <c r="L609" s="26">
        <f>IF(H609&lt;=J609,1,0)</f>
        <v>1</v>
      </c>
    </row>
    <row r="610">
      <c r="A610" s="19" t="inlineStr">
        <is>
          <t>QL-101-3</t>
        </is>
      </c>
      <c r="B610" s="36" t="n">
        <v>45758</v>
      </c>
      <c r="C610" s="37" t="inlineStr">
        <is>
          <t>进港</t>
        </is>
      </c>
      <c r="D610" s="19" t="inlineStr">
        <is>
          <t>煤炭</t>
        </is>
      </c>
      <c r="E610" s="19" t="inlineStr">
        <is>
          <t>东亚</t>
        </is>
      </c>
      <c r="F610" s="19" t="inlineStr">
        <is>
          <t>03号泊位</t>
        </is>
      </c>
      <c r="G610" s="20" t="n">
        <v>7281</v>
      </c>
      <c r="H610" s="38" t="n">
        <v>4.96</v>
      </c>
      <c r="I610" s="38" t="n">
        <v>0.85</v>
      </c>
      <c r="J610" s="38" t="n">
        <v>5.52</v>
      </c>
      <c r="K610" s="20" t="n">
        <v>0</v>
      </c>
      <c r="L610" s="26">
        <f>IF(H610&lt;=J610,1,0)</f>
        <v>1</v>
      </c>
    </row>
    <row r="611">
      <c r="A611" s="24" t="inlineStr">
        <is>
          <t>QL-101-4</t>
        </is>
      </c>
      <c r="B611" s="39" t="n">
        <v>45758</v>
      </c>
      <c r="C611" s="40" t="inlineStr">
        <is>
          <t>进港</t>
        </is>
      </c>
      <c r="D611" s="24" t="inlineStr">
        <is>
          <t>粮食</t>
        </is>
      </c>
      <c r="E611" s="24" t="inlineStr">
        <is>
          <t>东亚</t>
        </is>
      </c>
      <c r="F611" s="24" t="inlineStr">
        <is>
          <t>04号泊位</t>
        </is>
      </c>
      <c r="G611" s="25" t="n">
        <v>8352</v>
      </c>
      <c r="H611" s="41" t="n">
        <v>8.24</v>
      </c>
      <c r="I611" s="41" t="n">
        <v>8.289999999999999</v>
      </c>
      <c r="J611" s="41" t="n">
        <v>8.19</v>
      </c>
      <c r="K611" s="25" t="n">
        <v>0</v>
      </c>
      <c r="L611" s="26">
        <f>IF(H611&lt;=J611,1,0)</f>
        <v>0</v>
      </c>
    </row>
    <row r="612">
      <c r="A612" s="19" t="inlineStr">
        <is>
          <t>QL-101-5</t>
        </is>
      </c>
      <c r="B612" s="36" t="n">
        <v>45758</v>
      </c>
      <c r="C612" s="37" t="inlineStr">
        <is>
          <t>进港</t>
        </is>
      </c>
      <c r="D612" s="19" t="inlineStr">
        <is>
          <t>液体散货</t>
        </is>
      </c>
      <c r="E612" s="19" t="inlineStr">
        <is>
          <t>东亚</t>
        </is>
      </c>
      <c r="F612" s="19" t="inlineStr">
        <is>
          <t>05号泊位</t>
        </is>
      </c>
      <c r="G612" s="20" t="n">
        <v>7137</v>
      </c>
      <c r="H612" s="38" t="n">
        <v>4.79</v>
      </c>
      <c r="I612" s="38" t="n">
        <v>4.15</v>
      </c>
      <c r="J612" s="38" t="n">
        <v>4.96</v>
      </c>
      <c r="K612" s="20" t="n">
        <v>0</v>
      </c>
      <c r="L612" s="26">
        <f>IF(H612&lt;=J612,1,0)</f>
        <v>1</v>
      </c>
    </row>
    <row r="613">
      <c r="A613" s="24" t="inlineStr">
        <is>
          <t>QL-101-6</t>
        </is>
      </c>
      <c r="B613" s="39" t="n">
        <v>45758</v>
      </c>
      <c r="C613" s="40" t="inlineStr">
        <is>
          <t>进港</t>
        </is>
      </c>
      <c r="D613" s="24" t="inlineStr">
        <is>
          <t>件杂货</t>
        </is>
      </c>
      <c r="E613" s="24" t="inlineStr">
        <is>
          <t>东南亚</t>
        </is>
      </c>
      <c r="F613" s="24" t="inlineStr">
        <is>
          <t>06号泊位</t>
        </is>
      </c>
      <c r="G613" s="25" t="n">
        <v>2596</v>
      </c>
      <c r="H613" s="41" t="n">
        <v>4.04</v>
      </c>
      <c r="I613" s="41" t="n">
        <v>4.72</v>
      </c>
      <c r="J613" s="41" t="n">
        <v>4.26</v>
      </c>
      <c r="K613" s="25" t="n">
        <v>0</v>
      </c>
      <c r="L613" s="26">
        <f>IF(H613&lt;=J613,1,0)</f>
        <v>1</v>
      </c>
    </row>
    <row r="614">
      <c r="A614" s="19" t="inlineStr">
        <is>
          <t>QL-102-1</t>
        </is>
      </c>
      <c r="B614" s="36" t="n">
        <v>45759</v>
      </c>
      <c r="C614" s="37" t="inlineStr">
        <is>
          <t>出港</t>
        </is>
      </c>
      <c r="D614" s="19" t="inlineStr">
        <is>
          <t>集装箱货物</t>
        </is>
      </c>
      <c r="E614" s="19" t="inlineStr">
        <is>
          <t>北美</t>
        </is>
      </c>
      <c r="F614" s="19" t="inlineStr">
        <is>
          <t>01号泊位</t>
        </is>
      </c>
      <c r="G614" s="20" t="n">
        <v>6584</v>
      </c>
      <c r="H614" s="38" t="n">
        <v>7.37</v>
      </c>
      <c r="I614" s="38" t="n">
        <v>5.27</v>
      </c>
      <c r="J614" s="38" t="n">
        <v>7.32</v>
      </c>
      <c r="K614" s="20" t="n">
        <v>393</v>
      </c>
      <c r="L614" s="26">
        <f>IF(H614&lt;=J614,1,0)</f>
        <v>0</v>
      </c>
    </row>
    <row r="615">
      <c r="A615" s="24" t="inlineStr">
        <is>
          <t>QL-102-2</t>
        </is>
      </c>
      <c r="B615" s="39" t="n">
        <v>45759</v>
      </c>
      <c r="C615" s="40" t="inlineStr">
        <is>
          <t>进港</t>
        </is>
      </c>
      <c r="D615" s="24" t="inlineStr">
        <is>
          <t>金属矿石</t>
        </is>
      </c>
      <c r="E615" s="24" t="inlineStr">
        <is>
          <t>欧洲</t>
        </is>
      </c>
      <c r="F615" s="24" t="inlineStr">
        <is>
          <t>02号泊位</t>
        </is>
      </c>
      <c r="G615" s="25" t="n">
        <v>20343</v>
      </c>
      <c r="H615" s="41" t="n">
        <v>11.41</v>
      </c>
      <c r="I615" s="41" t="n">
        <v>1.08</v>
      </c>
      <c r="J615" s="41" t="n">
        <v>13.12</v>
      </c>
      <c r="K615" s="25" t="n">
        <v>0</v>
      </c>
      <c r="L615" s="26">
        <f>IF(H615&lt;=J615,1,0)</f>
        <v>1</v>
      </c>
    </row>
    <row r="616">
      <c r="A616" s="19" t="inlineStr">
        <is>
          <t>QL-102-3</t>
        </is>
      </c>
      <c r="B616" s="36" t="n">
        <v>45759</v>
      </c>
      <c r="C616" s="37" t="inlineStr">
        <is>
          <t>进港</t>
        </is>
      </c>
      <c r="D616" s="19" t="inlineStr">
        <is>
          <t>煤炭</t>
        </is>
      </c>
      <c r="E616" s="19" t="inlineStr">
        <is>
          <t>东南亚</t>
        </is>
      </c>
      <c r="F616" s="19" t="inlineStr">
        <is>
          <t>03号泊位</t>
        </is>
      </c>
      <c r="G616" s="20" t="n">
        <v>11614</v>
      </c>
      <c r="H616" s="38" t="n">
        <v>7.73</v>
      </c>
      <c r="I616" s="38" t="n">
        <v>1.21</v>
      </c>
      <c r="J616" s="38" t="n">
        <v>8.800000000000001</v>
      </c>
      <c r="K616" s="20" t="n">
        <v>0</v>
      </c>
      <c r="L616" s="26">
        <f>IF(H616&lt;=J616,1,0)</f>
        <v>1</v>
      </c>
    </row>
    <row r="617">
      <c r="A617" s="24" t="inlineStr">
        <is>
          <t>QL-102-4</t>
        </is>
      </c>
      <c r="B617" s="39" t="n">
        <v>45759</v>
      </c>
      <c r="C617" s="40" t="inlineStr">
        <is>
          <t>进港</t>
        </is>
      </c>
      <c r="D617" s="24" t="inlineStr">
        <is>
          <t>粮食</t>
        </is>
      </c>
      <c r="E617" s="24" t="inlineStr">
        <is>
          <t>国内沿海</t>
        </is>
      </c>
      <c r="F617" s="24" t="inlineStr">
        <is>
          <t>04号泊位</t>
        </is>
      </c>
      <c r="G617" s="25" t="n">
        <v>9568</v>
      </c>
      <c r="H617" s="41" t="n">
        <v>9.800000000000001</v>
      </c>
      <c r="I617" s="41" t="n">
        <v>5.89</v>
      </c>
      <c r="J617" s="41" t="n">
        <v>9.380000000000001</v>
      </c>
      <c r="K617" s="25" t="n">
        <v>0</v>
      </c>
      <c r="L617" s="26">
        <f>IF(H617&lt;=J617,1,0)</f>
        <v>0</v>
      </c>
    </row>
    <row r="618">
      <c r="A618" s="19" t="inlineStr">
        <is>
          <t>QL-102-5</t>
        </is>
      </c>
      <c r="B618" s="36" t="n">
        <v>45759</v>
      </c>
      <c r="C618" s="37" t="inlineStr">
        <is>
          <t>进港</t>
        </is>
      </c>
      <c r="D618" s="19" t="inlineStr">
        <is>
          <t>液体散货</t>
        </is>
      </c>
      <c r="E618" s="19" t="inlineStr">
        <is>
          <t>东亚</t>
        </is>
      </c>
      <c r="F618" s="19" t="inlineStr">
        <is>
          <t>05号泊位</t>
        </is>
      </c>
      <c r="G618" s="20" t="n">
        <v>13663</v>
      </c>
      <c r="H618" s="38" t="n">
        <v>9.68</v>
      </c>
      <c r="I618" s="38" t="n">
        <v>1.95</v>
      </c>
      <c r="J618" s="38" t="n">
        <v>9.49</v>
      </c>
      <c r="K618" s="20" t="n">
        <v>0</v>
      </c>
      <c r="L618" s="26">
        <f>IF(H618&lt;=J618,1,0)</f>
        <v>0</v>
      </c>
    </row>
    <row r="619">
      <c r="A619" s="24" t="inlineStr">
        <is>
          <t>QL-102-6</t>
        </is>
      </c>
      <c r="B619" s="39" t="n">
        <v>45759</v>
      </c>
      <c r="C619" s="40" t="inlineStr">
        <is>
          <t>出港</t>
        </is>
      </c>
      <c r="D619" s="24" t="inlineStr">
        <is>
          <t>件杂货</t>
        </is>
      </c>
      <c r="E619" s="24" t="inlineStr">
        <is>
          <t>国内沿海</t>
        </is>
      </c>
      <c r="F619" s="24" t="inlineStr">
        <is>
          <t>06号泊位</t>
        </is>
      </c>
      <c r="G619" s="25" t="n">
        <v>3408</v>
      </c>
      <c r="H619" s="41" t="n">
        <v>5.48</v>
      </c>
      <c r="I619" s="41" t="n">
        <v>7.12</v>
      </c>
      <c r="J619" s="41" t="n">
        <v>5.59</v>
      </c>
      <c r="K619" s="25" t="n">
        <v>0</v>
      </c>
      <c r="L619" s="26">
        <f>IF(H619&lt;=J619,1,0)</f>
        <v>1</v>
      </c>
    </row>
    <row r="620">
      <c r="A620" s="19" t="inlineStr">
        <is>
          <t>QL-103-1</t>
        </is>
      </c>
      <c r="B620" s="36" t="n">
        <v>45760</v>
      </c>
      <c r="C620" s="37" t="inlineStr">
        <is>
          <t>出港</t>
        </is>
      </c>
      <c r="D620" s="19" t="inlineStr">
        <is>
          <t>集装箱货物</t>
        </is>
      </c>
      <c r="E620" s="19" t="inlineStr">
        <is>
          <t>东亚</t>
        </is>
      </c>
      <c r="F620" s="19" t="inlineStr">
        <is>
          <t>01号泊位</t>
        </is>
      </c>
      <c r="G620" s="20" t="n">
        <v>5813</v>
      </c>
      <c r="H620" s="38" t="n">
        <v>5.75</v>
      </c>
      <c r="I620" s="38" t="n">
        <v>1.26</v>
      </c>
      <c r="J620" s="38" t="n">
        <v>6.46</v>
      </c>
      <c r="K620" s="20" t="n">
        <v>359</v>
      </c>
      <c r="L620" s="26">
        <f>IF(H620&lt;=J620,1,0)</f>
        <v>1</v>
      </c>
    </row>
    <row r="621">
      <c r="A621" s="24" t="inlineStr">
        <is>
          <t>QL-103-2</t>
        </is>
      </c>
      <c r="B621" s="39" t="n">
        <v>45760</v>
      </c>
      <c r="C621" s="40" t="inlineStr">
        <is>
          <t>进港</t>
        </is>
      </c>
      <c r="D621" s="24" t="inlineStr">
        <is>
          <t>金属矿石</t>
        </is>
      </c>
      <c r="E621" s="24" t="inlineStr">
        <is>
          <t>东南亚</t>
        </is>
      </c>
      <c r="F621" s="24" t="inlineStr">
        <is>
          <t>02号泊位</t>
        </is>
      </c>
      <c r="G621" s="25" t="n">
        <v>18929</v>
      </c>
      <c r="H621" s="41" t="n">
        <v>12.51</v>
      </c>
      <c r="I621" s="41" t="n">
        <v>2.61</v>
      </c>
      <c r="J621" s="41" t="n">
        <v>12.21</v>
      </c>
      <c r="K621" s="25" t="n">
        <v>0</v>
      </c>
      <c r="L621" s="26">
        <f>IF(H621&lt;=J621,1,0)</f>
        <v>0</v>
      </c>
    </row>
    <row r="622">
      <c r="A622" s="19" t="inlineStr">
        <is>
          <t>QL-103-3</t>
        </is>
      </c>
      <c r="B622" s="36" t="n">
        <v>45760</v>
      </c>
      <c r="C622" s="37" t="inlineStr">
        <is>
          <t>进港</t>
        </is>
      </c>
      <c r="D622" s="19" t="inlineStr">
        <is>
          <t>煤炭</t>
        </is>
      </c>
      <c r="E622" s="19" t="inlineStr">
        <is>
          <t>东亚</t>
        </is>
      </c>
      <c r="F622" s="19" t="inlineStr">
        <is>
          <t>03号泊位</t>
        </is>
      </c>
      <c r="G622" s="20" t="n">
        <v>11734</v>
      </c>
      <c r="H622" s="38" t="n">
        <v>7.89</v>
      </c>
      <c r="I622" s="38" t="n">
        <v>0.49</v>
      </c>
      <c r="J622" s="38" t="n">
        <v>8.890000000000001</v>
      </c>
      <c r="K622" s="20" t="n">
        <v>0</v>
      </c>
      <c r="L622" s="26">
        <f>IF(H622&lt;=J622,1,0)</f>
        <v>1</v>
      </c>
    </row>
    <row r="623">
      <c r="A623" s="24" t="inlineStr">
        <is>
          <t>QL-103-4</t>
        </is>
      </c>
      <c r="B623" s="39" t="n">
        <v>45760</v>
      </c>
      <c r="C623" s="40" t="inlineStr">
        <is>
          <t>出港</t>
        </is>
      </c>
      <c r="D623" s="24" t="inlineStr">
        <is>
          <t>粮食</t>
        </is>
      </c>
      <c r="E623" s="24" t="inlineStr">
        <is>
          <t>国内沿海</t>
        </is>
      </c>
      <c r="F623" s="24" t="inlineStr">
        <is>
          <t>04号泊位</t>
        </is>
      </c>
      <c r="G623" s="25" t="n">
        <v>6214</v>
      </c>
      <c r="H623" s="41" t="n">
        <v>6.2</v>
      </c>
      <c r="I623" s="41" t="n">
        <v>3.5</v>
      </c>
      <c r="J623" s="41" t="n">
        <v>6.09</v>
      </c>
      <c r="K623" s="25" t="n">
        <v>0</v>
      </c>
      <c r="L623" s="26">
        <f>IF(H623&lt;=J623,1,0)</f>
        <v>0</v>
      </c>
    </row>
    <row r="624">
      <c r="A624" s="19" t="inlineStr">
        <is>
          <t>QL-103-5</t>
        </is>
      </c>
      <c r="B624" s="36" t="n">
        <v>45760</v>
      </c>
      <c r="C624" s="37" t="inlineStr">
        <is>
          <t>出港</t>
        </is>
      </c>
      <c r="D624" s="19" t="inlineStr">
        <is>
          <t>液体散货</t>
        </is>
      </c>
      <c r="E624" s="19" t="inlineStr">
        <is>
          <t>东亚</t>
        </is>
      </c>
      <c r="F624" s="19" t="inlineStr">
        <is>
          <t>05号泊位</t>
        </is>
      </c>
      <c r="G624" s="20" t="n">
        <v>8421</v>
      </c>
      <c r="H624" s="38" t="n">
        <v>6</v>
      </c>
      <c r="I624" s="38" t="n">
        <v>3.41</v>
      </c>
      <c r="J624" s="38" t="n">
        <v>5.85</v>
      </c>
      <c r="K624" s="20" t="n">
        <v>0</v>
      </c>
      <c r="L624" s="26">
        <f>IF(H624&lt;=J624,1,0)</f>
        <v>0</v>
      </c>
    </row>
    <row r="625">
      <c r="A625" s="24" t="inlineStr">
        <is>
          <t>QL-103-6</t>
        </is>
      </c>
      <c r="B625" s="39" t="n">
        <v>45760</v>
      </c>
      <c r="C625" s="40" t="inlineStr">
        <is>
          <t>进港</t>
        </is>
      </c>
      <c r="D625" s="24" t="inlineStr">
        <is>
          <t>件杂货</t>
        </is>
      </c>
      <c r="E625" s="24" t="inlineStr">
        <is>
          <t>东亚</t>
        </is>
      </c>
      <c r="F625" s="24" t="inlineStr">
        <is>
          <t>06号泊位</t>
        </is>
      </c>
      <c r="G625" s="25" t="n">
        <v>3935</v>
      </c>
      <c r="H625" s="41" t="n">
        <v>6.77</v>
      </c>
      <c r="I625" s="41" t="n">
        <v>1.19</v>
      </c>
      <c r="J625" s="41" t="n">
        <v>6.45</v>
      </c>
      <c r="K625" s="25" t="n">
        <v>0</v>
      </c>
      <c r="L625" s="26">
        <f>IF(H625&lt;=J625,1,0)</f>
        <v>0</v>
      </c>
    </row>
    <row r="626">
      <c r="A626" s="19" t="inlineStr">
        <is>
          <t>QL-104-1</t>
        </is>
      </c>
      <c r="B626" s="36" t="n">
        <v>45761</v>
      </c>
      <c r="C626" s="37" t="inlineStr">
        <is>
          <t>进港</t>
        </is>
      </c>
      <c r="D626" s="19" t="inlineStr">
        <is>
          <t>集装箱货物</t>
        </is>
      </c>
      <c r="E626" s="19" t="inlineStr">
        <is>
          <t>东南亚</t>
        </is>
      </c>
      <c r="F626" s="19" t="inlineStr">
        <is>
          <t>01号泊位</t>
        </is>
      </c>
      <c r="G626" s="20" t="n">
        <v>5050</v>
      </c>
      <c r="H626" s="38" t="n">
        <v>6.11</v>
      </c>
      <c r="I626" s="38" t="n">
        <v>5.82</v>
      </c>
      <c r="J626" s="38" t="n">
        <v>5.61</v>
      </c>
      <c r="K626" s="20" t="n">
        <v>408</v>
      </c>
      <c r="L626" s="26">
        <f>IF(H626&lt;=J626,1,0)</f>
        <v>0</v>
      </c>
    </row>
    <row r="627">
      <c r="A627" s="24" t="inlineStr">
        <is>
          <t>QL-104-2</t>
        </is>
      </c>
      <c r="B627" s="39" t="n">
        <v>45761</v>
      </c>
      <c r="C627" s="40" t="inlineStr">
        <is>
          <t>进港</t>
        </is>
      </c>
      <c r="D627" s="24" t="inlineStr">
        <is>
          <t>金属矿石</t>
        </is>
      </c>
      <c r="E627" s="24" t="inlineStr">
        <is>
          <t>北美</t>
        </is>
      </c>
      <c r="F627" s="24" t="inlineStr">
        <is>
          <t>02号泊位</t>
        </is>
      </c>
      <c r="G627" s="25" t="n">
        <v>11184</v>
      </c>
      <c r="H627" s="41" t="n">
        <v>6.65</v>
      </c>
      <c r="I627" s="41" t="n">
        <v>0.37</v>
      </c>
      <c r="J627" s="41" t="n">
        <v>7.22</v>
      </c>
      <c r="K627" s="25" t="n">
        <v>0</v>
      </c>
      <c r="L627" s="26">
        <f>IF(H627&lt;=J627,1,0)</f>
        <v>1</v>
      </c>
    </row>
    <row r="628">
      <c r="A628" s="19" t="inlineStr">
        <is>
          <t>QL-104-3</t>
        </is>
      </c>
      <c r="B628" s="36" t="n">
        <v>45761</v>
      </c>
      <c r="C628" s="37" t="inlineStr">
        <is>
          <t>出港</t>
        </is>
      </c>
      <c r="D628" s="19" t="inlineStr">
        <is>
          <t>煤炭</t>
        </is>
      </c>
      <c r="E628" s="19" t="inlineStr">
        <is>
          <t>东亚</t>
        </is>
      </c>
      <c r="F628" s="19" t="inlineStr">
        <is>
          <t>03号泊位</t>
        </is>
      </c>
      <c r="G628" s="20" t="n">
        <v>17348</v>
      </c>
      <c r="H628" s="38" t="n">
        <v>14.39</v>
      </c>
      <c r="I628" s="38" t="n">
        <v>2.48</v>
      </c>
      <c r="J628" s="38" t="n">
        <v>13.14</v>
      </c>
      <c r="K628" s="20" t="n">
        <v>0</v>
      </c>
      <c r="L628" s="26">
        <f>IF(H628&lt;=J628,1,0)</f>
        <v>0</v>
      </c>
    </row>
    <row r="629">
      <c r="A629" s="24" t="inlineStr">
        <is>
          <t>QL-104-4</t>
        </is>
      </c>
      <c r="B629" s="39" t="n">
        <v>45761</v>
      </c>
      <c r="C629" s="40" t="inlineStr">
        <is>
          <t>进港</t>
        </is>
      </c>
      <c r="D629" s="24" t="inlineStr">
        <is>
          <t>粮食</t>
        </is>
      </c>
      <c r="E629" s="24" t="inlineStr">
        <is>
          <t>东南亚</t>
        </is>
      </c>
      <c r="F629" s="24" t="inlineStr">
        <is>
          <t>04号泊位</t>
        </is>
      </c>
      <c r="G629" s="25" t="n">
        <v>7436</v>
      </c>
      <c r="H629" s="41" t="n">
        <v>6.1</v>
      </c>
      <c r="I629" s="41" t="n">
        <v>0.63</v>
      </c>
      <c r="J629" s="41" t="n">
        <v>7.29</v>
      </c>
      <c r="K629" s="25" t="n">
        <v>0</v>
      </c>
      <c r="L629" s="26">
        <f>IF(H629&lt;=J629,1,0)</f>
        <v>1</v>
      </c>
    </row>
    <row r="630">
      <c r="A630" s="19" t="inlineStr">
        <is>
          <t>QL-104-5</t>
        </is>
      </c>
      <c r="B630" s="36" t="n">
        <v>45761</v>
      </c>
      <c r="C630" s="37" t="inlineStr">
        <is>
          <t>进港</t>
        </is>
      </c>
      <c r="D630" s="19" t="inlineStr">
        <is>
          <t>液体散货</t>
        </is>
      </c>
      <c r="E630" s="19" t="inlineStr">
        <is>
          <t>东亚</t>
        </is>
      </c>
      <c r="F630" s="19" t="inlineStr">
        <is>
          <t>05号泊位</t>
        </is>
      </c>
      <c r="G630" s="20" t="n">
        <v>19574</v>
      </c>
      <c r="H630" s="38" t="n">
        <v>11.72</v>
      </c>
      <c r="I630" s="38" t="n">
        <v>2.02</v>
      </c>
      <c r="J630" s="38" t="n">
        <v>13.59</v>
      </c>
      <c r="K630" s="20" t="n">
        <v>0</v>
      </c>
      <c r="L630" s="26">
        <f>IF(H630&lt;=J630,1,0)</f>
        <v>1</v>
      </c>
    </row>
    <row r="631">
      <c r="A631" s="24" t="inlineStr">
        <is>
          <t>QL-104-6</t>
        </is>
      </c>
      <c r="B631" s="39" t="n">
        <v>45761</v>
      </c>
      <c r="C631" s="40" t="inlineStr">
        <is>
          <t>进港</t>
        </is>
      </c>
      <c r="D631" s="24" t="inlineStr">
        <is>
          <t>件杂货</t>
        </is>
      </c>
      <c r="E631" s="24" t="inlineStr">
        <is>
          <t>东亚</t>
        </is>
      </c>
      <c r="F631" s="24" t="inlineStr">
        <is>
          <t>06号泊位</t>
        </is>
      </c>
      <c r="G631" s="25" t="n">
        <v>3639</v>
      </c>
      <c r="H631" s="41" t="n">
        <v>5.78</v>
      </c>
      <c r="I631" s="41" t="n">
        <v>6.28</v>
      </c>
      <c r="J631" s="41" t="n">
        <v>5.97</v>
      </c>
      <c r="K631" s="25" t="n">
        <v>0</v>
      </c>
      <c r="L631" s="26">
        <f>IF(H631&lt;=J631,1,0)</f>
        <v>1</v>
      </c>
    </row>
    <row r="632">
      <c r="A632" s="19" t="inlineStr">
        <is>
          <t>QL-105-1</t>
        </is>
      </c>
      <c r="B632" s="36" t="n">
        <v>45762</v>
      </c>
      <c r="C632" s="37" t="inlineStr">
        <is>
          <t>进港</t>
        </is>
      </c>
      <c r="D632" s="19" t="inlineStr">
        <is>
          <t>集装箱货物</t>
        </is>
      </c>
      <c r="E632" s="19" t="inlineStr">
        <is>
          <t>欧洲</t>
        </is>
      </c>
      <c r="F632" s="19" t="inlineStr">
        <is>
          <t>01号泊位</t>
        </is>
      </c>
      <c r="G632" s="20" t="n">
        <v>6968</v>
      </c>
      <c r="H632" s="38" t="n">
        <v>6.84</v>
      </c>
      <c r="I632" s="38" t="n">
        <v>1.03</v>
      </c>
      <c r="J632" s="38" t="n">
        <v>7.74</v>
      </c>
      <c r="K632" s="20" t="n">
        <v>515</v>
      </c>
      <c r="L632" s="26">
        <f>IF(H632&lt;=J632,1,0)</f>
        <v>1</v>
      </c>
    </row>
    <row r="633">
      <c r="A633" s="24" t="inlineStr">
        <is>
          <t>QL-105-2</t>
        </is>
      </c>
      <c r="B633" s="39" t="n">
        <v>45762</v>
      </c>
      <c r="C633" s="40" t="inlineStr">
        <is>
          <t>进港</t>
        </is>
      </c>
      <c r="D633" s="24" t="inlineStr">
        <is>
          <t>金属矿石</t>
        </is>
      </c>
      <c r="E633" s="24" t="inlineStr">
        <is>
          <t>东南亚</t>
        </is>
      </c>
      <c r="F633" s="24" t="inlineStr">
        <is>
          <t>02号泊位</t>
        </is>
      </c>
      <c r="G633" s="25" t="n">
        <v>11517</v>
      </c>
      <c r="H633" s="41" t="n">
        <v>8.43</v>
      </c>
      <c r="I633" s="41" t="n">
        <v>1.23</v>
      </c>
      <c r="J633" s="41" t="n">
        <v>7.43</v>
      </c>
      <c r="K633" s="25" t="n">
        <v>0</v>
      </c>
      <c r="L633" s="26">
        <f>IF(H633&lt;=J633,1,0)</f>
        <v>0</v>
      </c>
    </row>
    <row r="634">
      <c r="A634" s="19" t="inlineStr">
        <is>
          <t>QL-105-3</t>
        </is>
      </c>
      <c r="B634" s="36" t="n">
        <v>45762</v>
      </c>
      <c r="C634" s="37" t="inlineStr">
        <is>
          <t>进港</t>
        </is>
      </c>
      <c r="D634" s="19" t="inlineStr">
        <is>
          <t>煤炭</t>
        </is>
      </c>
      <c r="E634" s="19" t="inlineStr">
        <is>
          <t>东南亚</t>
        </is>
      </c>
      <c r="F634" s="19" t="inlineStr">
        <is>
          <t>03号泊位</t>
        </is>
      </c>
      <c r="G634" s="20" t="n">
        <v>14943</v>
      </c>
      <c r="H634" s="38" t="n">
        <v>10.06</v>
      </c>
      <c r="I634" s="38" t="n">
        <v>2.28</v>
      </c>
      <c r="J634" s="38" t="n">
        <v>11.32</v>
      </c>
      <c r="K634" s="20" t="n">
        <v>0</v>
      </c>
      <c r="L634" s="26">
        <f>IF(H634&lt;=J634,1,0)</f>
        <v>1</v>
      </c>
    </row>
    <row r="635">
      <c r="A635" s="24" t="inlineStr">
        <is>
          <t>QL-105-4</t>
        </is>
      </c>
      <c r="B635" s="39" t="n">
        <v>45762</v>
      </c>
      <c r="C635" s="40" t="inlineStr">
        <is>
          <t>进港</t>
        </is>
      </c>
      <c r="D635" s="24" t="inlineStr">
        <is>
          <t>粮食</t>
        </is>
      </c>
      <c r="E635" s="24" t="inlineStr">
        <is>
          <t>国内沿海</t>
        </is>
      </c>
      <c r="F635" s="24" t="inlineStr">
        <is>
          <t>04号泊位</t>
        </is>
      </c>
      <c r="G635" s="25" t="n">
        <v>8350</v>
      </c>
      <c r="H635" s="41" t="n">
        <v>7.34</v>
      </c>
      <c r="I635" s="41" t="n">
        <v>4.95</v>
      </c>
      <c r="J635" s="41" t="n">
        <v>8.19</v>
      </c>
      <c r="K635" s="25" t="n">
        <v>0</v>
      </c>
      <c r="L635" s="26">
        <f>IF(H635&lt;=J635,1,0)</f>
        <v>1</v>
      </c>
    </row>
    <row r="636">
      <c r="A636" s="19" t="inlineStr">
        <is>
          <t>QL-105-5</t>
        </is>
      </c>
      <c r="B636" s="36" t="n">
        <v>45762</v>
      </c>
      <c r="C636" s="37" t="inlineStr">
        <is>
          <t>出港</t>
        </is>
      </c>
      <c r="D636" s="19" t="inlineStr">
        <is>
          <t>液体散货</t>
        </is>
      </c>
      <c r="E636" s="19" t="inlineStr">
        <is>
          <t>国内沿海</t>
        </is>
      </c>
      <c r="F636" s="19" t="inlineStr">
        <is>
          <t>05号泊位</t>
        </is>
      </c>
      <c r="G636" s="20" t="n">
        <v>9380</v>
      </c>
      <c r="H636" s="38" t="n">
        <v>6.45</v>
      </c>
      <c r="I636" s="38" t="n">
        <v>0.3</v>
      </c>
      <c r="J636" s="38" t="n">
        <v>6.51</v>
      </c>
      <c r="K636" s="20" t="n">
        <v>0</v>
      </c>
      <c r="L636" s="26">
        <f>IF(H636&lt;=J636,1,0)</f>
        <v>1</v>
      </c>
    </row>
    <row r="637">
      <c r="A637" s="24" t="inlineStr">
        <is>
          <t>QL-105-6</t>
        </is>
      </c>
      <c r="B637" s="39" t="n">
        <v>45762</v>
      </c>
      <c r="C637" s="40" t="inlineStr">
        <is>
          <t>进港</t>
        </is>
      </c>
      <c r="D637" s="24" t="inlineStr">
        <is>
          <t>件杂货</t>
        </is>
      </c>
      <c r="E637" s="24" t="inlineStr">
        <is>
          <t>欧洲</t>
        </is>
      </c>
      <c r="F637" s="24" t="inlineStr">
        <is>
          <t>06号泊位</t>
        </is>
      </c>
      <c r="G637" s="25" t="n">
        <v>7367</v>
      </c>
      <c r="H637" s="41" t="n">
        <v>12.05</v>
      </c>
      <c r="I637" s="41" t="n">
        <v>3.98</v>
      </c>
      <c r="J637" s="41" t="n">
        <v>12.08</v>
      </c>
      <c r="K637" s="25" t="n">
        <v>0</v>
      </c>
      <c r="L637" s="26">
        <f>IF(H637&lt;=J637,1,0)</f>
        <v>1</v>
      </c>
    </row>
    <row r="638">
      <c r="A638" s="19" t="inlineStr">
        <is>
          <t>QL-106-1</t>
        </is>
      </c>
      <c r="B638" s="36" t="n">
        <v>45763</v>
      </c>
      <c r="C638" s="37" t="inlineStr">
        <is>
          <t>出港</t>
        </is>
      </c>
      <c r="D638" s="19" t="inlineStr">
        <is>
          <t>集装箱货物</t>
        </is>
      </c>
      <c r="E638" s="19" t="inlineStr">
        <is>
          <t>北美</t>
        </is>
      </c>
      <c r="F638" s="19" t="inlineStr">
        <is>
          <t>01号泊位</t>
        </is>
      </c>
      <c r="G638" s="20" t="n">
        <v>6681</v>
      </c>
      <c r="H638" s="38" t="n">
        <v>8.779999999999999</v>
      </c>
      <c r="I638" s="38" t="n">
        <v>6.34</v>
      </c>
      <c r="J638" s="38" t="n">
        <v>7.42</v>
      </c>
      <c r="K638" s="20" t="n">
        <v>500</v>
      </c>
      <c r="L638" s="26">
        <f>IF(H638&lt;=J638,1,0)</f>
        <v>0</v>
      </c>
    </row>
    <row r="639">
      <c r="A639" s="24" t="inlineStr">
        <is>
          <t>QL-106-2</t>
        </is>
      </c>
      <c r="B639" s="39" t="n">
        <v>45763</v>
      </c>
      <c r="C639" s="40" t="inlineStr">
        <is>
          <t>进港</t>
        </is>
      </c>
      <c r="D639" s="24" t="inlineStr">
        <is>
          <t>金属矿石</t>
        </is>
      </c>
      <c r="E639" s="24" t="inlineStr">
        <is>
          <t>国内沿海</t>
        </is>
      </c>
      <c r="F639" s="24" t="inlineStr">
        <is>
          <t>02号泊位</t>
        </is>
      </c>
      <c r="G639" s="25" t="n">
        <v>19948</v>
      </c>
      <c r="H639" s="41" t="n">
        <v>11.5</v>
      </c>
      <c r="I639" s="41" t="n">
        <v>0.52</v>
      </c>
      <c r="J639" s="41" t="n">
        <v>12.87</v>
      </c>
      <c r="K639" s="25" t="n">
        <v>0</v>
      </c>
      <c r="L639" s="26">
        <f>IF(H639&lt;=J639,1,0)</f>
        <v>1</v>
      </c>
    </row>
    <row r="640">
      <c r="A640" s="19" t="inlineStr">
        <is>
          <t>QL-106-3</t>
        </is>
      </c>
      <c r="B640" s="36" t="n">
        <v>45763</v>
      </c>
      <c r="C640" s="37" t="inlineStr">
        <is>
          <t>出港</t>
        </is>
      </c>
      <c r="D640" s="19" t="inlineStr">
        <is>
          <t>煤炭</t>
        </is>
      </c>
      <c r="E640" s="19" t="inlineStr">
        <is>
          <t>欧洲</t>
        </is>
      </c>
      <c r="F640" s="19" t="inlineStr">
        <is>
          <t>03号泊位</t>
        </is>
      </c>
      <c r="G640" s="20" t="n">
        <v>17124</v>
      </c>
      <c r="H640" s="38" t="n">
        <v>13</v>
      </c>
      <c r="I640" s="38" t="n">
        <v>1.98</v>
      </c>
      <c r="J640" s="38" t="n">
        <v>12.97</v>
      </c>
      <c r="K640" s="20" t="n">
        <v>0</v>
      </c>
      <c r="L640" s="26">
        <f>IF(H640&lt;=J640,1,0)</f>
        <v>0</v>
      </c>
    </row>
    <row r="641">
      <c r="A641" s="24" t="inlineStr">
        <is>
          <t>QL-106-4</t>
        </is>
      </c>
      <c r="B641" s="39" t="n">
        <v>45763</v>
      </c>
      <c r="C641" s="40" t="inlineStr">
        <is>
          <t>进港</t>
        </is>
      </c>
      <c r="D641" s="24" t="inlineStr">
        <is>
          <t>粮食</t>
        </is>
      </c>
      <c r="E641" s="24" t="inlineStr">
        <is>
          <t>东亚</t>
        </is>
      </c>
      <c r="F641" s="24" t="inlineStr">
        <is>
          <t>04号泊位</t>
        </is>
      </c>
      <c r="G641" s="25" t="n">
        <v>4602</v>
      </c>
      <c r="H641" s="41" t="n">
        <v>3.93</v>
      </c>
      <c r="I641" s="41" t="n">
        <v>2.84</v>
      </c>
      <c r="J641" s="41" t="n">
        <v>4.51</v>
      </c>
      <c r="K641" s="25" t="n">
        <v>0</v>
      </c>
      <c r="L641" s="26">
        <f>IF(H641&lt;=J641,1,0)</f>
        <v>1</v>
      </c>
    </row>
    <row r="642">
      <c r="A642" s="19" t="inlineStr">
        <is>
          <t>QL-106-5</t>
        </is>
      </c>
      <c r="B642" s="36" t="n">
        <v>45763</v>
      </c>
      <c r="C642" s="37" t="inlineStr">
        <is>
          <t>出港</t>
        </is>
      </c>
      <c r="D642" s="19" t="inlineStr">
        <is>
          <t>液体散货</t>
        </is>
      </c>
      <c r="E642" s="19" t="inlineStr">
        <is>
          <t>欧洲</t>
        </is>
      </c>
      <c r="F642" s="19" t="inlineStr">
        <is>
          <t>05号泊位</t>
        </is>
      </c>
      <c r="G642" s="20" t="n">
        <v>13384</v>
      </c>
      <c r="H642" s="38" t="n">
        <v>8.58</v>
      </c>
      <c r="I642" s="38" t="n">
        <v>2.13</v>
      </c>
      <c r="J642" s="38" t="n">
        <v>9.289999999999999</v>
      </c>
      <c r="K642" s="20" t="n">
        <v>0</v>
      </c>
      <c r="L642" s="26">
        <f>IF(H642&lt;=J642,1,0)</f>
        <v>1</v>
      </c>
    </row>
    <row r="643">
      <c r="A643" s="24" t="inlineStr">
        <is>
          <t>QL-106-6</t>
        </is>
      </c>
      <c r="B643" s="39" t="n">
        <v>45763</v>
      </c>
      <c r="C643" s="40" t="inlineStr">
        <is>
          <t>进港</t>
        </is>
      </c>
      <c r="D643" s="24" t="inlineStr">
        <is>
          <t>件杂货</t>
        </is>
      </c>
      <c r="E643" s="24" t="inlineStr">
        <is>
          <t>国内沿海</t>
        </is>
      </c>
      <c r="F643" s="24" t="inlineStr">
        <is>
          <t>06号泊位</t>
        </is>
      </c>
      <c r="G643" s="25" t="n">
        <v>4610</v>
      </c>
      <c r="H643" s="41" t="n">
        <v>7.58</v>
      </c>
      <c r="I643" s="41" t="n">
        <v>2.21</v>
      </c>
      <c r="J643" s="41" t="n">
        <v>7.56</v>
      </c>
      <c r="K643" s="25" t="n">
        <v>0</v>
      </c>
      <c r="L643" s="26">
        <f>IF(H643&lt;=J643,1,0)</f>
        <v>0</v>
      </c>
    </row>
    <row r="644">
      <c r="A644" s="19" t="inlineStr">
        <is>
          <t>QL-107-1</t>
        </is>
      </c>
      <c r="B644" s="36" t="n">
        <v>45764</v>
      </c>
      <c r="C644" s="37" t="inlineStr">
        <is>
          <t>出港</t>
        </is>
      </c>
      <c r="D644" s="19" t="inlineStr">
        <is>
          <t>集装箱货物</t>
        </is>
      </c>
      <c r="E644" s="19" t="inlineStr">
        <is>
          <t>东南亚</t>
        </is>
      </c>
      <c r="F644" s="19" t="inlineStr">
        <is>
          <t>01号泊位</t>
        </is>
      </c>
      <c r="G644" s="20" t="n">
        <v>7235</v>
      </c>
      <c r="H644" s="38" t="n">
        <v>7.99</v>
      </c>
      <c r="I644" s="38" t="n">
        <v>2.54</v>
      </c>
      <c r="J644" s="38" t="n">
        <v>8.039999999999999</v>
      </c>
      <c r="K644" s="20" t="n">
        <v>427</v>
      </c>
      <c r="L644" s="26">
        <f>IF(H644&lt;=J644,1,0)</f>
        <v>1</v>
      </c>
    </row>
    <row r="645">
      <c r="A645" s="24" t="inlineStr">
        <is>
          <t>QL-107-2</t>
        </is>
      </c>
      <c r="B645" s="39" t="n">
        <v>45764</v>
      </c>
      <c r="C645" s="40" t="inlineStr">
        <is>
          <t>进港</t>
        </is>
      </c>
      <c r="D645" s="24" t="inlineStr">
        <is>
          <t>金属矿石</t>
        </is>
      </c>
      <c r="E645" s="24" t="inlineStr">
        <is>
          <t>欧洲</t>
        </is>
      </c>
      <c r="F645" s="24" t="inlineStr">
        <is>
          <t>02号泊位</t>
        </is>
      </c>
      <c r="G645" s="25" t="n">
        <v>17725</v>
      </c>
      <c r="H645" s="41" t="n">
        <v>11.54</v>
      </c>
      <c r="I645" s="41" t="n">
        <v>5.59</v>
      </c>
      <c r="J645" s="41" t="n">
        <v>11.44</v>
      </c>
      <c r="K645" s="25" t="n">
        <v>0</v>
      </c>
      <c r="L645" s="26">
        <f>IF(H645&lt;=J645,1,0)</f>
        <v>0</v>
      </c>
    </row>
    <row r="646">
      <c r="A646" s="19" t="inlineStr">
        <is>
          <t>QL-107-3</t>
        </is>
      </c>
      <c r="B646" s="36" t="n">
        <v>45764</v>
      </c>
      <c r="C646" s="37" t="inlineStr">
        <is>
          <t>出港</t>
        </is>
      </c>
      <c r="D646" s="19" t="inlineStr">
        <is>
          <t>煤炭</t>
        </is>
      </c>
      <c r="E646" s="19" t="inlineStr">
        <is>
          <t>北美</t>
        </is>
      </c>
      <c r="F646" s="19" t="inlineStr">
        <is>
          <t>03号泊位</t>
        </is>
      </c>
      <c r="G646" s="20" t="n">
        <v>7122</v>
      </c>
      <c r="H646" s="38" t="n">
        <v>5.68</v>
      </c>
      <c r="I646" s="38" t="n">
        <v>3.4</v>
      </c>
      <c r="J646" s="38" t="n">
        <v>5.4</v>
      </c>
      <c r="K646" s="20" t="n">
        <v>0</v>
      </c>
      <c r="L646" s="26">
        <f>IF(H646&lt;=J646,1,0)</f>
        <v>0</v>
      </c>
    </row>
    <row r="647">
      <c r="A647" s="24" t="inlineStr">
        <is>
          <t>QL-107-4</t>
        </is>
      </c>
      <c r="B647" s="39" t="n">
        <v>45764</v>
      </c>
      <c r="C647" s="40" t="inlineStr">
        <is>
          <t>进港</t>
        </is>
      </c>
      <c r="D647" s="24" t="inlineStr">
        <is>
          <t>粮食</t>
        </is>
      </c>
      <c r="E647" s="24" t="inlineStr">
        <is>
          <t>东南亚</t>
        </is>
      </c>
      <c r="F647" s="24" t="inlineStr">
        <is>
          <t>04号泊位</t>
        </is>
      </c>
      <c r="G647" s="25" t="n">
        <v>9992</v>
      </c>
      <c r="H647" s="41" t="n">
        <v>10.45</v>
      </c>
      <c r="I647" s="41" t="n">
        <v>4.33</v>
      </c>
      <c r="J647" s="41" t="n">
        <v>9.800000000000001</v>
      </c>
      <c r="K647" s="25" t="n">
        <v>0</v>
      </c>
      <c r="L647" s="26">
        <f>IF(H647&lt;=J647,1,0)</f>
        <v>0</v>
      </c>
    </row>
    <row r="648">
      <c r="A648" s="19" t="inlineStr">
        <is>
          <t>QL-107-5</t>
        </is>
      </c>
      <c r="B648" s="36" t="n">
        <v>45764</v>
      </c>
      <c r="C648" s="37" t="inlineStr">
        <is>
          <t>进港</t>
        </is>
      </c>
      <c r="D648" s="19" t="inlineStr">
        <is>
          <t>液体散货</t>
        </is>
      </c>
      <c r="E648" s="19" t="inlineStr">
        <is>
          <t>北美</t>
        </is>
      </c>
      <c r="F648" s="19" t="inlineStr">
        <is>
          <t>05号泊位</t>
        </is>
      </c>
      <c r="G648" s="20" t="n">
        <v>8529</v>
      </c>
      <c r="H648" s="38" t="n">
        <v>5.36</v>
      </c>
      <c r="I648" s="38" t="n">
        <v>6.84</v>
      </c>
      <c r="J648" s="38" t="n">
        <v>5.92</v>
      </c>
      <c r="K648" s="20" t="n">
        <v>0</v>
      </c>
      <c r="L648" s="26">
        <f>IF(H648&lt;=J648,1,0)</f>
        <v>1</v>
      </c>
    </row>
    <row r="649">
      <c r="A649" s="24" t="inlineStr">
        <is>
          <t>QL-107-6</t>
        </is>
      </c>
      <c r="B649" s="39" t="n">
        <v>45764</v>
      </c>
      <c r="C649" s="40" t="inlineStr">
        <is>
          <t>出港</t>
        </is>
      </c>
      <c r="D649" s="24" t="inlineStr">
        <is>
          <t>件杂货</t>
        </is>
      </c>
      <c r="E649" s="24" t="inlineStr">
        <is>
          <t>欧洲</t>
        </is>
      </c>
      <c r="F649" s="24" t="inlineStr">
        <is>
          <t>06号泊位</t>
        </is>
      </c>
      <c r="G649" s="25" t="n">
        <v>5693</v>
      </c>
      <c r="H649" s="41" t="n">
        <v>9.359999999999999</v>
      </c>
      <c r="I649" s="41" t="n">
        <v>0.31</v>
      </c>
      <c r="J649" s="41" t="n">
        <v>9.33</v>
      </c>
      <c r="K649" s="25" t="n">
        <v>0</v>
      </c>
      <c r="L649" s="26">
        <f>IF(H649&lt;=J649,1,0)</f>
        <v>0</v>
      </c>
    </row>
    <row r="650">
      <c r="A650" s="19" t="inlineStr">
        <is>
          <t>QL-108-1</t>
        </is>
      </c>
      <c r="B650" s="36" t="n">
        <v>45765</v>
      </c>
      <c r="C650" s="37" t="inlineStr">
        <is>
          <t>出港</t>
        </is>
      </c>
      <c r="D650" s="19" t="inlineStr">
        <is>
          <t>集装箱货物</t>
        </is>
      </c>
      <c r="E650" s="19" t="inlineStr">
        <is>
          <t>东南亚</t>
        </is>
      </c>
      <c r="F650" s="19" t="inlineStr">
        <is>
          <t>01号泊位</t>
        </is>
      </c>
      <c r="G650" s="20" t="n">
        <v>7547</v>
      </c>
      <c r="H650" s="38" t="n">
        <v>7.16</v>
      </c>
      <c r="I650" s="38" t="n">
        <v>4.55</v>
      </c>
      <c r="J650" s="38" t="n">
        <v>8.390000000000001</v>
      </c>
      <c r="K650" s="20" t="n">
        <v>602</v>
      </c>
      <c r="L650" s="26">
        <f>IF(H650&lt;=J650,1,0)</f>
        <v>1</v>
      </c>
    </row>
    <row r="651">
      <c r="A651" s="24" t="inlineStr">
        <is>
          <t>QL-108-2</t>
        </is>
      </c>
      <c r="B651" s="39" t="n">
        <v>45765</v>
      </c>
      <c r="C651" s="40" t="inlineStr">
        <is>
          <t>进港</t>
        </is>
      </c>
      <c r="D651" s="24" t="inlineStr">
        <is>
          <t>金属矿石</t>
        </is>
      </c>
      <c r="E651" s="24" t="inlineStr">
        <is>
          <t>国内沿海</t>
        </is>
      </c>
      <c r="F651" s="24" t="inlineStr">
        <is>
          <t>02号泊位</t>
        </is>
      </c>
      <c r="G651" s="25" t="n">
        <v>14113</v>
      </c>
      <c r="H651" s="41" t="n">
        <v>10.28</v>
      </c>
      <c r="I651" s="41" t="n">
        <v>0.79</v>
      </c>
      <c r="J651" s="41" t="n">
        <v>9.109999999999999</v>
      </c>
      <c r="K651" s="25" t="n">
        <v>0</v>
      </c>
      <c r="L651" s="26">
        <f>IF(H651&lt;=J651,1,0)</f>
        <v>0</v>
      </c>
    </row>
    <row r="652">
      <c r="A652" s="19" t="inlineStr">
        <is>
          <t>QL-108-3</t>
        </is>
      </c>
      <c r="B652" s="36" t="n">
        <v>45765</v>
      </c>
      <c r="C652" s="37" t="inlineStr">
        <is>
          <t>进港</t>
        </is>
      </c>
      <c r="D652" s="19" t="inlineStr">
        <is>
          <t>煤炭</t>
        </is>
      </c>
      <c r="E652" s="19" t="inlineStr">
        <is>
          <t>东亚</t>
        </is>
      </c>
      <c r="F652" s="19" t="inlineStr">
        <is>
          <t>03号泊位</t>
        </is>
      </c>
      <c r="G652" s="20" t="n">
        <v>19133</v>
      </c>
      <c r="H652" s="38" t="n">
        <v>16.4</v>
      </c>
      <c r="I652" s="38" t="n">
        <v>2.54</v>
      </c>
      <c r="J652" s="38" t="n">
        <v>14.49</v>
      </c>
      <c r="K652" s="20" t="n">
        <v>0</v>
      </c>
      <c r="L652" s="26">
        <f>IF(H652&lt;=J652,1,0)</f>
        <v>0</v>
      </c>
    </row>
    <row r="653">
      <c r="A653" s="24" t="inlineStr">
        <is>
          <t>QL-108-4</t>
        </is>
      </c>
      <c r="B653" s="39" t="n">
        <v>45765</v>
      </c>
      <c r="C653" s="40" t="inlineStr">
        <is>
          <t>进港</t>
        </is>
      </c>
      <c r="D653" s="24" t="inlineStr">
        <is>
          <t>粮食</t>
        </is>
      </c>
      <c r="E653" s="24" t="inlineStr">
        <is>
          <t>欧洲</t>
        </is>
      </c>
      <c r="F653" s="24" t="inlineStr">
        <is>
          <t>04号泊位</t>
        </is>
      </c>
      <c r="G653" s="25" t="n">
        <v>7773</v>
      </c>
      <c r="H653" s="41" t="n">
        <v>8.06</v>
      </c>
      <c r="I653" s="41" t="n">
        <v>3.22</v>
      </c>
      <c r="J653" s="41" t="n">
        <v>7.62</v>
      </c>
      <c r="K653" s="25" t="n">
        <v>0</v>
      </c>
      <c r="L653" s="26">
        <f>IF(H653&lt;=J653,1,0)</f>
        <v>0</v>
      </c>
    </row>
    <row r="654">
      <c r="A654" s="19" t="inlineStr">
        <is>
          <t>QL-108-5</t>
        </is>
      </c>
      <c r="B654" s="36" t="n">
        <v>45765</v>
      </c>
      <c r="C654" s="37" t="inlineStr">
        <is>
          <t>进港</t>
        </is>
      </c>
      <c r="D654" s="19" t="inlineStr">
        <is>
          <t>液体散货</t>
        </is>
      </c>
      <c r="E654" s="19" t="inlineStr">
        <is>
          <t>欧洲</t>
        </is>
      </c>
      <c r="F654" s="19" t="inlineStr">
        <is>
          <t>05号泊位</t>
        </is>
      </c>
      <c r="G654" s="20" t="n">
        <v>11314</v>
      </c>
      <c r="H654" s="38" t="n">
        <v>8.619999999999999</v>
      </c>
      <c r="I654" s="38" t="n">
        <v>1.47</v>
      </c>
      <c r="J654" s="38" t="n">
        <v>7.86</v>
      </c>
      <c r="K654" s="20" t="n">
        <v>0</v>
      </c>
      <c r="L654" s="26">
        <f>IF(H654&lt;=J654,1,0)</f>
        <v>0</v>
      </c>
    </row>
    <row r="655">
      <c r="A655" s="24" t="inlineStr">
        <is>
          <t>QL-108-6</t>
        </is>
      </c>
      <c r="B655" s="39" t="n">
        <v>45765</v>
      </c>
      <c r="C655" s="40" t="inlineStr">
        <is>
          <t>进港</t>
        </is>
      </c>
      <c r="D655" s="24" t="inlineStr">
        <is>
          <t>件杂货</t>
        </is>
      </c>
      <c r="E655" s="24" t="inlineStr">
        <is>
          <t>东南亚</t>
        </is>
      </c>
      <c r="F655" s="24" t="inlineStr">
        <is>
          <t>06号泊位</t>
        </is>
      </c>
      <c r="G655" s="25" t="n">
        <v>3055</v>
      </c>
      <c r="H655" s="41" t="n">
        <v>6.02</v>
      </c>
      <c r="I655" s="41" t="n">
        <v>1.46</v>
      </c>
      <c r="J655" s="41" t="n">
        <v>5.01</v>
      </c>
      <c r="K655" s="25" t="n">
        <v>0</v>
      </c>
      <c r="L655" s="26">
        <f>IF(H655&lt;=J655,1,0)</f>
        <v>0</v>
      </c>
    </row>
    <row r="656">
      <c r="A656" s="19" t="inlineStr">
        <is>
          <t>QL-109-1</t>
        </is>
      </c>
      <c r="B656" s="36" t="n">
        <v>45766</v>
      </c>
      <c r="C656" s="37" t="inlineStr">
        <is>
          <t>出港</t>
        </is>
      </c>
      <c r="D656" s="19" t="inlineStr">
        <is>
          <t>集装箱货物</t>
        </is>
      </c>
      <c r="E656" s="19" t="inlineStr">
        <is>
          <t>欧洲</t>
        </is>
      </c>
      <c r="F656" s="19" t="inlineStr">
        <is>
          <t>01号泊位</t>
        </is>
      </c>
      <c r="G656" s="20" t="n">
        <v>9044</v>
      </c>
      <c r="H656" s="38" t="n">
        <v>11.2</v>
      </c>
      <c r="I656" s="38" t="n">
        <v>0.42</v>
      </c>
      <c r="J656" s="38" t="n">
        <v>10.05</v>
      </c>
      <c r="K656" s="20" t="n">
        <v>671</v>
      </c>
      <c r="L656" s="26">
        <f>IF(H656&lt;=J656,1,0)</f>
        <v>0</v>
      </c>
    </row>
    <row r="657">
      <c r="A657" s="24" t="inlineStr">
        <is>
          <t>QL-109-2</t>
        </is>
      </c>
      <c r="B657" s="39" t="n">
        <v>45766</v>
      </c>
      <c r="C657" s="40" t="inlineStr">
        <is>
          <t>进港</t>
        </is>
      </c>
      <c r="D657" s="24" t="inlineStr">
        <is>
          <t>金属矿石</t>
        </is>
      </c>
      <c r="E657" s="24" t="inlineStr">
        <is>
          <t>国内沿海</t>
        </is>
      </c>
      <c r="F657" s="24" t="inlineStr">
        <is>
          <t>02号泊位</t>
        </is>
      </c>
      <c r="G657" s="25" t="n">
        <v>33727</v>
      </c>
      <c r="H657" s="41" t="n">
        <v>22.54</v>
      </c>
      <c r="I657" s="41" t="n">
        <v>3.6</v>
      </c>
      <c r="J657" s="41" t="n">
        <v>21.76</v>
      </c>
      <c r="K657" s="25" t="n">
        <v>0</v>
      </c>
      <c r="L657" s="26">
        <f>IF(H657&lt;=J657,1,0)</f>
        <v>0</v>
      </c>
    </row>
    <row r="658">
      <c r="A658" s="19" t="inlineStr">
        <is>
          <t>QL-109-3</t>
        </is>
      </c>
      <c r="B658" s="36" t="n">
        <v>45766</v>
      </c>
      <c r="C658" s="37" t="inlineStr">
        <is>
          <t>出港</t>
        </is>
      </c>
      <c r="D658" s="19" t="inlineStr">
        <is>
          <t>煤炭</t>
        </is>
      </c>
      <c r="E658" s="19" t="inlineStr">
        <is>
          <t>东南亚</t>
        </is>
      </c>
      <c r="F658" s="19" t="inlineStr">
        <is>
          <t>03号泊位</t>
        </is>
      </c>
      <c r="G658" s="20" t="n">
        <v>9959</v>
      </c>
      <c r="H658" s="38" t="n">
        <v>6.85</v>
      </c>
      <c r="I658" s="38" t="n">
        <v>4.65</v>
      </c>
      <c r="J658" s="38" t="n">
        <v>7.54</v>
      </c>
      <c r="K658" s="20" t="n">
        <v>0</v>
      </c>
      <c r="L658" s="26">
        <f>IF(H658&lt;=J658,1,0)</f>
        <v>1</v>
      </c>
    </row>
    <row r="659">
      <c r="A659" s="24" t="inlineStr">
        <is>
          <t>QL-109-4</t>
        </is>
      </c>
      <c r="B659" s="39" t="n">
        <v>45766</v>
      </c>
      <c r="C659" s="40" t="inlineStr">
        <is>
          <t>出港</t>
        </is>
      </c>
      <c r="D659" s="24" t="inlineStr">
        <is>
          <t>粮食</t>
        </is>
      </c>
      <c r="E659" s="24" t="inlineStr">
        <is>
          <t>东南亚</t>
        </is>
      </c>
      <c r="F659" s="24" t="inlineStr">
        <is>
          <t>04号泊位</t>
        </is>
      </c>
      <c r="G659" s="25" t="n">
        <v>7061</v>
      </c>
      <c r="H659" s="41" t="n">
        <v>6.7</v>
      </c>
      <c r="I659" s="41" t="n">
        <v>3.66</v>
      </c>
      <c r="J659" s="41" t="n">
        <v>6.92</v>
      </c>
      <c r="K659" s="25" t="n">
        <v>0</v>
      </c>
      <c r="L659" s="26">
        <f>IF(H659&lt;=J659,1,0)</f>
        <v>1</v>
      </c>
    </row>
    <row r="660">
      <c r="A660" s="19" t="inlineStr">
        <is>
          <t>QL-109-5</t>
        </is>
      </c>
      <c r="B660" s="36" t="n">
        <v>45766</v>
      </c>
      <c r="C660" s="37" t="inlineStr">
        <is>
          <t>进港</t>
        </is>
      </c>
      <c r="D660" s="19" t="inlineStr">
        <is>
          <t>液体散货</t>
        </is>
      </c>
      <c r="E660" s="19" t="inlineStr">
        <is>
          <t>欧洲</t>
        </is>
      </c>
      <c r="F660" s="19" t="inlineStr">
        <is>
          <t>05号泊位</t>
        </is>
      </c>
      <c r="G660" s="20" t="n">
        <v>7054</v>
      </c>
      <c r="H660" s="38" t="n">
        <v>5.52</v>
      </c>
      <c r="I660" s="38" t="n">
        <v>0.3</v>
      </c>
      <c r="J660" s="38" t="n">
        <v>4.9</v>
      </c>
      <c r="K660" s="20" t="n">
        <v>0</v>
      </c>
      <c r="L660" s="26">
        <f>IF(H660&lt;=J660,1,0)</f>
        <v>0</v>
      </c>
    </row>
    <row r="661">
      <c r="A661" s="24" t="inlineStr">
        <is>
          <t>QL-109-6</t>
        </is>
      </c>
      <c r="B661" s="39" t="n">
        <v>45766</v>
      </c>
      <c r="C661" s="40" t="inlineStr">
        <is>
          <t>进港</t>
        </is>
      </c>
      <c r="D661" s="24" t="inlineStr">
        <is>
          <t>件杂货</t>
        </is>
      </c>
      <c r="E661" s="24" t="inlineStr">
        <is>
          <t>国内沿海</t>
        </is>
      </c>
      <c r="F661" s="24" t="inlineStr">
        <is>
          <t>06号泊位</t>
        </is>
      </c>
      <c r="G661" s="25" t="n">
        <v>3910</v>
      </c>
      <c r="H661" s="41" t="n">
        <v>6.67</v>
      </c>
      <c r="I661" s="41" t="n">
        <v>3.24</v>
      </c>
      <c r="J661" s="41" t="n">
        <v>6.41</v>
      </c>
      <c r="K661" s="25" t="n">
        <v>0</v>
      </c>
      <c r="L661" s="26">
        <f>IF(H661&lt;=J661,1,0)</f>
        <v>0</v>
      </c>
    </row>
    <row r="662">
      <c r="A662" s="19" t="inlineStr">
        <is>
          <t>QL-110-1</t>
        </is>
      </c>
      <c r="B662" s="36" t="n">
        <v>45767</v>
      </c>
      <c r="C662" s="37" t="inlineStr">
        <is>
          <t>出港</t>
        </is>
      </c>
      <c r="D662" s="19" t="inlineStr">
        <is>
          <t>集装箱货物</t>
        </is>
      </c>
      <c r="E662" s="19" t="inlineStr">
        <is>
          <t>国内沿海</t>
        </is>
      </c>
      <c r="F662" s="19" t="inlineStr">
        <is>
          <t>01号泊位</t>
        </is>
      </c>
      <c r="G662" s="20" t="n">
        <v>11096</v>
      </c>
      <c r="H662" s="38" t="n">
        <v>11.53</v>
      </c>
      <c r="I662" s="38" t="n">
        <v>2.4</v>
      </c>
      <c r="J662" s="38" t="n">
        <v>12.33</v>
      </c>
      <c r="K662" s="20" t="n">
        <v>707</v>
      </c>
      <c r="L662" s="26">
        <f>IF(H662&lt;=J662,1,0)</f>
        <v>1</v>
      </c>
    </row>
    <row r="663">
      <c r="A663" s="24" t="inlineStr">
        <is>
          <t>QL-110-2</t>
        </is>
      </c>
      <c r="B663" s="39" t="n">
        <v>45767</v>
      </c>
      <c r="C663" s="40" t="inlineStr">
        <is>
          <t>进港</t>
        </is>
      </c>
      <c r="D663" s="24" t="inlineStr">
        <is>
          <t>金属矿石</t>
        </is>
      </c>
      <c r="E663" s="24" t="inlineStr">
        <is>
          <t>东亚</t>
        </is>
      </c>
      <c r="F663" s="24" t="inlineStr">
        <is>
          <t>02号泊位</t>
        </is>
      </c>
      <c r="G663" s="25" t="n">
        <v>21809</v>
      </c>
      <c r="H663" s="41" t="n">
        <v>14.46</v>
      </c>
      <c r="I663" s="41" t="n">
        <v>3.12</v>
      </c>
      <c r="J663" s="41" t="n">
        <v>14.07</v>
      </c>
      <c r="K663" s="25" t="n">
        <v>0</v>
      </c>
      <c r="L663" s="26">
        <f>IF(H663&lt;=J663,1,0)</f>
        <v>0</v>
      </c>
    </row>
    <row r="664">
      <c r="A664" s="19" t="inlineStr">
        <is>
          <t>QL-110-3</t>
        </is>
      </c>
      <c r="B664" s="36" t="n">
        <v>45767</v>
      </c>
      <c r="C664" s="37" t="inlineStr">
        <is>
          <t>出港</t>
        </is>
      </c>
      <c r="D664" s="19" t="inlineStr">
        <is>
          <t>煤炭</t>
        </is>
      </c>
      <c r="E664" s="19" t="inlineStr">
        <is>
          <t>北美</t>
        </is>
      </c>
      <c r="F664" s="19" t="inlineStr">
        <is>
          <t>03号泊位</t>
        </is>
      </c>
      <c r="G664" s="20" t="n">
        <v>13785</v>
      </c>
      <c r="H664" s="38" t="n">
        <v>11.05</v>
      </c>
      <c r="I664" s="38" t="n">
        <v>6.19</v>
      </c>
      <c r="J664" s="38" t="n">
        <v>10.44</v>
      </c>
      <c r="K664" s="20" t="n">
        <v>0</v>
      </c>
      <c r="L664" s="26">
        <f>IF(H664&lt;=J664,1,0)</f>
        <v>0</v>
      </c>
    </row>
    <row r="665">
      <c r="A665" s="24" t="inlineStr">
        <is>
          <t>QL-110-4</t>
        </is>
      </c>
      <c r="B665" s="39" t="n">
        <v>45767</v>
      </c>
      <c r="C665" s="40" t="inlineStr">
        <is>
          <t>进港</t>
        </is>
      </c>
      <c r="D665" s="24" t="inlineStr">
        <is>
          <t>粮食</t>
        </is>
      </c>
      <c r="E665" s="24" t="inlineStr">
        <is>
          <t>北美</t>
        </is>
      </c>
      <c r="F665" s="24" t="inlineStr">
        <is>
          <t>04号泊位</t>
        </is>
      </c>
      <c r="G665" s="25" t="n">
        <v>5655</v>
      </c>
      <c r="H665" s="41" t="n">
        <v>5.86</v>
      </c>
      <c r="I665" s="41" t="n">
        <v>4.43</v>
      </c>
      <c r="J665" s="41" t="n">
        <v>5.54</v>
      </c>
      <c r="K665" s="25" t="n">
        <v>0</v>
      </c>
      <c r="L665" s="26">
        <f>IF(H665&lt;=J665,1,0)</f>
        <v>0</v>
      </c>
    </row>
    <row r="666">
      <c r="A666" s="19" t="inlineStr">
        <is>
          <t>QL-110-5</t>
        </is>
      </c>
      <c r="B666" s="36" t="n">
        <v>45767</v>
      </c>
      <c r="C666" s="37" t="inlineStr">
        <is>
          <t>出港</t>
        </is>
      </c>
      <c r="D666" s="19" t="inlineStr">
        <is>
          <t>液体散货</t>
        </is>
      </c>
      <c r="E666" s="19" t="inlineStr">
        <is>
          <t>国内沿海</t>
        </is>
      </c>
      <c r="F666" s="19" t="inlineStr">
        <is>
          <t>05号泊位</t>
        </is>
      </c>
      <c r="G666" s="20" t="n">
        <v>16491</v>
      </c>
      <c r="H666" s="38" t="n">
        <v>10.1</v>
      </c>
      <c r="I666" s="38" t="n">
        <v>1.53</v>
      </c>
      <c r="J666" s="38" t="n">
        <v>11.45</v>
      </c>
      <c r="K666" s="20" t="n">
        <v>0</v>
      </c>
      <c r="L666" s="26">
        <f>IF(H666&lt;=J666,1,0)</f>
        <v>1</v>
      </c>
    </row>
    <row r="667">
      <c r="A667" s="24" t="inlineStr">
        <is>
          <t>QL-110-6</t>
        </is>
      </c>
      <c r="B667" s="39" t="n">
        <v>45767</v>
      </c>
      <c r="C667" s="40" t="inlineStr">
        <is>
          <t>出港</t>
        </is>
      </c>
      <c r="D667" s="24" t="inlineStr">
        <is>
          <t>件杂货</t>
        </is>
      </c>
      <c r="E667" s="24" t="inlineStr">
        <is>
          <t>欧洲</t>
        </is>
      </c>
      <c r="F667" s="24" t="inlineStr">
        <is>
          <t>06号泊位</t>
        </is>
      </c>
      <c r="G667" s="25" t="n">
        <v>8301</v>
      </c>
      <c r="H667" s="41" t="n">
        <v>13.21</v>
      </c>
      <c r="I667" s="41" t="n">
        <v>0.9</v>
      </c>
      <c r="J667" s="41" t="n">
        <v>13.61</v>
      </c>
      <c r="K667" s="25" t="n">
        <v>0</v>
      </c>
      <c r="L667" s="26">
        <f>IF(H667&lt;=J667,1,0)</f>
        <v>1</v>
      </c>
    </row>
    <row r="668">
      <c r="A668" s="19" t="inlineStr">
        <is>
          <t>QL-111-1</t>
        </is>
      </c>
      <c r="B668" s="36" t="n">
        <v>45768</v>
      </c>
      <c r="C668" s="37" t="inlineStr">
        <is>
          <t>出港</t>
        </is>
      </c>
      <c r="D668" s="19" t="inlineStr">
        <is>
          <t>集装箱货物</t>
        </is>
      </c>
      <c r="E668" s="19" t="inlineStr">
        <is>
          <t>东亚</t>
        </is>
      </c>
      <c r="F668" s="19" t="inlineStr">
        <is>
          <t>01号泊位</t>
        </is>
      </c>
      <c r="G668" s="20" t="n">
        <v>13055</v>
      </c>
      <c r="H668" s="38" t="n">
        <v>13.36</v>
      </c>
      <c r="I668" s="38" t="n">
        <v>4.96</v>
      </c>
      <c r="J668" s="38" t="n">
        <v>14.51</v>
      </c>
      <c r="K668" s="20" t="n">
        <v>810</v>
      </c>
      <c r="L668" s="26">
        <f>IF(H668&lt;=J668,1,0)</f>
        <v>1</v>
      </c>
    </row>
    <row r="669">
      <c r="A669" s="24" t="inlineStr">
        <is>
          <t>QL-111-2</t>
        </is>
      </c>
      <c r="B669" s="39" t="n">
        <v>45768</v>
      </c>
      <c r="C669" s="40" t="inlineStr">
        <is>
          <t>出港</t>
        </is>
      </c>
      <c r="D669" s="24" t="inlineStr">
        <is>
          <t>金属矿石</t>
        </is>
      </c>
      <c r="E669" s="24" t="inlineStr">
        <is>
          <t>国内沿海</t>
        </is>
      </c>
      <c r="F669" s="24" t="inlineStr">
        <is>
          <t>02号泊位</t>
        </is>
      </c>
      <c r="G669" s="25" t="n">
        <v>22104</v>
      </c>
      <c r="H669" s="41" t="n">
        <v>16.42</v>
      </c>
      <c r="I669" s="41" t="n">
        <v>2.07</v>
      </c>
      <c r="J669" s="41" t="n">
        <v>14.26</v>
      </c>
      <c r="K669" s="25" t="n">
        <v>0</v>
      </c>
      <c r="L669" s="26">
        <f>IF(H669&lt;=J669,1,0)</f>
        <v>0</v>
      </c>
    </row>
    <row r="670">
      <c r="A670" s="19" t="inlineStr">
        <is>
          <t>QL-111-3</t>
        </is>
      </c>
      <c r="B670" s="36" t="n">
        <v>45768</v>
      </c>
      <c r="C670" s="37" t="inlineStr">
        <is>
          <t>进港</t>
        </is>
      </c>
      <c r="D670" s="19" t="inlineStr">
        <is>
          <t>煤炭</t>
        </is>
      </c>
      <c r="E670" s="19" t="inlineStr">
        <is>
          <t>东亚</t>
        </is>
      </c>
      <c r="F670" s="19" t="inlineStr">
        <is>
          <t>03号泊位</t>
        </is>
      </c>
      <c r="G670" s="20" t="n">
        <v>17426</v>
      </c>
      <c r="H670" s="38" t="n">
        <v>14.33</v>
      </c>
      <c r="I670" s="38" t="n">
        <v>2.62</v>
      </c>
      <c r="J670" s="38" t="n">
        <v>13.2</v>
      </c>
      <c r="K670" s="20" t="n">
        <v>0</v>
      </c>
      <c r="L670" s="26">
        <f>IF(H670&lt;=J670,1,0)</f>
        <v>0</v>
      </c>
    </row>
    <row r="671">
      <c r="A671" s="24" t="inlineStr">
        <is>
          <t>QL-111-4</t>
        </is>
      </c>
      <c r="B671" s="39" t="n">
        <v>45768</v>
      </c>
      <c r="C671" s="40" t="inlineStr">
        <is>
          <t>进港</t>
        </is>
      </c>
      <c r="D671" s="24" t="inlineStr">
        <is>
          <t>粮食</t>
        </is>
      </c>
      <c r="E671" s="24" t="inlineStr">
        <is>
          <t>东南亚</t>
        </is>
      </c>
      <c r="F671" s="24" t="inlineStr">
        <is>
          <t>04号泊位</t>
        </is>
      </c>
      <c r="G671" s="25" t="n">
        <v>6892</v>
      </c>
      <c r="H671" s="41" t="n">
        <v>5.45</v>
      </c>
      <c r="I671" s="41" t="n">
        <v>1.5</v>
      </c>
      <c r="J671" s="41" t="n">
        <v>6.76</v>
      </c>
      <c r="K671" s="25" t="n">
        <v>0</v>
      </c>
      <c r="L671" s="26">
        <f>IF(H671&lt;=J671,1,0)</f>
        <v>1</v>
      </c>
    </row>
    <row r="672">
      <c r="A672" s="19" t="inlineStr">
        <is>
          <t>QL-111-5</t>
        </is>
      </c>
      <c r="B672" s="36" t="n">
        <v>45768</v>
      </c>
      <c r="C672" s="37" t="inlineStr">
        <is>
          <t>出港</t>
        </is>
      </c>
      <c r="D672" s="19" t="inlineStr">
        <is>
          <t>液体散货</t>
        </is>
      </c>
      <c r="E672" s="19" t="inlineStr">
        <is>
          <t>东南亚</t>
        </is>
      </c>
      <c r="F672" s="19" t="inlineStr">
        <is>
          <t>05号泊位</t>
        </is>
      </c>
      <c r="G672" s="20" t="n">
        <v>11981</v>
      </c>
      <c r="H672" s="38" t="n">
        <v>7.52</v>
      </c>
      <c r="I672" s="38" t="n">
        <v>1.17</v>
      </c>
      <c r="J672" s="38" t="n">
        <v>8.32</v>
      </c>
      <c r="K672" s="20" t="n">
        <v>0</v>
      </c>
      <c r="L672" s="26">
        <f>IF(H672&lt;=J672,1,0)</f>
        <v>1</v>
      </c>
    </row>
    <row r="673">
      <c r="A673" s="24" t="inlineStr">
        <is>
          <t>QL-111-6</t>
        </is>
      </c>
      <c r="B673" s="39" t="n">
        <v>45768</v>
      </c>
      <c r="C673" s="40" t="inlineStr">
        <is>
          <t>进港</t>
        </is>
      </c>
      <c r="D673" s="24" t="inlineStr">
        <is>
          <t>件杂货</t>
        </is>
      </c>
      <c r="E673" s="24" t="inlineStr">
        <is>
          <t>欧洲</t>
        </is>
      </c>
      <c r="F673" s="24" t="inlineStr">
        <is>
          <t>06号泊位</t>
        </is>
      </c>
      <c r="G673" s="25" t="n">
        <v>5077</v>
      </c>
      <c r="H673" s="41" t="n">
        <v>8.73</v>
      </c>
      <c r="I673" s="41" t="n">
        <v>5.53</v>
      </c>
      <c r="J673" s="41" t="n">
        <v>8.32</v>
      </c>
      <c r="K673" s="25" t="n">
        <v>0</v>
      </c>
      <c r="L673" s="26">
        <f>IF(H673&lt;=J673,1,0)</f>
        <v>0</v>
      </c>
    </row>
    <row r="674">
      <c r="A674" s="19" t="inlineStr">
        <is>
          <t>QL-112-1</t>
        </is>
      </c>
      <c r="B674" s="36" t="n">
        <v>45769</v>
      </c>
      <c r="C674" s="37" t="inlineStr">
        <is>
          <t>出港</t>
        </is>
      </c>
      <c r="D674" s="19" t="inlineStr">
        <is>
          <t>集装箱货物</t>
        </is>
      </c>
      <c r="E674" s="19" t="inlineStr">
        <is>
          <t>东亚</t>
        </is>
      </c>
      <c r="F674" s="19" t="inlineStr">
        <is>
          <t>01号泊位</t>
        </is>
      </c>
      <c r="G674" s="20" t="n">
        <v>12149</v>
      </c>
      <c r="H674" s="38" t="n">
        <v>11.59</v>
      </c>
      <c r="I674" s="38" t="n">
        <v>1.05</v>
      </c>
      <c r="J674" s="38" t="n">
        <v>13.5</v>
      </c>
      <c r="K674" s="20" t="n">
        <v>779</v>
      </c>
      <c r="L674" s="26">
        <f>IF(H674&lt;=J674,1,0)</f>
        <v>1</v>
      </c>
    </row>
    <row r="675">
      <c r="A675" s="24" t="inlineStr">
        <is>
          <t>QL-112-2</t>
        </is>
      </c>
      <c r="B675" s="39" t="n">
        <v>45769</v>
      </c>
      <c r="C675" s="40" t="inlineStr">
        <is>
          <t>进港</t>
        </is>
      </c>
      <c r="D675" s="24" t="inlineStr">
        <is>
          <t>金属矿石</t>
        </is>
      </c>
      <c r="E675" s="24" t="inlineStr">
        <is>
          <t>欧洲</t>
        </is>
      </c>
      <c r="F675" s="24" t="inlineStr">
        <is>
          <t>02号泊位</t>
        </is>
      </c>
      <c r="G675" s="25" t="n">
        <v>28507</v>
      </c>
      <c r="H675" s="41" t="n">
        <v>17.6</v>
      </c>
      <c r="I675" s="41" t="n">
        <v>0.91</v>
      </c>
      <c r="J675" s="41" t="n">
        <v>18.39</v>
      </c>
      <c r="K675" s="25" t="n">
        <v>0</v>
      </c>
      <c r="L675" s="26">
        <f>IF(H675&lt;=J675,1,0)</f>
        <v>1</v>
      </c>
    </row>
    <row r="676">
      <c r="A676" s="19" t="inlineStr">
        <is>
          <t>QL-112-3</t>
        </is>
      </c>
      <c r="B676" s="36" t="n">
        <v>45769</v>
      </c>
      <c r="C676" s="37" t="inlineStr">
        <is>
          <t>出港</t>
        </is>
      </c>
      <c r="D676" s="19" t="inlineStr">
        <is>
          <t>煤炭</t>
        </is>
      </c>
      <c r="E676" s="19" t="inlineStr">
        <is>
          <t>国内沿海</t>
        </is>
      </c>
      <c r="F676" s="19" t="inlineStr">
        <is>
          <t>03号泊位</t>
        </is>
      </c>
      <c r="G676" s="20" t="n">
        <v>13045</v>
      </c>
      <c r="H676" s="38" t="n">
        <v>9.039999999999999</v>
      </c>
      <c r="I676" s="38" t="n">
        <v>3.86</v>
      </c>
      <c r="J676" s="38" t="n">
        <v>9.880000000000001</v>
      </c>
      <c r="K676" s="20" t="n">
        <v>0</v>
      </c>
      <c r="L676" s="26">
        <f>IF(H676&lt;=J676,1,0)</f>
        <v>1</v>
      </c>
    </row>
    <row r="677">
      <c r="A677" s="24" t="inlineStr">
        <is>
          <t>QL-112-4</t>
        </is>
      </c>
      <c r="B677" s="39" t="n">
        <v>45769</v>
      </c>
      <c r="C677" s="40" t="inlineStr">
        <is>
          <t>进港</t>
        </is>
      </c>
      <c r="D677" s="24" t="inlineStr">
        <is>
          <t>粮食</t>
        </is>
      </c>
      <c r="E677" s="24" t="inlineStr">
        <is>
          <t>东亚</t>
        </is>
      </c>
      <c r="F677" s="24" t="inlineStr">
        <is>
          <t>04号泊位</t>
        </is>
      </c>
      <c r="G677" s="25" t="n">
        <v>8356</v>
      </c>
      <c r="H677" s="41" t="n">
        <v>9.48</v>
      </c>
      <c r="I677" s="41" t="n">
        <v>3.05</v>
      </c>
      <c r="J677" s="41" t="n">
        <v>8.19</v>
      </c>
      <c r="K677" s="25" t="n">
        <v>0</v>
      </c>
      <c r="L677" s="26">
        <f>IF(H677&lt;=J677,1,0)</f>
        <v>0</v>
      </c>
    </row>
    <row r="678">
      <c r="A678" s="19" t="inlineStr">
        <is>
          <t>QL-112-5</t>
        </is>
      </c>
      <c r="B678" s="36" t="n">
        <v>45769</v>
      </c>
      <c r="C678" s="37" t="inlineStr">
        <is>
          <t>出港</t>
        </is>
      </c>
      <c r="D678" s="19" t="inlineStr">
        <is>
          <t>液体散货</t>
        </is>
      </c>
      <c r="E678" s="19" t="inlineStr">
        <is>
          <t>欧洲</t>
        </is>
      </c>
      <c r="F678" s="19" t="inlineStr">
        <is>
          <t>05号泊位</t>
        </is>
      </c>
      <c r="G678" s="20" t="n">
        <v>9303</v>
      </c>
      <c r="H678" s="38" t="n">
        <v>6.15</v>
      </c>
      <c r="I678" s="38" t="n">
        <v>3.32</v>
      </c>
      <c r="J678" s="38" t="n">
        <v>6.46</v>
      </c>
      <c r="K678" s="20" t="n">
        <v>0</v>
      </c>
      <c r="L678" s="26">
        <f>IF(H678&lt;=J678,1,0)</f>
        <v>1</v>
      </c>
    </row>
    <row r="679">
      <c r="A679" s="24" t="inlineStr">
        <is>
          <t>QL-112-6</t>
        </is>
      </c>
      <c r="B679" s="39" t="n">
        <v>45769</v>
      </c>
      <c r="C679" s="40" t="inlineStr">
        <is>
          <t>出港</t>
        </is>
      </c>
      <c r="D679" s="24" t="inlineStr">
        <is>
          <t>件杂货</t>
        </is>
      </c>
      <c r="E679" s="24" t="inlineStr">
        <is>
          <t>国内沿海</t>
        </is>
      </c>
      <c r="F679" s="24" t="inlineStr">
        <is>
          <t>06号泊位</t>
        </is>
      </c>
      <c r="G679" s="25" t="n">
        <v>4512</v>
      </c>
      <c r="H679" s="41" t="n">
        <v>6.32</v>
      </c>
      <c r="I679" s="41" t="n">
        <v>0.7</v>
      </c>
      <c r="J679" s="41" t="n">
        <v>7.4</v>
      </c>
      <c r="K679" s="25" t="n">
        <v>0</v>
      </c>
      <c r="L679" s="26">
        <f>IF(H679&lt;=J679,1,0)</f>
        <v>1</v>
      </c>
    </row>
    <row r="680">
      <c r="A680" s="19" t="inlineStr">
        <is>
          <t>QL-113-1</t>
        </is>
      </c>
      <c r="B680" s="36" t="n">
        <v>45770</v>
      </c>
      <c r="C680" s="37" t="inlineStr">
        <is>
          <t>进港</t>
        </is>
      </c>
      <c r="D680" s="19" t="inlineStr">
        <is>
          <t>集装箱货物</t>
        </is>
      </c>
      <c r="E680" s="19" t="inlineStr">
        <is>
          <t>国内沿海</t>
        </is>
      </c>
      <c r="F680" s="19" t="inlineStr">
        <is>
          <t>01号泊位</t>
        </is>
      </c>
      <c r="G680" s="20" t="n">
        <v>5679</v>
      </c>
      <c r="H680" s="38" t="n">
        <v>6.97</v>
      </c>
      <c r="I680" s="38" t="n">
        <v>2.55</v>
      </c>
      <c r="J680" s="38" t="n">
        <v>6.31</v>
      </c>
      <c r="K680" s="20" t="n">
        <v>457</v>
      </c>
      <c r="L680" s="26">
        <f>IF(H680&lt;=J680,1,0)</f>
        <v>0</v>
      </c>
    </row>
    <row r="681">
      <c r="A681" s="24" t="inlineStr">
        <is>
          <t>QL-113-2</t>
        </is>
      </c>
      <c r="B681" s="39" t="n">
        <v>45770</v>
      </c>
      <c r="C681" s="40" t="inlineStr">
        <is>
          <t>进港</t>
        </is>
      </c>
      <c r="D681" s="24" t="inlineStr">
        <is>
          <t>金属矿石</t>
        </is>
      </c>
      <c r="E681" s="24" t="inlineStr">
        <is>
          <t>东亚</t>
        </is>
      </c>
      <c r="F681" s="24" t="inlineStr">
        <is>
          <t>02号泊位</t>
        </is>
      </c>
      <c r="G681" s="25" t="n">
        <v>18979</v>
      </c>
      <c r="H681" s="41" t="n">
        <v>11.97</v>
      </c>
      <c r="I681" s="41" t="n">
        <v>0.59</v>
      </c>
      <c r="J681" s="41" t="n">
        <v>12.24</v>
      </c>
      <c r="K681" s="25" t="n">
        <v>0</v>
      </c>
      <c r="L681" s="26">
        <f>IF(H681&lt;=J681,1,0)</f>
        <v>1</v>
      </c>
    </row>
    <row r="682">
      <c r="A682" s="19" t="inlineStr">
        <is>
          <t>QL-113-3</t>
        </is>
      </c>
      <c r="B682" s="36" t="n">
        <v>45770</v>
      </c>
      <c r="C682" s="37" t="inlineStr">
        <is>
          <t>进港</t>
        </is>
      </c>
      <c r="D682" s="19" t="inlineStr">
        <is>
          <t>煤炭</t>
        </is>
      </c>
      <c r="E682" s="19" t="inlineStr">
        <is>
          <t>东南亚</t>
        </is>
      </c>
      <c r="F682" s="19" t="inlineStr">
        <is>
          <t>03号泊位</t>
        </is>
      </c>
      <c r="G682" s="20" t="n">
        <v>10078</v>
      </c>
      <c r="H682" s="38" t="n">
        <v>8.039999999999999</v>
      </c>
      <c r="I682" s="38" t="n">
        <v>1.77</v>
      </c>
      <c r="J682" s="38" t="n">
        <v>7.63</v>
      </c>
      <c r="K682" s="20" t="n">
        <v>0</v>
      </c>
      <c r="L682" s="26">
        <f>IF(H682&lt;=J682,1,0)</f>
        <v>0</v>
      </c>
    </row>
    <row r="683">
      <c r="A683" s="24" t="inlineStr">
        <is>
          <t>QL-113-4</t>
        </is>
      </c>
      <c r="B683" s="39" t="n">
        <v>45770</v>
      </c>
      <c r="C683" s="40" t="inlineStr">
        <is>
          <t>出港</t>
        </is>
      </c>
      <c r="D683" s="24" t="inlineStr">
        <is>
          <t>粮食</t>
        </is>
      </c>
      <c r="E683" s="24" t="inlineStr">
        <is>
          <t>东亚</t>
        </is>
      </c>
      <c r="F683" s="24" t="inlineStr">
        <is>
          <t>04号泊位</t>
        </is>
      </c>
      <c r="G683" s="25" t="n">
        <v>4842</v>
      </c>
      <c r="H683" s="41" t="n">
        <v>5.26</v>
      </c>
      <c r="I683" s="41" t="n">
        <v>1.48</v>
      </c>
      <c r="J683" s="41" t="n">
        <v>4.75</v>
      </c>
      <c r="K683" s="25" t="n">
        <v>0</v>
      </c>
      <c r="L683" s="26">
        <f>IF(H683&lt;=J683,1,0)</f>
        <v>0</v>
      </c>
    </row>
    <row r="684">
      <c r="A684" s="19" t="inlineStr">
        <is>
          <t>QL-113-5</t>
        </is>
      </c>
      <c r="B684" s="36" t="n">
        <v>45770</v>
      </c>
      <c r="C684" s="37" t="inlineStr">
        <is>
          <t>进港</t>
        </is>
      </c>
      <c r="D684" s="19" t="inlineStr">
        <is>
          <t>液体散货</t>
        </is>
      </c>
      <c r="E684" s="19" t="inlineStr">
        <is>
          <t>东南亚</t>
        </is>
      </c>
      <c r="F684" s="19" t="inlineStr">
        <is>
          <t>05号泊位</t>
        </is>
      </c>
      <c r="G684" s="20" t="n">
        <v>14810</v>
      </c>
      <c r="H684" s="38" t="n">
        <v>11.35</v>
      </c>
      <c r="I684" s="38" t="n">
        <v>2.47</v>
      </c>
      <c r="J684" s="38" t="n">
        <v>10.28</v>
      </c>
      <c r="K684" s="20" t="n">
        <v>0</v>
      </c>
      <c r="L684" s="26">
        <f>IF(H684&lt;=J684,1,0)</f>
        <v>0</v>
      </c>
    </row>
    <row r="685">
      <c r="A685" s="24" t="inlineStr">
        <is>
          <t>QL-113-6</t>
        </is>
      </c>
      <c r="B685" s="39" t="n">
        <v>45770</v>
      </c>
      <c r="C685" s="40" t="inlineStr">
        <is>
          <t>进港</t>
        </is>
      </c>
      <c r="D685" s="24" t="inlineStr">
        <is>
          <t>件杂货</t>
        </is>
      </c>
      <c r="E685" s="24" t="inlineStr">
        <is>
          <t>东南亚</t>
        </is>
      </c>
      <c r="F685" s="24" t="inlineStr">
        <is>
          <t>06号泊位</t>
        </is>
      </c>
      <c r="G685" s="25" t="n">
        <v>3951</v>
      </c>
      <c r="H685" s="41" t="n">
        <v>7.29</v>
      </c>
      <c r="I685" s="41" t="n">
        <v>6.42</v>
      </c>
      <c r="J685" s="41" t="n">
        <v>6.48</v>
      </c>
      <c r="K685" s="25" t="n">
        <v>0</v>
      </c>
      <c r="L685" s="26">
        <f>IF(H685&lt;=J685,1,0)</f>
        <v>0</v>
      </c>
    </row>
    <row r="686">
      <c r="A686" s="19" t="inlineStr">
        <is>
          <t>QL-114-1</t>
        </is>
      </c>
      <c r="B686" s="36" t="n">
        <v>45771</v>
      </c>
      <c r="C686" s="37" t="inlineStr">
        <is>
          <t>出港</t>
        </is>
      </c>
      <c r="D686" s="19" t="inlineStr">
        <is>
          <t>集装箱货物</t>
        </is>
      </c>
      <c r="E686" s="19" t="inlineStr">
        <is>
          <t>东南亚</t>
        </is>
      </c>
      <c r="F686" s="19" t="inlineStr">
        <is>
          <t>01号泊位</t>
        </is>
      </c>
      <c r="G686" s="20" t="n">
        <v>6416</v>
      </c>
      <c r="H686" s="38" t="n">
        <v>6.39</v>
      </c>
      <c r="I686" s="38" t="n">
        <v>0.96</v>
      </c>
      <c r="J686" s="38" t="n">
        <v>7.13</v>
      </c>
      <c r="K686" s="20" t="n">
        <v>439</v>
      </c>
      <c r="L686" s="26">
        <f>IF(H686&lt;=J686,1,0)</f>
        <v>1</v>
      </c>
    </row>
    <row r="687">
      <c r="A687" s="24" t="inlineStr">
        <is>
          <t>QL-114-2</t>
        </is>
      </c>
      <c r="B687" s="39" t="n">
        <v>45771</v>
      </c>
      <c r="C687" s="40" t="inlineStr">
        <is>
          <t>进港</t>
        </is>
      </c>
      <c r="D687" s="24" t="inlineStr">
        <is>
          <t>金属矿石</t>
        </is>
      </c>
      <c r="E687" s="24" t="inlineStr">
        <is>
          <t>欧洲</t>
        </is>
      </c>
      <c r="F687" s="24" t="inlineStr">
        <is>
          <t>02号泊位</t>
        </is>
      </c>
      <c r="G687" s="25" t="n">
        <v>10739</v>
      </c>
      <c r="H687" s="41" t="n">
        <v>8</v>
      </c>
      <c r="I687" s="41" t="n">
        <v>4.5</v>
      </c>
      <c r="J687" s="41" t="n">
        <v>6.93</v>
      </c>
      <c r="K687" s="25" t="n">
        <v>0</v>
      </c>
      <c r="L687" s="26">
        <f>IF(H687&lt;=J687,1,0)</f>
        <v>0</v>
      </c>
    </row>
    <row r="688">
      <c r="A688" s="19" t="inlineStr">
        <is>
          <t>QL-114-3</t>
        </is>
      </c>
      <c r="B688" s="36" t="n">
        <v>45771</v>
      </c>
      <c r="C688" s="37" t="inlineStr">
        <is>
          <t>进港</t>
        </is>
      </c>
      <c r="D688" s="19" t="inlineStr">
        <is>
          <t>煤炭</t>
        </is>
      </c>
      <c r="E688" s="19" t="inlineStr">
        <is>
          <t>国内沿海</t>
        </is>
      </c>
      <c r="F688" s="19" t="inlineStr">
        <is>
          <t>03号泊位</t>
        </is>
      </c>
      <c r="G688" s="20" t="n">
        <v>8677</v>
      </c>
      <c r="H688" s="38" t="n">
        <v>7.3</v>
      </c>
      <c r="I688" s="38" t="n">
        <v>1.46</v>
      </c>
      <c r="J688" s="38" t="n">
        <v>6.57</v>
      </c>
      <c r="K688" s="20" t="n">
        <v>0</v>
      </c>
      <c r="L688" s="26">
        <f>IF(H688&lt;=J688,1,0)</f>
        <v>0</v>
      </c>
    </row>
    <row r="689">
      <c r="A689" s="24" t="inlineStr">
        <is>
          <t>QL-114-4</t>
        </is>
      </c>
      <c r="B689" s="39" t="n">
        <v>45771</v>
      </c>
      <c r="C689" s="40" t="inlineStr">
        <is>
          <t>进港</t>
        </is>
      </c>
      <c r="D689" s="24" t="inlineStr">
        <is>
          <t>粮食</t>
        </is>
      </c>
      <c r="E689" s="24" t="inlineStr">
        <is>
          <t>北美</t>
        </is>
      </c>
      <c r="F689" s="24" t="inlineStr">
        <is>
          <t>04号泊位</t>
        </is>
      </c>
      <c r="G689" s="25" t="n">
        <v>5972</v>
      </c>
      <c r="H689" s="41" t="n">
        <v>6.19</v>
      </c>
      <c r="I689" s="41" t="n">
        <v>3.08</v>
      </c>
      <c r="J689" s="41" t="n">
        <v>5.85</v>
      </c>
      <c r="K689" s="25" t="n">
        <v>0</v>
      </c>
      <c r="L689" s="26">
        <f>IF(H689&lt;=J689,1,0)</f>
        <v>0</v>
      </c>
    </row>
    <row r="690">
      <c r="A690" s="19" t="inlineStr">
        <is>
          <t>QL-114-5</t>
        </is>
      </c>
      <c r="B690" s="36" t="n">
        <v>45771</v>
      </c>
      <c r="C690" s="37" t="inlineStr">
        <is>
          <t>进港</t>
        </is>
      </c>
      <c r="D690" s="19" t="inlineStr">
        <is>
          <t>液体散货</t>
        </is>
      </c>
      <c r="E690" s="19" t="inlineStr">
        <is>
          <t>北美</t>
        </is>
      </c>
      <c r="F690" s="19" t="inlineStr">
        <is>
          <t>05号泊位</t>
        </is>
      </c>
      <c r="G690" s="20" t="n">
        <v>11334</v>
      </c>
      <c r="H690" s="38" t="n">
        <v>9.130000000000001</v>
      </c>
      <c r="I690" s="38" t="n">
        <v>3.64</v>
      </c>
      <c r="J690" s="38" t="n">
        <v>7.87</v>
      </c>
      <c r="K690" s="20" t="n">
        <v>0</v>
      </c>
      <c r="L690" s="26">
        <f>IF(H690&lt;=J690,1,0)</f>
        <v>0</v>
      </c>
    </row>
    <row r="691">
      <c r="A691" s="24" t="inlineStr">
        <is>
          <t>QL-114-6</t>
        </is>
      </c>
      <c r="B691" s="39" t="n">
        <v>45771</v>
      </c>
      <c r="C691" s="40" t="inlineStr">
        <is>
          <t>进港</t>
        </is>
      </c>
      <c r="D691" s="24" t="inlineStr">
        <is>
          <t>件杂货</t>
        </is>
      </c>
      <c r="E691" s="24" t="inlineStr">
        <is>
          <t>国内沿海</t>
        </is>
      </c>
      <c r="F691" s="24" t="inlineStr">
        <is>
          <t>06号泊位</t>
        </is>
      </c>
      <c r="G691" s="25" t="n">
        <v>5240</v>
      </c>
      <c r="H691" s="41" t="n">
        <v>7.45</v>
      </c>
      <c r="I691" s="41" t="n">
        <v>3.44</v>
      </c>
      <c r="J691" s="41" t="n">
        <v>8.59</v>
      </c>
      <c r="K691" s="25" t="n">
        <v>0</v>
      </c>
      <c r="L691" s="26">
        <f>IF(H691&lt;=J691,1,0)</f>
        <v>1</v>
      </c>
    </row>
    <row r="692">
      <c r="A692" s="19" t="inlineStr">
        <is>
          <t>QL-115-1</t>
        </is>
      </c>
      <c r="B692" s="36" t="n">
        <v>45772</v>
      </c>
      <c r="C692" s="37" t="inlineStr">
        <is>
          <t>进港</t>
        </is>
      </c>
      <c r="D692" s="19" t="inlineStr">
        <is>
          <t>集装箱货物</t>
        </is>
      </c>
      <c r="E692" s="19" t="inlineStr">
        <is>
          <t>国内沿海</t>
        </is>
      </c>
      <c r="F692" s="19" t="inlineStr">
        <is>
          <t>01号泊位</t>
        </is>
      </c>
      <c r="G692" s="20" t="n">
        <v>7559</v>
      </c>
      <c r="H692" s="38" t="n">
        <v>9.49</v>
      </c>
      <c r="I692" s="38" t="n">
        <v>0.45</v>
      </c>
      <c r="J692" s="38" t="n">
        <v>8.4</v>
      </c>
      <c r="K692" s="20" t="n">
        <v>585</v>
      </c>
      <c r="L692" s="26">
        <f>IF(H692&lt;=J692,1,0)</f>
        <v>0</v>
      </c>
    </row>
    <row r="693">
      <c r="A693" s="24" t="inlineStr">
        <is>
          <t>QL-115-2</t>
        </is>
      </c>
      <c r="B693" s="39" t="n">
        <v>45772</v>
      </c>
      <c r="C693" s="40" t="inlineStr">
        <is>
          <t>进港</t>
        </is>
      </c>
      <c r="D693" s="24" t="inlineStr">
        <is>
          <t>金属矿石</t>
        </is>
      </c>
      <c r="E693" s="24" t="inlineStr">
        <is>
          <t>东亚</t>
        </is>
      </c>
      <c r="F693" s="24" t="inlineStr">
        <is>
          <t>02号泊位</t>
        </is>
      </c>
      <c r="G693" s="25" t="n">
        <v>13907</v>
      </c>
      <c r="H693" s="41" t="n">
        <v>7.35</v>
      </c>
      <c r="I693" s="41" t="n">
        <v>0.45</v>
      </c>
      <c r="J693" s="41" t="n">
        <v>8.970000000000001</v>
      </c>
      <c r="K693" s="25" t="n">
        <v>0</v>
      </c>
      <c r="L693" s="26">
        <f>IF(H693&lt;=J693,1,0)</f>
        <v>1</v>
      </c>
    </row>
    <row r="694">
      <c r="A694" s="19" t="inlineStr">
        <is>
          <t>QL-115-3</t>
        </is>
      </c>
      <c r="B694" s="36" t="n">
        <v>45772</v>
      </c>
      <c r="C694" s="37" t="inlineStr">
        <is>
          <t>出港</t>
        </is>
      </c>
      <c r="D694" s="19" t="inlineStr">
        <is>
          <t>煤炭</t>
        </is>
      </c>
      <c r="E694" s="19" t="inlineStr">
        <is>
          <t>东南亚</t>
        </is>
      </c>
      <c r="F694" s="19" t="inlineStr">
        <is>
          <t>03号泊位</t>
        </is>
      </c>
      <c r="G694" s="20" t="n">
        <v>7274</v>
      </c>
      <c r="H694" s="38" t="n">
        <v>6.08</v>
      </c>
      <c r="I694" s="38" t="n">
        <v>5.21</v>
      </c>
      <c r="J694" s="38" t="n">
        <v>5.51</v>
      </c>
      <c r="K694" s="20" t="n">
        <v>0</v>
      </c>
      <c r="L694" s="26">
        <f>IF(H694&lt;=J694,1,0)</f>
        <v>0</v>
      </c>
    </row>
    <row r="695">
      <c r="A695" s="24" t="inlineStr">
        <is>
          <t>QL-115-4</t>
        </is>
      </c>
      <c r="B695" s="39" t="n">
        <v>45772</v>
      </c>
      <c r="C695" s="40" t="inlineStr">
        <is>
          <t>进港</t>
        </is>
      </c>
      <c r="D695" s="24" t="inlineStr">
        <is>
          <t>粮食</t>
        </is>
      </c>
      <c r="E695" s="24" t="inlineStr">
        <is>
          <t>北美</t>
        </is>
      </c>
      <c r="F695" s="24" t="inlineStr">
        <is>
          <t>04号泊位</t>
        </is>
      </c>
      <c r="G695" s="25" t="n">
        <v>7833</v>
      </c>
      <c r="H695" s="41" t="n">
        <v>7.74</v>
      </c>
      <c r="I695" s="41" t="n">
        <v>3.19</v>
      </c>
      <c r="J695" s="41" t="n">
        <v>7.68</v>
      </c>
      <c r="K695" s="25" t="n">
        <v>0</v>
      </c>
      <c r="L695" s="26">
        <f>IF(H695&lt;=J695,1,0)</f>
        <v>0</v>
      </c>
    </row>
    <row r="696">
      <c r="A696" s="19" t="inlineStr">
        <is>
          <t>QL-115-5</t>
        </is>
      </c>
      <c r="B696" s="36" t="n">
        <v>45772</v>
      </c>
      <c r="C696" s="37" t="inlineStr">
        <is>
          <t>进港</t>
        </is>
      </c>
      <c r="D696" s="19" t="inlineStr">
        <is>
          <t>液体散货</t>
        </is>
      </c>
      <c r="E696" s="19" t="inlineStr">
        <is>
          <t>国内沿海</t>
        </is>
      </c>
      <c r="F696" s="19" t="inlineStr">
        <is>
          <t>05号泊位</t>
        </is>
      </c>
      <c r="G696" s="20" t="n">
        <v>11691</v>
      </c>
      <c r="H696" s="38" t="n">
        <v>6.78</v>
      </c>
      <c r="I696" s="38" t="n">
        <v>3.27</v>
      </c>
      <c r="J696" s="38" t="n">
        <v>8.119999999999999</v>
      </c>
      <c r="K696" s="20" t="n">
        <v>0</v>
      </c>
      <c r="L696" s="26">
        <f>IF(H696&lt;=J696,1,0)</f>
        <v>1</v>
      </c>
    </row>
    <row r="697">
      <c r="A697" s="24" t="inlineStr">
        <is>
          <t>QL-115-6</t>
        </is>
      </c>
      <c r="B697" s="39" t="n">
        <v>45772</v>
      </c>
      <c r="C697" s="40" t="inlineStr">
        <is>
          <t>出港</t>
        </is>
      </c>
      <c r="D697" s="24" t="inlineStr">
        <is>
          <t>件杂货</t>
        </is>
      </c>
      <c r="E697" s="24" t="inlineStr">
        <is>
          <t>北美</t>
        </is>
      </c>
      <c r="F697" s="24" t="inlineStr">
        <is>
          <t>06号泊位</t>
        </is>
      </c>
      <c r="G697" s="25" t="n">
        <v>3066</v>
      </c>
      <c r="H697" s="41" t="n">
        <v>5.19</v>
      </c>
      <c r="I697" s="41" t="n">
        <v>2.75</v>
      </c>
      <c r="J697" s="41" t="n">
        <v>5.03</v>
      </c>
      <c r="K697" s="25" t="n">
        <v>0</v>
      </c>
      <c r="L697" s="26">
        <f>IF(H697&lt;=J697,1,0)</f>
        <v>0</v>
      </c>
    </row>
    <row r="698">
      <c r="A698" s="19" t="inlineStr">
        <is>
          <t>QL-116-1</t>
        </is>
      </c>
      <c r="B698" s="36" t="n">
        <v>45773</v>
      </c>
      <c r="C698" s="37" t="inlineStr">
        <is>
          <t>出港</t>
        </is>
      </c>
      <c r="D698" s="19" t="inlineStr">
        <is>
          <t>集装箱货物</t>
        </is>
      </c>
      <c r="E698" s="19" t="inlineStr">
        <is>
          <t>东亚</t>
        </is>
      </c>
      <c r="F698" s="19" t="inlineStr">
        <is>
          <t>01号泊位</t>
        </is>
      </c>
      <c r="G698" s="20" t="n">
        <v>6046</v>
      </c>
      <c r="H698" s="38" t="n">
        <v>5.87</v>
      </c>
      <c r="I698" s="38" t="n">
        <v>1.4</v>
      </c>
      <c r="J698" s="38" t="n">
        <v>6.72</v>
      </c>
      <c r="K698" s="20" t="n">
        <v>429</v>
      </c>
      <c r="L698" s="26">
        <f>IF(H698&lt;=J698,1,0)</f>
        <v>1</v>
      </c>
    </row>
    <row r="699">
      <c r="A699" s="24" t="inlineStr">
        <is>
          <t>QL-116-2</t>
        </is>
      </c>
      <c r="B699" s="39" t="n">
        <v>45773</v>
      </c>
      <c r="C699" s="40" t="inlineStr">
        <is>
          <t>出港</t>
        </is>
      </c>
      <c r="D699" s="24" t="inlineStr">
        <is>
          <t>金属矿石</t>
        </is>
      </c>
      <c r="E699" s="24" t="inlineStr">
        <is>
          <t>北美</t>
        </is>
      </c>
      <c r="F699" s="24" t="inlineStr">
        <is>
          <t>02号泊位</t>
        </is>
      </c>
      <c r="G699" s="25" t="n">
        <v>16498</v>
      </c>
      <c r="H699" s="41" t="n">
        <v>12.09</v>
      </c>
      <c r="I699" s="41" t="n">
        <v>2.59</v>
      </c>
      <c r="J699" s="41" t="n">
        <v>10.64</v>
      </c>
      <c r="K699" s="25" t="n">
        <v>0</v>
      </c>
      <c r="L699" s="26">
        <f>IF(H699&lt;=J699,1,0)</f>
        <v>0</v>
      </c>
    </row>
    <row r="700">
      <c r="A700" s="19" t="inlineStr">
        <is>
          <t>QL-116-3</t>
        </is>
      </c>
      <c r="B700" s="36" t="n">
        <v>45773</v>
      </c>
      <c r="C700" s="37" t="inlineStr">
        <is>
          <t>进港</t>
        </is>
      </c>
      <c r="D700" s="19" t="inlineStr">
        <is>
          <t>煤炭</t>
        </is>
      </c>
      <c r="E700" s="19" t="inlineStr">
        <is>
          <t>东南亚</t>
        </is>
      </c>
      <c r="F700" s="19" t="inlineStr">
        <is>
          <t>03号泊位</t>
        </is>
      </c>
      <c r="G700" s="20" t="n">
        <v>14208</v>
      </c>
      <c r="H700" s="38" t="n">
        <v>11.5</v>
      </c>
      <c r="I700" s="38" t="n">
        <v>1.28</v>
      </c>
      <c r="J700" s="38" t="n">
        <v>10.76</v>
      </c>
      <c r="K700" s="20" t="n">
        <v>0</v>
      </c>
      <c r="L700" s="26">
        <f>IF(H700&lt;=J700,1,0)</f>
        <v>0</v>
      </c>
    </row>
    <row r="701">
      <c r="A701" s="24" t="inlineStr">
        <is>
          <t>QL-116-4</t>
        </is>
      </c>
      <c r="B701" s="39" t="n">
        <v>45773</v>
      </c>
      <c r="C701" s="40" t="inlineStr">
        <is>
          <t>进港</t>
        </is>
      </c>
      <c r="D701" s="24" t="inlineStr">
        <is>
          <t>粮食</t>
        </is>
      </c>
      <c r="E701" s="24" t="inlineStr">
        <is>
          <t>国内沿海</t>
        </is>
      </c>
      <c r="F701" s="24" t="inlineStr">
        <is>
          <t>04号泊位</t>
        </is>
      </c>
      <c r="G701" s="25" t="n">
        <v>5425</v>
      </c>
      <c r="H701" s="41" t="n">
        <v>4.84</v>
      </c>
      <c r="I701" s="41" t="n">
        <v>2.9</v>
      </c>
      <c r="J701" s="41" t="n">
        <v>5.32</v>
      </c>
      <c r="K701" s="25" t="n">
        <v>0</v>
      </c>
      <c r="L701" s="26">
        <f>IF(H701&lt;=J701,1,0)</f>
        <v>1</v>
      </c>
    </row>
    <row r="702">
      <c r="A702" s="19" t="inlineStr">
        <is>
          <t>QL-116-5</t>
        </is>
      </c>
      <c r="B702" s="36" t="n">
        <v>45773</v>
      </c>
      <c r="C702" s="37" t="inlineStr">
        <is>
          <t>出港</t>
        </is>
      </c>
      <c r="D702" s="19" t="inlineStr">
        <is>
          <t>液体散货</t>
        </is>
      </c>
      <c r="E702" s="19" t="inlineStr">
        <is>
          <t>欧洲</t>
        </is>
      </c>
      <c r="F702" s="19" t="inlineStr">
        <is>
          <t>05号泊位</t>
        </is>
      </c>
      <c r="G702" s="20" t="n">
        <v>7216</v>
      </c>
      <c r="H702" s="38" t="n">
        <v>5.67</v>
      </c>
      <c r="I702" s="38" t="n">
        <v>3.39</v>
      </c>
      <c r="J702" s="38" t="n">
        <v>5.01</v>
      </c>
      <c r="K702" s="20" t="n">
        <v>0</v>
      </c>
      <c r="L702" s="26">
        <f>IF(H702&lt;=J702,1,0)</f>
        <v>0</v>
      </c>
    </row>
    <row r="703">
      <c r="A703" s="24" t="inlineStr">
        <is>
          <t>QL-116-6</t>
        </is>
      </c>
      <c r="B703" s="39" t="n">
        <v>45773</v>
      </c>
      <c r="C703" s="40" t="inlineStr">
        <is>
          <t>出港</t>
        </is>
      </c>
      <c r="D703" s="24" t="inlineStr">
        <is>
          <t>件杂货</t>
        </is>
      </c>
      <c r="E703" s="24" t="inlineStr">
        <is>
          <t>东亚</t>
        </is>
      </c>
      <c r="F703" s="24" t="inlineStr">
        <is>
          <t>06号泊位</t>
        </is>
      </c>
      <c r="G703" s="25" t="n">
        <v>4367</v>
      </c>
      <c r="H703" s="41" t="n">
        <v>8.52</v>
      </c>
      <c r="I703" s="41" t="n">
        <v>2.43</v>
      </c>
      <c r="J703" s="41" t="n">
        <v>7.16</v>
      </c>
      <c r="K703" s="25" t="n">
        <v>0</v>
      </c>
      <c r="L703" s="26">
        <f>IF(H703&lt;=J703,1,0)</f>
        <v>0</v>
      </c>
    </row>
    <row r="704">
      <c r="A704" s="19" t="inlineStr">
        <is>
          <t>QL-117-1</t>
        </is>
      </c>
      <c r="B704" s="36" t="n">
        <v>45774</v>
      </c>
      <c r="C704" s="37" t="inlineStr">
        <is>
          <t>进港</t>
        </is>
      </c>
      <c r="D704" s="19" t="inlineStr">
        <is>
          <t>集装箱货物</t>
        </is>
      </c>
      <c r="E704" s="19" t="inlineStr">
        <is>
          <t>东亚</t>
        </is>
      </c>
      <c r="F704" s="19" t="inlineStr">
        <is>
          <t>01号泊位</t>
        </is>
      </c>
      <c r="G704" s="20" t="n">
        <v>10094</v>
      </c>
      <c r="H704" s="38" t="n">
        <v>10.72</v>
      </c>
      <c r="I704" s="38" t="n">
        <v>2.55</v>
      </c>
      <c r="J704" s="38" t="n">
        <v>11.22</v>
      </c>
      <c r="K704" s="20" t="n">
        <v>798</v>
      </c>
      <c r="L704" s="26">
        <f>IF(H704&lt;=J704,1,0)</f>
        <v>1</v>
      </c>
    </row>
    <row r="705">
      <c r="A705" s="24" t="inlineStr">
        <is>
          <t>QL-117-2</t>
        </is>
      </c>
      <c r="B705" s="39" t="n">
        <v>45774</v>
      </c>
      <c r="C705" s="40" t="inlineStr">
        <is>
          <t>进港</t>
        </is>
      </c>
      <c r="D705" s="24" t="inlineStr">
        <is>
          <t>金属矿石</t>
        </is>
      </c>
      <c r="E705" s="24" t="inlineStr">
        <is>
          <t>东亚</t>
        </is>
      </c>
      <c r="F705" s="24" t="inlineStr">
        <is>
          <t>02号泊位</t>
        </is>
      </c>
      <c r="G705" s="25" t="n">
        <v>15559</v>
      </c>
      <c r="H705" s="41" t="n">
        <v>8.44</v>
      </c>
      <c r="I705" s="41" t="n">
        <v>2.5</v>
      </c>
      <c r="J705" s="41" t="n">
        <v>10.04</v>
      </c>
      <c r="K705" s="25" t="n">
        <v>0</v>
      </c>
      <c r="L705" s="26">
        <f>IF(H705&lt;=J705,1,0)</f>
        <v>1</v>
      </c>
    </row>
    <row r="706">
      <c r="A706" s="19" t="inlineStr">
        <is>
          <t>QL-117-3</t>
        </is>
      </c>
      <c r="B706" s="36" t="n">
        <v>45774</v>
      </c>
      <c r="C706" s="37" t="inlineStr">
        <is>
          <t>进港</t>
        </is>
      </c>
      <c r="D706" s="19" t="inlineStr">
        <is>
          <t>煤炭</t>
        </is>
      </c>
      <c r="E706" s="19" t="inlineStr">
        <is>
          <t>国内沿海</t>
        </is>
      </c>
      <c r="F706" s="19" t="inlineStr">
        <is>
          <t>03号泊位</t>
        </is>
      </c>
      <c r="G706" s="20" t="n">
        <v>13600</v>
      </c>
      <c r="H706" s="38" t="n">
        <v>11.73</v>
      </c>
      <c r="I706" s="38" t="n">
        <v>1.81</v>
      </c>
      <c r="J706" s="38" t="n">
        <v>10.3</v>
      </c>
      <c r="K706" s="20" t="n">
        <v>0</v>
      </c>
      <c r="L706" s="26">
        <f>IF(H706&lt;=J706,1,0)</f>
        <v>0</v>
      </c>
    </row>
    <row r="707">
      <c r="A707" s="24" t="inlineStr">
        <is>
          <t>QL-117-4</t>
        </is>
      </c>
      <c r="B707" s="39" t="n">
        <v>45774</v>
      </c>
      <c r="C707" s="40" t="inlineStr">
        <is>
          <t>进港</t>
        </is>
      </c>
      <c r="D707" s="24" t="inlineStr">
        <is>
          <t>粮食</t>
        </is>
      </c>
      <c r="E707" s="24" t="inlineStr">
        <is>
          <t>东南亚</t>
        </is>
      </c>
      <c r="F707" s="24" t="inlineStr">
        <is>
          <t>04号泊位</t>
        </is>
      </c>
      <c r="G707" s="25" t="n">
        <v>5697</v>
      </c>
      <c r="H707" s="41" t="n">
        <v>5.04</v>
      </c>
      <c r="I707" s="41" t="n">
        <v>5.05</v>
      </c>
      <c r="J707" s="41" t="n">
        <v>5.59</v>
      </c>
      <c r="K707" s="25" t="n">
        <v>0</v>
      </c>
      <c r="L707" s="26">
        <f>IF(H707&lt;=J707,1,0)</f>
        <v>1</v>
      </c>
    </row>
    <row r="708">
      <c r="A708" s="19" t="inlineStr">
        <is>
          <t>QL-117-5</t>
        </is>
      </c>
      <c r="B708" s="36" t="n">
        <v>45774</v>
      </c>
      <c r="C708" s="37" t="inlineStr">
        <is>
          <t>进港</t>
        </is>
      </c>
      <c r="D708" s="19" t="inlineStr">
        <is>
          <t>液体散货</t>
        </is>
      </c>
      <c r="E708" s="19" t="inlineStr">
        <is>
          <t>东南亚</t>
        </is>
      </c>
      <c r="F708" s="19" t="inlineStr">
        <is>
          <t>05号泊位</t>
        </is>
      </c>
      <c r="G708" s="20" t="n">
        <v>6845</v>
      </c>
      <c r="H708" s="38" t="n">
        <v>4.01</v>
      </c>
      <c r="I708" s="38" t="n">
        <v>4.6</v>
      </c>
      <c r="J708" s="38" t="n">
        <v>4.75</v>
      </c>
      <c r="K708" s="20" t="n">
        <v>0</v>
      </c>
      <c r="L708" s="26">
        <f>IF(H708&lt;=J708,1,0)</f>
        <v>1</v>
      </c>
    </row>
    <row r="709">
      <c r="A709" s="24" t="inlineStr">
        <is>
          <t>QL-117-6</t>
        </is>
      </c>
      <c r="B709" s="39" t="n">
        <v>45774</v>
      </c>
      <c r="C709" s="40" t="inlineStr">
        <is>
          <t>进港</t>
        </is>
      </c>
      <c r="D709" s="24" t="inlineStr">
        <is>
          <t>件杂货</t>
        </is>
      </c>
      <c r="E709" s="24" t="inlineStr">
        <is>
          <t>欧洲</t>
        </is>
      </c>
      <c r="F709" s="24" t="inlineStr">
        <is>
          <t>06号泊位</t>
        </is>
      </c>
      <c r="G709" s="25" t="n">
        <v>3636</v>
      </c>
      <c r="H709" s="41" t="n">
        <v>6.89</v>
      </c>
      <c r="I709" s="41" t="n">
        <v>0.85</v>
      </c>
      <c r="J709" s="41" t="n">
        <v>5.96</v>
      </c>
      <c r="K709" s="25" t="n">
        <v>0</v>
      </c>
      <c r="L709" s="26">
        <f>IF(H709&lt;=J709,1,0)</f>
        <v>0</v>
      </c>
    </row>
    <row r="710">
      <c r="A710" s="19" t="inlineStr">
        <is>
          <t>QL-118-1</t>
        </is>
      </c>
      <c r="B710" s="36" t="n">
        <v>45775</v>
      </c>
      <c r="C710" s="37" t="inlineStr">
        <is>
          <t>进港</t>
        </is>
      </c>
      <c r="D710" s="19" t="inlineStr">
        <is>
          <t>集装箱货物</t>
        </is>
      </c>
      <c r="E710" s="19" t="inlineStr">
        <is>
          <t>北美</t>
        </is>
      </c>
      <c r="F710" s="19" t="inlineStr">
        <is>
          <t>01号泊位</t>
        </is>
      </c>
      <c r="G710" s="20" t="n">
        <v>8168</v>
      </c>
      <c r="H710" s="38" t="n">
        <v>8.51</v>
      </c>
      <c r="I710" s="38" t="n">
        <v>1.2</v>
      </c>
      <c r="J710" s="38" t="n">
        <v>9.08</v>
      </c>
      <c r="K710" s="20" t="n">
        <v>591</v>
      </c>
      <c r="L710" s="26">
        <f>IF(H710&lt;=J710,1,0)</f>
        <v>1</v>
      </c>
    </row>
    <row r="711">
      <c r="A711" s="24" t="inlineStr">
        <is>
          <t>QL-118-2</t>
        </is>
      </c>
      <c r="B711" s="39" t="n">
        <v>45775</v>
      </c>
      <c r="C711" s="40" t="inlineStr">
        <is>
          <t>进港</t>
        </is>
      </c>
      <c r="D711" s="24" t="inlineStr">
        <is>
          <t>金属矿石</t>
        </is>
      </c>
      <c r="E711" s="24" t="inlineStr">
        <is>
          <t>国内沿海</t>
        </is>
      </c>
      <c r="F711" s="24" t="inlineStr">
        <is>
          <t>02号泊位</t>
        </is>
      </c>
      <c r="G711" s="25" t="n">
        <v>19150</v>
      </c>
      <c r="H711" s="41" t="n">
        <v>11.84</v>
      </c>
      <c r="I711" s="41" t="n">
        <v>2.56</v>
      </c>
      <c r="J711" s="41" t="n">
        <v>12.35</v>
      </c>
      <c r="K711" s="25" t="n">
        <v>0</v>
      </c>
      <c r="L711" s="26">
        <f>IF(H711&lt;=J711,1,0)</f>
        <v>1</v>
      </c>
    </row>
    <row r="712">
      <c r="A712" s="19" t="inlineStr">
        <is>
          <t>QL-118-3</t>
        </is>
      </c>
      <c r="B712" s="36" t="n">
        <v>45775</v>
      </c>
      <c r="C712" s="37" t="inlineStr">
        <is>
          <t>出港</t>
        </is>
      </c>
      <c r="D712" s="19" t="inlineStr">
        <is>
          <t>煤炭</t>
        </is>
      </c>
      <c r="E712" s="19" t="inlineStr">
        <is>
          <t>欧洲</t>
        </is>
      </c>
      <c r="F712" s="19" t="inlineStr">
        <is>
          <t>03号泊位</t>
        </is>
      </c>
      <c r="G712" s="20" t="n">
        <v>14472</v>
      </c>
      <c r="H712" s="38" t="n">
        <v>10.75</v>
      </c>
      <c r="I712" s="38" t="n">
        <v>5.21</v>
      </c>
      <c r="J712" s="38" t="n">
        <v>10.96</v>
      </c>
      <c r="K712" s="20" t="n">
        <v>0</v>
      </c>
      <c r="L712" s="26">
        <f>IF(H712&lt;=J712,1,0)</f>
        <v>1</v>
      </c>
    </row>
    <row r="713">
      <c r="A713" s="24" t="inlineStr">
        <is>
          <t>QL-118-4</t>
        </is>
      </c>
      <c r="B713" s="39" t="n">
        <v>45775</v>
      </c>
      <c r="C713" s="40" t="inlineStr">
        <is>
          <t>进港</t>
        </is>
      </c>
      <c r="D713" s="24" t="inlineStr">
        <is>
          <t>粮食</t>
        </is>
      </c>
      <c r="E713" s="24" t="inlineStr">
        <is>
          <t>国内沿海</t>
        </is>
      </c>
      <c r="F713" s="24" t="inlineStr">
        <is>
          <t>04号泊位</t>
        </is>
      </c>
      <c r="G713" s="25" t="n">
        <v>8291</v>
      </c>
      <c r="H713" s="41" t="n">
        <v>9.41</v>
      </c>
      <c r="I713" s="41" t="n">
        <v>4.5</v>
      </c>
      <c r="J713" s="41" t="n">
        <v>8.130000000000001</v>
      </c>
      <c r="K713" s="25" t="n">
        <v>0</v>
      </c>
      <c r="L713" s="26">
        <f>IF(H713&lt;=J713,1,0)</f>
        <v>0</v>
      </c>
    </row>
    <row r="714">
      <c r="A714" s="19" t="inlineStr">
        <is>
          <t>QL-118-5</t>
        </is>
      </c>
      <c r="B714" s="36" t="n">
        <v>45775</v>
      </c>
      <c r="C714" s="37" t="inlineStr">
        <is>
          <t>进港</t>
        </is>
      </c>
      <c r="D714" s="19" t="inlineStr">
        <is>
          <t>液体散货</t>
        </is>
      </c>
      <c r="E714" s="19" t="inlineStr">
        <is>
          <t>东南亚</t>
        </is>
      </c>
      <c r="F714" s="19" t="inlineStr">
        <is>
          <t>05号泊位</t>
        </is>
      </c>
      <c r="G714" s="20" t="n">
        <v>14782</v>
      </c>
      <c r="H714" s="38" t="n">
        <v>10.96</v>
      </c>
      <c r="I714" s="38" t="n">
        <v>2.6</v>
      </c>
      <c r="J714" s="38" t="n">
        <v>10.27</v>
      </c>
      <c r="K714" s="20" t="n">
        <v>0</v>
      </c>
      <c r="L714" s="26">
        <f>IF(H714&lt;=J714,1,0)</f>
        <v>0</v>
      </c>
    </row>
    <row r="715">
      <c r="A715" s="24" t="inlineStr">
        <is>
          <t>QL-118-6</t>
        </is>
      </c>
      <c r="B715" s="39" t="n">
        <v>45775</v>
      </c>
      <c r="C715" s="40" t="inlineStr">
        <is>
          <t>出港</t>
        </is>
      </c>
      <c r="D715" s="24" t="inlineStr">
        <is>
          <t>件杂货</t>
        </is>
      </c>
      <c r="E715" s="24" t="inlineStr">
        <is>
          <t>国内沿海</t>
        </is>
      </c>
      <c r="F715" s="24" t="inlineStr">
        <is>
          <t>06号泊位</t>
        </is>
      </c>
      <c r="G715" s="25" t="n">
        <v>4835</v>
      </c>
      <c r="H715" s="41" t="n">
        <v>8.109999999999999</v>
      </c>
      <c r="I715" s="41" t="n">
        <v>2.14</v>
      </c>
      <c r="J715" s="41" t="n">
        <v>7.93</v>
      </c>
      <c r="K715" s="25" t="n">
        <v>0</v>
      </c>
      <c r="L715" s="26">
        <f>IF(H715&lt;=J715,1,0)</f>
        <v>0</v>
      </c>
    </row>
    <row r="716">
      <c r="A716" s="19" t="inlineStr">
        <is>
          <t>QL-119-1</t>
        </is>
      </c>
      <c r="B716" s="36" t="n">
        <v>45776</v>
      </c>
      <c r="C716" s="37" t="inlineStr">
        <is>
          <t>进港</t>
        </is>
      </c>
      <c r="D716" s="19" t="inlineStr">
        <is>
          <t>集装箱货物</t>
        </is>
      </c>
      <c r="E716" s="19" t="inlineStr">
        <is>
          <t>欧洲</t>
        </is>
      </c>
      <c r="F716" s="19" t="inlineStr">
        <is>
          <t>01号泊位</t>
        </is>
      </c>
      <c r="G716" s="20" t="n">
        <v>9763</v>
      </c>
      <c r="H716" s="38" t="n">
        <v>11.25</v>
      </c>
      <c r="I716" s="38" t="n">
        <v>3.16</v>
      </c>
      <c r="J716" s="38" t="n">
        <v>10.85</v>
      </c>
      <c r="K716" s="20" t="n">
        <v>581</v>
      </c>
      <c r="L716" s="26">
        <f>IF(H716&lt;=J716,1,0)</f>
        <v>0</v>
      </c>
    </row>
    <row r="717">
      <c r="A717" s="24" t="inlineStr">
        <is>
          <t>QL-119-2</t>
        </is>
      </c>
      <c r="B717" s="39" t="n">
        <v>45776</v>
      </c>
      <c r="C717" s="40" t="inlineStr">
        <is>
          <t>出港</t>
        </is>
      </c>
      <c r="D717" s="24" t="inlineStr">
        <is>
          <t>金属矿石</t>
        </is>
      </c>
      <c r="E717" s="24" t="inlineStr">
        <is>
          <t>东南亚</t>
        </is>
      </c>
      <c r="F717" s="24" t="inlineStr">
        <is>
          <t>02号泊位</t>
        </is>
      </c>
      <c r="G717" s="25" t="n">
        <v>20681</v>
      </c>
      <c r="H717" s="41" t="n">
        <v>15.21</v>
      </c>
      <c r="I717" s="41" t="n">
        <v>1.23</v>
      </c>
      <c r="J717" s="41" t="n">
        <v>13.34</v>
      </c>
      <c r="K717" s="25" t="n">
        <v>0</v>
      </c>
      <c r="L717" s="26">
        <f>IF(H717&lt;=J717,1,0)</f>
        <v>0</v>
      </c>
    </row>
    <row r="718">
      <c r="A718" s="19" t="inlineStr">
        <is>
          <t>QL-119-3</t>
        </is>
      </c>
      <c r="B718" s="36" t="n">
        <v>45776</v>
      </c>
      <c r="C718" s="37" t="inlineStr">
        <is>
          <t>出港</t>
        </is>
      </c>
      <c r="D718" s="19" t="inlineStr">
        <is>
          <t>煤炭</t>
        </is>
      </c>
      <c r="E718" s="19" t="inlineStr">
        <is>
          <t>国内沿海</t>
        </is>
      </c>
      <c r="F718" s="19" t="inlineStr">
        <is>
          <t>03号泊位</t>
        </is>
      </c>
      <c r="G718" s="20" t="n">
        <v>12930</v>
      </c>
      <c r="H718" s="38" t="n">
        <v>7.95</v>
      </c>
      <c r="I718" s="38" t="n">
        <v>2.82</v>
      </c>
      <c r="J718" s="38" t="n">
        <v>9.800000000000001</v>
      </c>
      <c r="K718" s="20" t="n">
        <v>0</v>
      </c>
      <c r="L718" s="26">
        <f>IF(H718&lt;=J718,1,0)</f>
        <v>1</v>
      </c>
    </row>
    <row r="719">
      <c r="A719" s="24" t="inlineStr">
        <is>
          <t>QL-119-4</t>
        </is>
      </c>
      <c r="B719" s="39" t="n">
        <v>45776</v>
      </c>
      <c r="C719" s="40" t="inlineStr">
        <is>
          <t>进港</t>
        </is>
      </c>
      <c r="D719" s="24" t="inlineStr">
        <is>
          <t>粮食</t>
        </is>
      </c>
      <c r="E719" s="24" t="inlineStr">
        <is>
          <t>东亚</t>
        </is>
      </c>
      <c r="F719" s="24" t="inlineStr">
        <is>
          <t>04号泊位</t>
        </is>
      </c>
      <c r="G719" s="25" t="n">
        <v>10066</v>
      </c>
      <c r="H719" s="41" t="n">
        <v>10.23</v>
      </c>
      <c r="I719" s="41" t="n">
        <v>4.49</v>
      </c>
      <c r="J719" s="41" t="n">
        <v>9.869999999999999</v>
      </c>
      <c r="K719" s="25" t="n">
        <v>0</v>
      </c>
      <c r="L719" s="26">
        <f>IF(H719&lt;=J719,1,0)</f>
        <v>0</v>
      </c>
    </row>
    <row r="720">
      <c r="A720" s="19" t="inlineStr">
        <is>
          <t>QL-119-5</t>
        </is>
      </c>
      <c r="B720" s="36" t="n">
        <v>45776</v>
      </c>
      <c r="C720" s="37" t="inlineStr">
        <is>
          <t>出港</t>
        </is>
      </c>
      <c r="D720" s="19" t="inlineStr">
        <is>
          <t>液体散货</t>
        </is>
      </c>
      <c r="E720" s="19" t="inlineStr">
        <is>
          <t>东亚</t>
        </is>
      </c>
      <c r="F720" s="19" t="inlineStr">
        <is>
          <t>05号泊位</t>
        </is>
      </c>
      <c r="G720" s="20" t="n">
        <v>11322</v>
      </c>
      <c r="H720" s="38" t="n">
        <v>6.49</v>
      </c>
      <c r="I720" s="38" t="n">
        <v>0.3</v>
      </c>
      <c r="J720" s="38" t="n">
        <v>7.86</v>
      </c>
      <c r="K720" s="20" t="n">
        <v>0</v>
      </c>
      <c r="L720" s="26">
        <f>IF(H720&lt;=J720,1,0)</f>
        <v>1</v>
      </c>
    </row>
    <row r="721">
      <c r="A721" s="24" t="inlineStr">
        <is>
          <t>QL-119-6</t>
        </is>
      </c>
      <c r="B721" s="39" t="n">
        <v>45776</v>
      </c>
      <c r="C721" s="40" t="inlineStr">
        <is>
          <t>出港</t>
        </is>
      </c>
      <c r="D721" s="24" t="inlineStr">
        <is>
          <t>件杂货</t>
        </is>
      </c>
      <c r="E721" s="24" t="inlineStr">
        <is>
          <t>东南亚</t>
        </is>
      </c>
      <c r="F721" s="24" t="inlineStr">
        <is>
          <t>06号泊位</t>
        </is>
      </c>
      <c r="G721" s="25" t="n">
        <v>4866</v>
      </c>
      <c r="H721" s="41" t="n">
        <v>8.17</v>
      </c>
      <c r="I721" s="41" t="n">
        <v>2.64</v>
      </c>
      <c r="J721" s="41" t="n">
        <v>7.98</v>
      </c>
      <c r="K721" s="25" t="n">
        <v>0</v>
      </c>
      <c r="L721" s="26">
        <f>IF(H721&lt;=J721,1,0)</f>
        <v>0</v>
      </c>
    </row>
    <row r="722">
      <c r="A722" s="19" t="inlineStr">
        <is>
          <t>QL-120-1</t>
        </is>
      </c>
      <c r="B722" s="36" t="n">
        <v>45777</v>
      </c>
      <c r="C722" s="37" t="inlineStr">
        <is>
          <t>出港</t>
        </is>
      </c>
      <c r="D722" s="19" t="inlineStr">
        <is>
          <t>集装箱货物</t>
        </is>
      </c>
      <c r="E722" s="19" t="inlineStr">
        <is>
          <t>东南亚</t>
        </is>
      </c>
      <c r="F722" s="19" t="inlineStr">
        <is>
          <t>01号泊位</t>
        </is>
      </c>
      <c r="G722" s="20" t="n">
        <v>5520</v>
      </c>
      <c r="H722" s="38" t="n">
        <v>7.48</v>
      </c>
      <c r="I722" s="38" t="n">
        <v>5.26</v>
      </c>
      <c r="J722" s="38" t="n">
        <v>6.13</v>
      </c>
      <c r="K722" s="20" t="n">
        <v>406</v>
      </c>
      <c r="L722" s="26">
        <f>IF(H722&lt;=J722,1,0)</f>
        <v>0</v>
      </c>
    </row>
    <row r="723">
      <c r="A723" s="24" t="inlineStr">
        <is>
          <t>QL-120-2</t>
        </is>
      </c>
      <c r="B723" s="39" t="n">
        <v>45777</v>
      </c>
      <c r="C723" s="40" t="inlineStr">
        <is>
          <t>进港</t>
        </is>
      </c>
      <c r="D723" s="24" t="inlineStr">
        <is>
          <t>金属矿石</t>
        </is>
      </c>
      <c r="E723" s="24" t="inlineStr">
        <is>
          <t>东南亚</t>
        </is>
      </c>
      <c r="F723" s="24" t="inlineStr">
        <is>
          <t>02号泊位</t>
        </is>
      </c>
      <c r="G723" s="25" t="n">
        <v>28322</v>
      </c>
      <c r="H723" s="41" t="n">
        <v>17.7</v>
      </c>
      <c r="I723" s="41" t="n">
        <v>0.65</v>
      </c>
      <c r="J723" s="41" t="n">
        <v>18.27</v>
      </c>
      <c r="K723" s="25" t="n">
        <v>0</v>
      </c>
      <c r="L723" s="26">
        <f>IF(H723&lt;=J723,1,0)</f>
        <v>1</v>
      </c>
    </row>
    <row r="724">
      <c r="A724" s="19" t="inlineStr">
        <is>
          <t>QL-120-3</t>
        </is>
      </c>
      <c r="B724" s="36" t="n">
        <v>45777</v>
      </c>
      <c r="C724" s="37" t="inlineStr">
        <is>
          <t>进港</t>
        </is>
      </c>
      <c r="D724" s="19" t="inlineStr">
        <is>
          <t>煤炭</t>
        </is>
      </c>
      <c r="E724" s="19" t="inlineStr">
        <is>
          <t>东南亚</t>
        </is>
      </c>
      <c r="F724" s="19" t="inlineStr">
        <is>
          <t>03号泊位</t>
        </is>
      </c>
      <c r="G724" s="20" t="n">
        <v>13271</v>
      </c>
      <c r="H724" s="38" t="n">
        <v>9.300000000000001</v>
      </c>
      <c r="I724" s="38" t="n">
        <v>2.53</v>
      </c>
      <c r="J724" s="38" t="n">
        <v>10.05</v>
      </c>
      <c r="K724" s="20" t="n">
        <v>0</v>
      </c>
      <c r="L724" s="26">
        <f>IF(H724&lt;=J724,1,0)</f>
        <v>1</v>
      </c>
    </row>
    <row r="725">
      <c r="A725" s="24" t="inlineStr">
        <is>
          <t>QL-120-4</t>
        </is>
      </c>
      <c r="B725" s="39" t="n">
        <v>45777</v>
      </c>
      <c r="C725" s="40" t="inlineStr">
        <is>
          <t>出港</t>
        </is>
      </c>
      <c r="D725" s="24" t="inlineStr">
        <is>
          <t>粮食</t>
        </is>
      </c>
      <c r="E725" s="24" t="inlineStr">
        <is>
          <t>欧洲</t>
        </is>
      </c>
      <c r="F725" s="24" t="inlineStr">
        <is>
          <t>04号泊位</t>
        </is>
      </c>
      <c r="G725" s="25" t="n">
        <v>8488</v>
      </c>
      <c r="H725" s="41" t="n">
        <v>8.35</v>
      </c>
      <c r="I725" s="41" t="n">
        <v>3.28</v>
      </c>
      <c r="J725" s="41" t="n">
        <v>8.32</v>
      </c>
      <c r="K725" s="25" t="n">
        <v>0</v>
      </c>
      <c r="L725" s="26">
        <f>IF(H725&lt;=J725,1,0)</f>
        <v>0</v>
      </c>
    </row>
    <row r="726">
      <c r="A726" s="19" t="inlineStr">
        <is>
          <t>QL-120-5</t>
        </is>
      </c>
      <c r="B726" s="36" t="n">
        <v>45777</v>
      </c>
      <c r="C726" s="37" t="inlineStr">
        <is>
          <t>出港</t>
        </is>
      </c>
      <c r="D726" s="19" t="inlineStr">
        <is>
          <t>液体散货</t>
        </is>
      </c>
      <c r="E726" s="19" t="inlineStr">
        <is>
          <t>东亚</t>
        </is>
      </c>
      <c r="F726" s="19" t="inlineStr">
        <is>
          <t>05号泊位</t>
        </is>
      </c>
      <c r="G726" s="20" t="n">
        <v>10438</v>
      </c>
      <c r="H726" s="38" t="n">
        <v>6.24</v>
      </c>
      <c r="I726" s="38" t="n">
        <v>2.98</v>
      </c>
      <c r="J726" s="38" t="n">
        <v>7.25</v>
      </c>
      <c r="K726" s="20" t="n">
        <v>0</v>
      </c>
      <c r="L726" s="26">
        <f>IF(H726&lt;=J726,1,0)</f>
        <v>1</v>
      </c>
    </row>
    <row r="727">
      <c r="A727" s="24" t="inlineStr">
        <is>
          <t>QL-120-6</t>
        </is>
      </c>
      <c r="B727" s="39" t="n">
        <v>45777</v>
      </c>
      <c r="C727" s="40" t="inlineStr">
        <is>
          <t>出港</t>
        </is>
      </c>
      <c r="D727" s="24" t="inlineStr">
        <is>
          <t>件杂货</t>
        </is>
      </c>
      <c r="E727" s="24" t="inlineStr">
        <is>
          <t>欧洲</t>
        </is>
      </c>
      <c r="F727" s="24" t="inlineStr">
        <is>
          <t>06号泊位</t>
        </is>
      </c>
      <c r="G727" s="25" t="n">
        <v>4706</v>
      </c>
      <c r="H727" s="41" t="n">
        <v>8.43</v>
      </c>
      <c r="I727" s="41" t="n">
        <v>1.9</v>
      </c>
      <c r="J727" s="41" t="n">
        <v>7.71</v>
      </c>
      <c r="K727" s="25" t="n">
        <v>0</v>
      </c>
      <c r="L727" s="26">
        <f>IF(H727&lt;=J727,1,0)</f>
        <v>0</v>
      </c>
    </row>
    <row r="728">
      <c r="A728" s="19" t="inlineStr">
        <is>
          <t>QL-121-1</t>
        </is>
      </c>
      <c r="B728" s="36" t="n">
        <v>45778</v>
      </c>
      <c r="C728" s="37" t="inlineStr">
        <is>
          <t>出港</t>
        </is>
      </c>
      <c r="D728" s="19" t="inlineStr">
        <is>
          <t>集装箱货物</t>
        </is>
      </c>
      <c r="E728" s="19" t="inlineStr">
        <is>
          <t>东南亚</t>
        </is>
      </c>
      <c r="F728" s="19" t="inlineStr">
        <is>
          <t>01号泊位</t>
        </is>
      </c>
      <c r="G728" s="20" t="n">
        <v>12082</v>
      </c>
      <c r="H728" s="38" t="n">
        <v>15.83</v>
      </c>
      <c r="I728" s="38" t="n">
        <v>3.78</v>
      </c>
      <c r="J728" s="38" t="n">
        <v>13.42</v>
      </c>
      <c r="K728" s="20" t="n">
        <v>787</v>
      </c>
      <c r="L728" s="26">
        <f>IF(H728&lt;=J728,1,0)</f>
        <v>0</v>
      </c>
    </row>
    <row r="729">
      <c r="A729" s="24" t="inlineStr">
        <is>
          <t>QL-121-2</t>
        </is>
      </c>
      <c r="B729" s="39" t="n">
        <v>45778</v>
      </c>
      <c r="C729" s="40" t="inlineStr">
        <is>
          <t>进港</t>
        </is>
      </c>
      <c r="D729" s="24" t="inlineStr">
        <is>
          <t>金属矿石</t>
        </is>
      </c>
      <c r="E729" s="24" t="inlineStr">
        <is>
          <t>国内沿海</t>
        </is>
      </c>
      <c r="F729" s="24" t="inlineStr">
        <is>
          <t>02号泊位</t>
        </is>
      </c>
      <c r="G729" s="25" t="n">
        <v>24742</v>
      </c>
      <c r="H729" s="41" t="n">
        <v>16.81</v>
      </c>
      <c r="I729" s="41" t="n">
        <v>0.36</v>
      </c>
      <c r="J729" s="41" t="n">
        <v>15.96</v>
      </c>
      <c r="K729" s="25" t="n">
        <v>0</v>
      </c>
      <c r="L729" s="26">
        <f>IF(H729&lt;=J729,1,0)</f>
        <v>0</v>
      </c>
    </row>
    <row r="730">
      <c r="A730" s="19" t="inlineStr">
        <is>
          <t>QL-121-3</t>
        </is>
      </c>
      <c r="B730" s="36" t="n">
        <v>45778</v>
      </c>
      <c r="C730" s="37" t="inlineStr">
        <is>
          <t>进港</t>
        </is>
      </c>
      <c r="D730" s="19" t="inlineStr">
        <is>
          <t>煤炭</t>
        </is>
      </c>
      <c r="E730" s="19" t="inlineStr">
        <is>
          <t>东亚</t>
        </is>
      </c>
      <c r="F730" s="19" t="inlineStr">
        <is>
          <t>03号泊位</t>
        </is>
      </c>
      <c r="G730" s="20" t="n">
        <v>13288</v>
      </c>
      <c r="H730" s="38" t="n">
        <v>9.109999999999999</v>
      </c>
      <c r="I730" s="38" t="n">
        <v>2.51</v>
      </c>
      <c r="J730" s="38" t="n">
        <v>10.07</v>
      </c>
      <c r="K730" s="20" t="n">
        <v>0</v>
      </c>
      <c r="L730" s="26">
        <f>IF(H730&lt;=J730,1,0)</f>
        <v>1</v>
      </c>
    </row>
    <row r="731">
      <c r="A731" s="24" t="inlineStr">
        <is>
          <t>QL-121-4</t>
        </is>
      </c>
      <c r="B731" s="39" t="n">
        <v>45778</v>
      </c>
      <c r="C731" s="40" t="inlineStr">
        <is>
          <t>进港</t>
        </is>
      </c>
      <c r="D731" s="24" t="inlineStr">
        <is>
          <t>粮食</t>
        </is>
      </c>
      <c r="E731" s="24" t="inlineStr">
        <is>
          <t>东亚</t>
        </is>
      </c>
      <c r="F731" s="24" t="inlineStr">
        <is>
          <t>04号泊位</t>
        </is>
      </c>
      <c r="G731" s="25" t="n">
        <v>6782</v>
      </c>
      <c r="H731" s="41" t="n">
        <v>7.68</v>
      </c>
      <c r="I731" s="41" t="n">
        <v>0.64</v>
      </c>
      <c r="J731" s="41" t="n">
        <v>6.65</v>
      </c>
      <c r="K731" s="25" t="n">
        <v>0</v>
      </c>
      <c r="L731" s="26">
        <f>IF(H731&lt;=J731,1,0)</f>
        <v>0</v>
      </c>
    </row>
    <row r="732">
      <c r="A732" s="19" t="inlineStr">
        <is>
          <t>QL-121-5</t>
        </is>
      </c>
      <c r="B732" s="36" t="n">
        <v>45778</v>
      </c>
      <c r="C732" s="37" t="inlineStr">
        <is>
          <t>出港</t>
        </is>
      </c>
      <c r="D732" s="19" t="inlineStr">
        <is>
          <t>液体散货</t>
        </is>
      </c>
      <c r="E732" s="19" t="inlineStr">
        <is>
          <t>东亚</t>
        </is>
      </c>
      <c r="F732" s="19" t="inlineStr">
        <is>
          <t>05号泊位</t>
        </is>
      </c>
      <c r="G732" s="20" t="n">
        <v>13199</v>
      </c>
      <c r="H732" s="38" t="n">
        <v>9.65</v>
      </c>
      <c r="I732" s="38" t="n">
        <v>2.39</v>
      </c>
      <c r="J732" s="38" t="n">
        <v>9.17</v>
      </c>
      <c r="K732" s="20" t="n">
        <v>0</v>
      </c>
      <c r="L732" s="26">
        <f>IF(H732&lt;=J732,1,0)</f>
        <v>0</v>
      </c>
    </row>
    <row r="733">
      <c r="A733" s="24" t="inlineStr">
        <is>
          <t>QL-121-6</t>
        </is>
      </c>
      <c r="B733" s="39" t="n">
        <v>45778</v>
      </c>
      <c r="C733" s="40" t="inlineStr">
        <is>
          <t>进港</t>
        </is>
      </c>
      <c r="D733" s="24" t="inlineStr">
        <is>
          <t>件杂货</t>
        </is>
      </c>
      <c r="E733" s="24" t="inlineStr">
        <is>
          <t>东南亚</t>
        </is>
      </c>
      <c r="F733" s="24" t="inlineStr">
        <is>
          <t>06号泊位</t>
        </is>
      </c>
      <c r="G733" s="25" t="n">
        <v>5839</v>
      </c>
      <c r="H733" s="41" t="n">
        <v>8.449999999999999</v>
      </c>
      <c r="I733" s="41" t="n">
        <v>3.95</v>
      </c>
      <c r="J733" s="41" t="n">
        <v>9.57</v>
      </c>
      <c r="K733" s="25" t="n">
        <v>0</v>
      </c>
      <c r="L733" s="26">
        <f>IF(H733&lt;=J733,1,0)</f>
        <v>1</v>
      </c>
    </row>
    <row r="734">
      <c r="A734" s="19" t="inlineStr">
        <is>
          <t>QL-122-1</t>
        </is>
      </c>
      <c r="B734" s="36" t="n">
        <v>45779</v>
      </c>
      <c r="C734" s="37" t="inlineStr">
        <is>
          <t>进港</t>
        </is>
      </c>
      <c r="D734" s="19" t="inlineStr">
        <is>
          <t>集装箱货物</t>
        </is>
      </c>
      <c r="E734" s="19" t="inlineStr">
        <is>
          <t>国内沿海</t>
        </is>
      </c>
      <c r="F734" s="19" t="inlineStr">
        <is>
          <t>01号泊位</t>
        </is>
      </c>
      <c r="G734" s="20" t="n">
        <v>8523</v>
      </c>
      <c r="H734" s="38" t="n">
        <v>9.380000000000001</v>
      </c>
      <c r="I734" s="38" t="n">
        <v>0.97</v>
      </c>
      <c r="J734" s="38" t="n">
        <v>9.470000000000001</v>
      </c>
      <c r="K734" s="20" t="n">
        <v>516</v>
      </c>
      <c r="L734" s="26">
        <f>IF(H734&lt;=J734,1,0)</f>
        <v>1</v>
      </c>
    </row>
    <row r="735">
      <c r="A735" s="24" t="inlineStr">
        <is>
          <t>QL-122-2</t>
        </is>
      </c>
      <c r="B735" s="39" t="n">
        <v>45779</v>
      </c>
      <c r="C735" s="40" t="inlineStr">
        <is>
          <t>进港</t>
        </is>
      </c>
      <c r="D735" s="24" t="inlineStr">
        <is>
          <t>金属矿石</t>
        </is>
      </c>
      <c r="E735" s="24" t="inlineStr">
        <is>
          <t>欧洲</t>
        </is>
      </c>
      <c r="F735" s="24" t="inlineStr">
        <is>
          <t>02号泊位</t>
        </is>
      </c>
      <c r="G735" s="25" t="n">
        <v>14070</v>
      </c>
      <c r="H735" s="41" t="n">
        <v>9.77</v>
      </c>
      <c r="I735" s="41" t="n">
        <v>2.36</v>
      </c>
      <c r="J735" s="41" t="n">
        <v>9.08</v>
      </c>
      <c r="K735" s="25" t="n">
        <v>0</v>
      </c>
      <c r="L735" s="26">
        <f>IF(H735&lt;=J735,1,0)</f>
        <v>0</v>
      </c>
    </row>
    <row r="736">
      <c r="A736" s="19" t="inlineStr">
        <is>
          <t>QL-122-3</t>
        </is>
      </c>
      <c r="B736" s="36" t="n">
        <v>45779</v>
      </c>
      <c r="C736" s="37" t="inlineStr">
        <is>
          <t>进港</t>
        </is>
      </c>
      <c r="D736" s="19" t="inlineStr">
        <is>
          <t>煤炭</t>
        </is>
      </c>
      <c r="E736" s="19" t="inlineStr">
        <is>
          <t>东南亚</t>
        </is>
      </c>
      <c r="F736" s="19" t="inlineStr">
        <is>
          <t>03号泊位</t>
        </is>
      </c>
      <c r="G736" s="20" t="n">
        <v>13436</v>
      </c>
      <c r="H736" s="38" t="n">
        <v>8.380000000000001</v>
      </c>
      <c r="I736" s="38" t="n">
        <v>5.59</v>
      </c>
      <c r="J736" s="38" t="n">
        <v>10.18</v>
      </c>
      <c r="K736" s="20" t="n">
        <v>0</v>
      </c>
      <c r="L736" s="26">
        <f>IF(H736&lt;=J736,1,0)</f>
        <v>1</v>
      </c>
    </row>
    <row r="737">
      <c r="A737" s="24" t="inlineStr">
        <is>
          <t>QL-122-4</t>
        </is>
      </c>
      <c r="B737" s="39" t="n">
        <v>45779</v>
      </c>
      <c r="C737" s="40" t="inlineStr">
        <is>
          <t>进港</t>
        </is>
      </c>
      <c r="D737" s="24" t="inlineStr">
        <is>
          <t>粮食</t>
        </is>
      </c>
      <c r="E737" s="24" t="inlineStr">
        <is>
          <t>东南亚</t>
        </is>
      </c>
      <c r="F737" s="24" t="inlineStr">
        <is>
          <t>04号泊位</t>
        </is>
      </c>
      <c r="G737" s="25" t="n">
        <v>7840</v>
      </c>
      <c r="H737" s="41" t="n">
        <v>7.82</v>
      </c>
      <c r="I737" s="41" t="n">
        <v>1.59</v>
      </c>
      <c r="J737" s="41" t="n">
        <v>7.69</v>
      </c>
      <c r="K737" s="25" t="n">
        <v>0</v>
      </c>
      <c r="L737" s="26">
        <f>IF(H737&lt;=J737,1,0)</f>
        <v>0</v>
      </c>
    </row>
    <row r="738">
      <c r="A738" s="19" t="inlineStr">
        <is>
          <t>QL-122-5</t>
        </is>
      </c>
      <c r="B738" s="36" t="n">
        <v>45779</v>
      </c>
      <c r="C738" s="37" t="inlineStr">
        <is>
          <t>出港</t>
        </is>
      </c>
      <c r="D738" s="19" t="inlineStr">
        <is>
          <t>液体散货</t>
        </is>
      </c>
      <c r="E738" s="19" t="inlineStr">
        <is>
          <t>东亚</t>
        </is>
      </c>
      <c r="F738" s="19" t="inlineStr">
        <is>
          <t>05号泊位</t>
        </is>
      </c>
      <c r="G738" s="20" t="n">
        <v>13989</v>
      </c>
      <c r="H738" s="38" t="n">
        <v>7.88</v>
      </c>
      <c r="I738" s="38" t="n">
        <v>3.29</v>
      </c>
      <c r="J738" s="38" t="n">
        <v>9.710000000000001</v>
      </c>
      <c r="K738" s="20" t="n">
        <v>0</v>
      </c>
      <c r="L738" s="26">
        <f>IF(H738&lt;=J738,1,0)</f>
        <v>1</v>
      </c>
    </row>
    <row r="739">
      <c r="A739" s="24" t="inlineStr">
        <is>
          <t>QL-122-6</t>
        </is>
      </c>
      <c r="B739" s="39" t="n">
        <v>45779</v>
      </c>
      <c r="C739" s="40" t="inlineStr">
        <is>
          <t>出港</t>
        </is>
      </c>
      <c r="D739" s="24" t="inlineStr">
        <is>
          <t>件杂货</t>
        </is>
      </c>
      <c r="E739" s="24" t="inlineStr">
        <is>
          <t>东亚</t>
        </is>
      </c>
      <c r="F739" s="24" t="inlineStr">
        <is>
          <t>06号泊位</t>
        </is>
      </c>
      <c r="G739" s="25" t="n">
        <v>3491</v>
      </c>
      <c r="H739" s="41" t="n">
        <v>6.86</v>
      </c>
      <c r="I739" s="41" t="n">
        <v>3.41</v>
      </c>
      <c r="J739" s="41" t="n">
        <v>5.72</v>
      </c>
      <c r="K739" s="25" t="n">
        <v>0</v>
      </c>
      <c r="L739" s="26">
        <f>IF(H739&lt;=J739,1,0)</f>
        <v>0</v>
      </c>
    </row>
    <row r="740">
      <c r="A740" s="19" t="inlineStr">
        <is>
          <t>QL-123-1</t>
        </is>
      </c>
      <c r="B740" s="36" t="n">
        <v>45780</v>
      </c>
      <c r="C740" s="37" t="inlineStr">
        <is>
          <t>出港</t>
        </is>
      </c>
      <c r="D740" s="19" t="inlineStr">
        <is>
          <t>集装箱货物</t>
        </is>
      </c>
      <c r="E740" s="19" t="inlineStr">
        <is>
          <t>东南亚</t>
        </is>
      </c>
      <c r="F740" s="19" t="inlineStr">
        <is>
          <t>01号泊位</t>
        </is>
      </c>
      <c r="G740" s="20" t="n">
        <v>10725</v>
      </c>
      <c r="H740" s="38" t="n">
        <v>13.06</v>
      </c>
      <c r="I740" s="38" t="n">
        <v>4.13</v>
      </c>
      <c r="J740" s="38" t="n">
        <v>11.92</v>
      </c>
      <c r="K740" s="20" t="n">
        <v>809</v>
      </c>
      <c r="L740" s="26">
        <f>IF(H740&lt;=J740,1,0)</f>
        <v>0</v>
      </c>
    </row>
    <row r="741">
      <c r="A741" s="24" t="inlineStr">
        <is>
          <t>QL-123-2</t>
        </is>
      </c>
      <c r="B741" s="39" t="n">
        <v>45780</v>
      </c>
      <c r="C741" s="40" t="inlineStr">
        <is>
          <t>出港</t>
        </is>
      </c>
      <c r="D741" s="24" t="inlineStr">
        <is>
          <t>金属矿石</t>
        </is>
      </c>
      <c r="E741" s="24" t="inlineStr">
        <is>
          <t>东亚</t>
        </is>
      </c>
      <c r="F741" s="24" t="inlineStr">
        <is>
          <t>02号泊位</t>
        </is>
      </c>
      <c r="G741" s="25" t="n">
        <v>21481</v>
      </c>
      <c r="H741" s="41" t="n">
        <v>14.62</v>
      </c>
      <c r="I741" s="41" t="n">
        <v>2.56</v>
      </c>
      <c r="J741" s="41" t="n">
        <v>13.86</v>
      </c>
      <c r="K741" s="25" t="n">
        <v>0</v>
      </c>
      <c r="L741" s="26">
        <f>IF(H741&lt;=J741,1,0)</f>
        <v>0</v>
      </c>
    </row>
    <row r="742">
      <c r="A742" s="19" t="inlineStr">
        <is>
          <t>QL-123-3</t>
        </is>
      </c>
      <c r="B742" s="36" t="n">
        <v>45780</v>
      </c>
      <c r="C742" s="37" t="inlineStr">
        <is>
          <t>进港</t>
        </is>
      </c>
      <c r="D742" s="19" t="inlineStr">
        <is>
          <t>煤炭</t>
        </is>
      </c>
      <c r="E742" s="19" t="inlineStr">
        <is>
          <t>欧洲</t>
        </is>
      </c>
      <c r="F742" s="19" t="inlineStr">
        <is>
          <t>03号泊位</t>
        </is>
      </c>
      <c r="G742" s="20" t="n">
        <v>10739</v>
      </c>
      <c r="H742" s="38" t="n">
        <v>8.800000000000001</v>
      </c>
      <c r="I742" s="38" t="n">
        <v>3.54</v>
      </c>
      <c r="J742" s="38" t="n">
        <v>8.140000000000001</v>
      </c>
      <c r="K742" s="20" t="n">
        <v>0</v>
      </c>
      <c r="L742" s="26">
        <f>IF(H742&lt;=J742,1,0)</f>
        <v>0</v>
      </c>
    </row>
    <row r="743">
      <c r="A743" s="24" t="inlineStr">
        <is>
          <t>QL-123-4</t>
        </is>
      </c>
      <c r="B743" s="39" t="n">
        <v>45780</v>
      </c>
      <c r="C743" s="40" t="inlineStr">
        <is>
          <t>进港</t>
        </is>
      </c>
      <c r="D743" s="24" t="inlineStr">
        <is>
          <t>粮食</t>
        </is>
      </c>
      <c r="E743" s="24" t="inlineStr">
        <is>
          <t>国内沿海</t>
        </is>
      </c>
      <c r="F743" s="24" t="inlineStr">
        <is>
          <t>04号泊位</t>
        </is>
      </c>
      <c r="G743" s="25" t="n">
        <v>10093</v>
      </c>
      <c r="H743" s="41" t="n">
        <v>8.18</v>
      </c>
      <c r="I743" s="41" t="n">
        <v>1.78</v>
      </c>
      <c r="J743" s="41" t="n">
        <v>9.9</v>
      </c>
      <c r="K743" s="25" t="n">
        <v>0</v>
      </c>
      <c r="L743" s="26">
        <f>IF(H743&lt;=J743,1,0)</f>
        <v>1</v>
      </c>
    </row>
    <row r="744">
      <c r="A744" s="19" t="inlineStr">
        <is>
          <t>QL-123-5</t>
        </is>
      </c>
      <c r="B744" s="36" t="n">
        <v>45780</v>
      </c>
      <c r="C744" s="37" t="inlineStr">
        <is>
          <t>出港</t>
        </is>
      </c>
      <c r="D744" s="19" t="inlineStr">
        <is>
          <t>液体散货</t>
        </is>
      </c>
      <c r="E744" s="19" t="inlineStr">
        <is>
          <t>东南亚</t>
        </is>
      </c>
      <c r="F744" s="19" t="inlineStr">
        <is>
          <t>05号泊位</t>
        </is>
      </c>
      <c r="G744" s="20" t="n">
        <v>14308</v>
      </c>
      <c r="H744" s="38" t="n">
        <v>8.550000000000001</v>
      </c>
      <c r="I744" s="38" t="n">
        <v>8.16</v>
      </c>
      <c r="J744" s="38" t="n">
        <v>9.94</v>
      </c>
      <c r="K744" s="20" t="n">
        <v>0</v>
      </c>
      <c r="L744" s="26">
        <f>IF(H744&lt;=J744,1,0)</f>
        <v>1</v>
      </c>
    </row>
    <row r="745">
      <c r="A745" s="24" t="inlineStr">
        <is>
          <t>QL-123-6</t>
        </is>
      </c>
      <c r="B745" s="39" t="n">
        <v>45780</v>
      </c>
      <c r="C745" s="40" t="inlineStr">
        <is>
          <t>进港</t>
        </is>
      </c>
      <c r="D745" s="24" t="inlineStr">
        <is>
          <t>件杂货</t>
        </is>
      </c>
      <c r="E745" s="24" t="inlineStr">
        <is>
          <t>国内沿海</t>
        </is>
      </c>
      <c r="F745" s="24" t="inlineStr">
        <is>
          <t>06号泊位</t>
        </is>
      </c>
      <c r="G745" s="25" t="n">
        <v>5450</v>
      </c>
      <c r="H745" s="41" t="n">
        <v>9.869999999999999</v>
      </c>
      <c r="I745" s="41" t="n">
        <v>3.85</v>
      </c>
      <c r="J745" s="41" t="n">
        <v>8.93</v>
      </c>
      <c r="K745" s="25" t="n">
        <v>0</v>
      </c>
      <c r="L745" s="26">
        <f>IF(H745&lt;=J745,1,0)</f>
        <v>0</v>
      </c>
    </row>
    <row r="746">
      <c r="A746" s="19" t="inlineStr">
        <is>
          <t>QL-124-1</t>
        </is>
      </c>
      <c r="B746" s="36" t="n">
        <v>45781</v>
      </c>
      <c r="C746" s="37" t="inlineStr">
        <is>
          <t>出港</t>
        </is>
      </c>
      <c r="D746" s="19" t="inlineStr">
        <is>
          <t>集装箱货物</t>
        </is>
      </c>
      <c r="E746" s="19" t="inlineStr">
        <is>
          <t>国内沿海</t>
        </is>
      </c>
      <c r="F746" s="19" t="inlineStr">
        <is>
          <t>01号泊位</t>
        </is>
      </c>
      <c r="G746" s="20" t="n">
        <v>6028</v>
      </c>
      <c r="H746" s="38" t="n">
        <v>7.17</v>
      </c>
      <c r="I746" s="38" t="n">
        <v>1.61</v>
      </c>
      <c r="J746" s="38" t="n">
        <v>6.7</v>
      </c>
      <c r="K746" s="20" t="n">
        <v>383</v>
      </c>
      <c r="L746" s="26">
        <f>IF(H746&lt;=J746,1,0)</f>
        <v>0</v>
      </c>
    </row>
    <row r="747">
      <c r="A747" s="24" t="inlineStr">
        <is>
          <t>QL-124-2</t>
        </is>
      </c>
      <c r="B747" s="39" t="n">
        <v>45781</v>
      </c>
      <c r="C747" s="40" t="inlineStr">
        <is>
          <t>进港</t>
        </is>
      </c>
      <c r="D747" s="24" t="inlineStr">
        <is>
          <t>金属矿石</t>
        </is>
      </c>
      <c r="E747" s="24" t="inlineStr">
        <is>
          <t>欧洲</t>
        </is>
      </c>
      <c r="F747" s="24" t="inlineStr">
        <is>
          <t>02号泊位</t>
        </is>
      </c>
      <c r="G747" s="25" t="n">
        <v>25891</v>
      </c>
      <c r="H747" s="41" t="n">
        <v>15.97</v>
      </c>
      <c r="I747" s="41" t="n">
        <v>3.31</v>
      </c>
      <c r="J747" s="41" t="n">
        <v>16.7</v>
      </c>
      <c r="K747" s="25" t="n">
        <v>0</v>
      </c>
      <c r="L747" s="26">
        <f>IF(H747&lt;=J747,1,0)</f>
        <v>1</v>
      </c>
    </row>
    <row r="748">
      <c r="A748" s="19" t="inlineStr">
        <is>
          <t>QL-124-3</t>
        </is>
      </c>
      <c r="B748" s="36" t="n">
        <v>45781</v>
      </c>
      <c r="C748" s="37" t="inlineStr">
        <is>
          <t>进港</t>
        </is>
      </c>
      <c r="D748" s="19" t="inlineStr">
        <is>
          <t>煤炭</t>
        </is>
      </c>
      <c r="E748" s="19" t="inlineStr">
        <is>
          <t>北美</t>
        </is>
      </c>
      <c r="F748" s="19" t="inlineStr">
        <is>
          <t>03号泊位</t>
        </is>
      </c>
      <c r="G748" s="20" t="n">
        <v>12476</v>
      </c>
      <c r="H748" s="38" t="n">
        <v>8.33</v>
      </c>
      <c r="I748" s="38" t="n">
        <v>3.75</v>
      </c>
      <c r="J748" s="38" t="n">
        <v>9.449999999999999</v>
      </c>
      <c r="K748" s="20" t="n">
        <v>0</v>
      </c>
      <c r="L748" s="26">
        <f>IF(H748&lt;=J748,1,0)</f>
        <v>1</v>
      </c>
    </row>
    <row r="749">
      <c r="A749" s="24" t="inlineStr">
        <is>
          <t>QL-124-4</t>
        </is>
      </c>
      <c r="B749" s="39" t="n">
        <v>45781</v>
      </c>
      <c r="C749" s="40" t="inlineStr">
        <is>
          <t>出港</t>
        </is>
      </c>
      <c r="D749" s="24" t="inlineStr">
        <is>
          <t>粮食</t>
        </is>
      </c>
      <c r="E749" s="24" t="inlineStr">
        <is>
          <t>东亚</t>
        </is>
      </c>
      <c r="F749" s="24" t="inlineStr">
        <is>
          <t>04号泊位</t>
        </is>
      </c>
      <c r="G749" s="25" t="n">
        <v>7534</v>
      </c>
      <c r="H749" s="41" t="n">
        <v>6.94</v>
      </c>
      <c r="I749" s="41" t="n">
        <v>1.18</v>
      </c>
      <c r="J749" s="41" t="n">
        <v>7.39</v>
      </c>
      <c r="K749" s="25" t="n">
        <v>0</v>
      </c>
      <c r="L749" s="26">
        <f>IF(H749&lt;=J749,1,0)</f>
        <v>1</v>
      </c>
    </row>
    <row r="750">
      <c r="A750" s="19" t="inlineStr">
        <is>
          <t>QL-124-5</t>
        </is>
      </c>
      <c r="B750" s="36" t="n">
        <v>45781</v>
      </c>
      <c r="C750" s="37" t="inlineStr">
        <is>
          <t>出港</t>
        </is>
      </c>
      <c r="D750" s="19" t="inlineStr">
        <is>
          <t>液体散货</t>
        </is>
      </c>
      <c r="E750" s="19" t="inlineStr">
        <is>
          <t>东南亚</t>
        </is>
      </c>
      <c r="F750" s="19" t="inlineStr">
        <is>
          <t>05号泊位</t>
        </is>
      </c>
      <c r="G750" s="20" t="n">
        <v>8194</v>
      </c>
      <c r="H750" s="38" t="n">
        <v>4.98</v>
      </c>
      <c r="I750" s="38" t="n">
        <v>1.11</v>
      </c>
      <c r="J750" s="38" t="n">
        <v>5.69</v>
      </c>
      <c r="K750" s="20" t="n">
        <v>0</v>
      </c>
      <c r="L750" s="26">
        <f>IF(H750&lt;=J750,1,0)</f>
        <v>1</v>
      </c>
    </row>
    <row r="751">
      <c r="A751" s="24" t="inlineStr">
        <is>
          <t>QL-124-6</t>
        </is>
      </c>
      <c r="B751" s="39" t="n">
        <v>45781</v>
      </c>
      <c r="C751" s="40" t="inlineStr">
        <is>
          <t>进港</t>
        </is>
      </c>
      <c r="D751" s="24" t="inlineStr">
        <is>
          <t>件杂货</t>
        </is>
      </c>
      <c r="E751" s="24" t="inlineStr">
        <is>
          <t>欧洲</t>
        </is>
      </c>
      <c r="F751" s="24" t="inlineStr">
        <is>
          <t>06号泊位</t>
        </is>
      </c>
      <c r="G751" s="25" t="n">
        <v>6803</v>
      </c>
      <c r="H751" s="41" t="n">
        <v>11.6</v>
      </c>
      <c r="I751" s="41" t="n">
        <v>0.71</v>
      </c>
      <c r="J751" s="41" t="n">
        <v>11.15</v>
      </c>
      <c r="K751" s="25" t="n">
        <v>0</v>
      </c>
      <c r="L751" s="26">
        <f>IF(H751&lt;=J751,1,0)</f>
        <v>0</v>
      </c>
    </row>
    <row r="752">
      <c r="A752" s="19" t="inlineStr">
        <is>
          <t>QL-125-1</t>
        </is>
      </c>
      <c r="B752" s="36" t="n">
        <v>45782</v>
      </c>
      <c r="C752" s="37" t="inlineStr">
        <is>
          <t>出港</t>
        </is>
      </c>
      <c r="D752" s="19" t="inlineStr">
        <is>
          <t>集装箱货物</t>
        </is>
      </c>
      <c r="E752" s="19" t="inlineStr">
        <is>
          <t>东南亚</t>
        </is>
      </c>
      <c r="F752" s="19" t="inlineStr">
        <is>
          <t>01号泊位</t>
        </is>
      </c>
      <c r="G752" s="20" t="n">
        <v>7705</v>
      </c>
      <c r="H752" s="38" t="n">
        <v>9.99</v>
      </c>
      <c r="I752" s="38" t="n">
        <v>0.84</v>
      </c>
      <c r="J752" s="38" t="n">
        <v>8.56</v>
      </c>
      <c r="K752" s="20" t="n">
        <v>549</v>
      </c>
      <c r="L752" s="26">
        <f>IF(H752&lt;=J752,1,0)</f>
        <v>0</v>
      </c>
    </row>
    <row r="753">
      <c r="A753" s="24" t="inlineStr">
        <is>
          <t>QL-125-2</t>
        </is>
      </c>
      <c r="B753" s="39" t="n">
        <v>45782</v>
      </c>
      <c r="C753" s="40" t="inlineStr">
        <is>
          <t>出港</t>
        </is>
      </c>
      <c r="D753" s="24" t="inlineStr">
        <is>
          <t>金属矿石</t>
        </is>
      </c>
      <c r="E753" s="24" t="inlineStr">
        <is>
          <t>东亚</t>
        </is>
      </c>
      <c r="F753" s="24" t="inlineStr">
        <is>
          <t>02号泊位</t>
        </is>
      </c>
      <c r="G753" s="25" t="n">
        <v>23241</v>
      </c>
      <c r="H753" s="41" t="n">
        <v>14.69</v>
      </c>
      <c r="I753" s="41" t="n">
        <v>0.6</v>
      </c>
      <c r="J753" s="41" t="n">
        <v>14.99</v>
      </c>
      <c r="K753" s="25" t="n">
        <v>0</v>
      </c>
      <c r="L753" s="26">
        <f>IF(H753&lt;=J753,1,0)</f>
        <v>1</v>
      </c>
    </row>
    <row r="754">
      <c r="A754" s="19" t="inlineStr">
        <is>
          <t>QL-125-3</t>
        </is>
      </c>
      <c r="B754" s="36" t="n">
        <v>45782</v>
      </c>
      <c r="C754" s="37" t="inlineStr">
        <is>
          <t>出港</t>
        </is>
      </c>
      <c r="D754" s="19" t="inlineStr">
        <is>
          <t>煤炭</t>
        </is>
      </c>
      <c r="E754" s="19" t="inlineStr">
        <is>
          <t>东亚</t>
        </is>
      </c>
      <c r="F754" s="19" t="inlineStr">
        <is>
          <t>03号泊位</t>
        </is>
      </c>
      <c r="G754" s="20" t="n">
        <v>9468</v>
      </c>
      <c r="H754" s="38" t="n">
        <v>6.95</v>
      </c>
      <c r="I754" s="38" t="n">
        <v>2.67</v>
      </c>
      <c r="J754" s="38" t="n">
        <v>7.17</v>
      </c>
      <c r="K754" s="20" t="n">
        <v>0</v>
      </c>
      <c r="L754" s="26">
        <f>IF(H754&lt;=J754,1,0)</f>
        <v>1</v>
      </c>
    </row>
    <row r="755">
      <c r="A755" s="24" t="inlineStr">
        <is>
          <t>QL-125-4</t>
        </is>
      </c>
      <c r="B755" s="39" t="n">
        <v>45782</v>
      </c>
      <c r="C755" s="40" t="inlineStr">
        <is>
          <t>进港</t>
        </is>
      </c>
      <c r="D755" s="24" t="inlineStr">
        <is>
          <t>粮食</t>
        </is>
      </c>
      <c r="E755" s="24" t="inlineStr">
        <is>
          <t>欧洲</t>
        </is>
      </c>
      <c r="F755" s="24" t="inlineStr">
        <is>
          <t>04号泊位</t>
        </is>
      </c>
      <c r="G755" s="25" t="n">
        <v>7189</v>
      </c>
      <c r="H755" s="41" t="n">
        <v>6.24</v>
      </c>
      <c r="I755" s="41" t="n">
        <v>3.51</v>
      </c>
      <c r="J755" s="41" t="n">
        <v>7.05</v>
      </c>
      <c r="K755" s="25" t="n">
        <v>0</v>
      </c>
      <c r="L755" s="26">
        <f>IF(H755&lt;=J755,1,0)</f>
        <v>1</v>
      </c>
    </row>
    <row r="756">
      <c r="A756" s="19" t="inlineStr">
        <is>
          <t>QL-125-5</t>
        </is>
      </c>
      <c r="B756" s="36" t="n">
        <v>45782</v>
      </c>
      <c r="C756" s="37" t="inlineStr">
        <is>
          <t>进港</t>
        </is>
      </c>
      <c r="D756" s="19" t="inlineStr">
        <is>
          <t>液体散货</t>
        </is>
      </c>
      <c r="E756" s="19" t="inlineStr">
        <is>
          <t>东亚</t>
        </is>
      </c>
      <c r="F756" s="19" t="inlineStr">
        <is>
          <t>05号泊位</t>
        </is>
      </c>
      <c r="G756" s="20" t="n">
        <v>12591</v>
      </c>
      <c r="H756" s="38" t="n">
        <v>7.7</v>
      </c>
      <c r="I756" s="38" t="n">
        <v>2.06</v>
      </c>
      <c r="J756" s="38" t="n">
        <v>8.74</v>
      </c>
      <c r="K756" s="20" t="n">
        <v>0</v>
      </c>
      <c r="L756" s="26">
        <f>IF(H756&lt;=J756,1,0)</f>
        <v>1</v>
      </c>
    </row>
    <row r="757">
      <c r="A757" s="24" t="inlineStr">
        <is>
          <t>QL-125-6</t>
        </is>
      </c>
      <c r="B757" s="39" t="n">
        <v>45782</v>
      </c>
      <c r="C757" s="40" t="inlineStr">
        <is>
          <t>进港</t>
        </is>
      </c>
      <c r="D757" s="24" t="inlineStr">
        <is>
          <t>件杂货</t>
        </is>
      </c>
      <c r="E757" s="24" t="inlineStr">
        <is>
          <t>欧洲</t>
        </is>
      </c>
      <c r="F757" s="24" t="inlineStr">
        <is>
          <t>06号泊位</t>
        </is>
      </c>
      <c r="G757" s="25" t="n">
        <v>4307</v>
      </c>
      <c r="H757" s="41" t="n">
        <v>7.79</v>
      </c>
      <c r="I757" s="41" t="n">
        <v>3.14</v>
      </c>
      <c r="J757" s="41" t="n">
        <v>7.06</v>
      </c>
      <c r="K757" s="25" t="n">
        <v>0</v>
      </c>
      <c r="L757" s="26">
        <f>IF(H757&lt;=J757,1,0)</f>
        <v>0</v>
      </c>
    </row>
    <row r="758">
      <c r="A758" s="19" t="inlineStr">
        <is>
          <t>QL-126-1</t>
        </is>
      </c>
      <c r="B758" s="36" t="n">
        <v>45783</v>
      </c>
      <c r="C758" s="37" t="inlineStr">
        <is>
          <t>出港</t>
        </is>
      </c>
      <c r="D758" s="19" t="inlineStr">
        <is>
          <t>集装箱货物</t>
        </is>
      </c>
      <c r="E758" s="19" t="inlineStr">
        <is>
          <t>北美</t>
        </is>
      </c>
      <c r="F758" s="19" t="inlineStr">
        <is>
          <t>01号泊位</t>
        </is>
      </c>
      <c r="G758" s="20" t="n">
        <v>8158</v>
      </c>
      <c r="H758" s="38" t="n">
        <v>10.69</v>
      </c>
      <c r="I758" s="38" t="n">
        <v>1.98</v>
      </c>
      <c r="J758" s="38" t="n">
        <v>9.06</v>
      </c>
      <c r="K758" s="20" t="n">
        <v>508</v>
      </c>
      <c r="L758" s="26">
        <f>IF(H758&lt;=J758,1,0)</f>
        <v>0</v>
      </c>
    </row>
    <row r="759">
      <c r="A759" s="24" t="inlineStr">
        <is>
          <t>QL-126-2</t>
        </is>
      </c>
      <c r="B759" s="39" t="n">
        <v>45783</v>
      </c>
      <c r="C759" s="40" t="inlineStr">
        <is>
          <t>进港</t>
        </is>
      </c>
      <c r="D759" s="24" t="inlineStr">
        <is>
          <t>金属矿石</t>
        </is>
      </c>
      <c r="E759" s="24" t="inlineStr">
        <is>
          <t>欧洲</t>
        </is>
      </c>
      <c r="F759" s="24" t="inlineStr">
        <is>
          <t>02号泊位</t>
        </is>
      </c>
      <c r="G759" s="25" t="n">
        <v>17281</v>
      </c>
      <c r="H759" s="41" t="n">
        <v>11.17</v>
      </c>
      <c r="I759" s="41" t="n">
        <v>3.15</v>
      </c>
      <c r="J759" s="41" t="n">
        <v>11.15</v>
      </c>
      <c r="K759" s="25" t="n">
        <v>0</v>
      </c>
      <c r="L759" s="26">
        <f>IF(H759&lt;=J759,1,0)</f>
        <v>0</v>
      </c>
    </row>
    <row r="760">
      <c r="A760" s="19" t="inlineStr">
        <is>
          <t>QL-126-3</t>
        </is>
      </c>
      <c r="B760" s="36" t="n">
        <v>45783</v>
      </c>
      <c r="C760" s="37" t="inlineStr">
        <is>
          <t>进港</t>
        </is>
      </c>
      <c r="D760" s="19" t="inlineStr">
        <is>
          <t>煤炭</t>
        </is>
      </c>
      <c r="E760" s="19" t="inlineStr">
        <is>
          <t>欧洲</t>
        </is>
      </c>
      <c r="F760" s="19" t="inlineStr">
        <is>
          <t>03号泊位</t>
        </is>
      </c>
      <c r="G760" s="20" t="n">
        <v>9705</v>
      </c>
      <c r="H760" s="38" t="n">
        <v>5.99</v>
      </c>
      <c r="I760" s="38" t="n">
        <v>0.3</v>
      </c>
      <c r="J760" s="38" t="n">
        <v>7.35</v>
      </c>
      <c r="K760" s="20" t="n">
        <v>0</v>
      </c>
      <c r="L760" s="26">
        <f>IF(H760&lt;=J760,1,0)</f>
        <v>1</v>
      </c>
    </row>
    <row r="761">
      <c r="A761" s="24" t="inlineStr">
        <is>
          <t>QL-126-4</t>
        </is>
      </c>
      <c r="B761" s="39" t="n">
        <v>45783</v>
      </c>
      <c r="C761" s="40" t="inlineStr">
        <is>
          <t>出港</t>
        </is>
      </c>
      <c r="D761" s="24" t="inlineStr">
        <is>
          <t>粮食</t>
        </is>
      </c>
      <c r="E761" s="24" t="inlineStr">
        <is>
          <t>国内沿海</t>
        </is>
      </c>
      <c r="F761" s="24" t="inlineStr">
        <is>
          <t>04号泊位</t>
        </is>
      </c>
      <c r="G761" s="25" t="n">
        <v>6795</v>
      </c>
      <c r="H761" s="41" t="n">
        <v>7.52</v>
      </c>
      <c r="I761" s="41" t="n">
        <v>1.88</v>
      </c>
      <c r="J761" s="41" t="n">
        <v>6.66</v>
      </c>
      <c r="K761" s="25" t="n">
        <v>0</v>
      </c>
      <c r="L761" s="26">
        <f>IF(H761&lt;=J761,1,0)</f>
        <v>0</v>
      </c>
    </row>
    <row r="762">
      <c r="A762" s="19" t="inlineStr">
        <is>
          <t>QL-126-5</t>
        </is>
      </c>
      <c r="B762" s="36" t="n">
        <v>45783</v>
      </c>
      <c r="C762" s="37" t="inlineStr">
        <is>
          <t>进港</t>
        </is>
      </c>
      <c r="D762" s="19" t="inlineStr">
        <is>
          <t>液体散货</t>
        </is>
      </c>
      <c r="E762" s="19" t="inlineStr">
        <is>
          <t>东亚</t>
        </is>
      </c>
      <c r="F762" s="19" t="inlineStr">
        <is>
          <t>05号泊位</t>
        </is>
      </c>
      <c r="G762" s="20" t="n">
        <v>9022</v>
      </c>
      <c r="H762" s="38" t="n">
        <v>5.94</v>
      </c>
      <c r="I762" s="38" t="n">
        <v>0.3</v>
      </c>
      <c r="J762" s="38" t="n">
        <v>6.27</v>
      </c>
      <c r="K762" s="20" t="n">
        <v>0</v>
      </c>
      <c r="L762" s="26">
        <f>IF(H762&lt;=J762,1,0)</f>
        <v>1</v>
      </c>
    </row>
    <row r="763">
      <c r="A763" s="24" t="inlineStr">
        <is>
          <t>QL-126-6</t>
        </is>
      </c>
      <c r="B763" s="39" t="n">
        <v>45783</v>
      </c>
      <c r="C763" s="40" t="inlineStr">
        <is>
          <t>出港</t>
        </is>
      </c>
      <c r="D763" s="24" t="inlineStr">
        <is>
          <t>件杂货</t>
        </is>
      </c>
      <c r="E763" s="24" t="inlineStr">
        <is>
          <t>东亚</t>
        </is>
      </c>
      <c r="F763" s="24" t="inlineStr">
        <is>
          <t>06号泊位</t>
        </is>
      </c>
      <c r="G763" s="25" t="n">
        <v>4127</v>
      </c>
      <c r="H763" s="41" t="n">
        <v>7.1</v>
      </c>
      <c r="I763" s="41" t="n">
        <v>1.93</v>
      </c>
      <c r="J763" s="41" t="n">
        <v>6.77</v>
      </c>
      <c r="K763" s="25" t="n">
        <v>0</v>
      </c>
      <c r="L763" s="26">
        <f>IF(H763&lt;=J763,1,0)</f>
        <v>0</v>
      </c>
    </row>
    <row r="764">
      <c r="A764" s="19" t="inlineStr">
        <is>
          <t>QL-127-1</t>
        </is>
      </c>
      <c r="B764" s="36" t="n">
        <v>45784</v>
      </c>
      <c r="C764" s="37" t="inlineStr">
        <is>
          <t>出港</t>
        </is>
      </c>
      <c r="D764" s="19" t="inlineStr">
        <is>
          <t>集装箱货物</t>
        </is>
      </c>
      <c r="E764" s="19" t="inlineStr">
        <is>
          <t>东南亚</t>
        </is>
      </c>
      <c r="F764" s="19" t="inlineStr">
        <is>
          <t>01号泊位</t>
        </is>
      </c>
      <c r="G764" s="20" t="n">
        <v>5591</v>
      </c>
      <c r="H764" s="38" t="n">
        <v>6.02</v>
      </c>
      <c r="I764" s="38" t="n">
        <v>1.35</v>
      </c>
      <c r="J764" s="38" t="n">
        <v>6.21</v>
      </c>
      <c r="K764" s="20" t="n">
        <v>372</v>
      </c>
      <c r="L764" s="26">
        <f>IF(H764&lt;=J764,1,0)</f>
        <v>1</v>
      </c>
    </row>
    <row r="765">
      <c r="A765" s="24" t="inlineStr">
        <is>
          <t>QL-127-2</t>
        </is>
      </c>
      <c r="B765" s="39" t="n">
        <v>45784</v>
      </c>
      <c r="C765" s="40" t="inlineStr">
        <is>
          <t>进港</t>
        </is>
      </c>
      <c r="D765" s="24" t="inlineStr">
        <is>
          <t>金属矿石</t>
        </is>
      </c>
      <c r="E765" s="24" t="inlineStr">
        <is>
          <t>国内沿海</t>
        </is>
      </c>
      <c r="F765" s="24" t="inlineStr">
        <is>
          <t>02号泊位</t>
        </is>
      </c>
      <c r="G765" s="25" t="n">
        <v>14819</v>
      </c>
      <c r="H765" s="41" t="n">
        <v>8.18</v>
      </c>
      <c r="I765" s="41" t="n">
        <v>2.9</v>
      </c>
      <c r="J765" s="41" t="n">
        <v>9.56</v>
      </c>
      <c r="K765" s="25" t="n">
        <v>0</v>
      </c>
      <c r="L765" s="26">
        <f>IF(H765&lt;=J765,1,0)</f>
        <v>1</v>
      </c>
    </row>
    <row r="766">
      <c r="A766" s="19" t="inlineStr">
        <is>
          <t>QL-127-3</t>
        </is>
      </c>
      <c r="B766" s="36" t="n">
        <v>45784</v>
      </c>
      <c r="C766" s="37" t="inlineStr">
        <is>
          <t>进港</t>
        </is>
      </c>
      <c r="D766" s="19" t="inlineStr">
        <is>
          <t>煤炭</t>
        </is>
      </c>
      <c r="E766" s="19" t="inlineStr">
        <is>
          <t>东南亚</t>
        </is>
      </c>
      <c r="F766" s="19" t="inlineStr">
        <is>
          <t>03号泊位</t>
        </is>
      </c>
      <c r="G766" s="20" t="n">
        <v>15073</v>
      </c>
      <c r="H766" s="38" t="n">
        <v>9.92</v>
      </c>
      <c r="I766" s="38" t="n">
        <v>0.86</v>
      </c>
      <c r="J766" s="38" t="n">
        <v>11.42</v>
      </c>
      <c r="K766" s="20" t="n">
        <v>0</v>
      </c>
      <c r="L766" s="26">
        <f>IF(H766&lt;=J766,1,0)</f>
        <v>1</v>
      </c>
    </row>
    <row r="767">
      <c r="A767" s="24" t="inlineStr">
        <is>
          <t>QL-127-4</t>
        </is>
      </c>
      <c r="B767" s="39" t="n">
        <v>45784</v>
      </c>
      <c r="C767" s="40" t="inlineStr">
        <is>
          <t>出港</t>
        </is>
      </c>
      <c r="D767" s="24" t="inlineStr">
        <is>
          <t>粮食</t>
        </is>
      </c>
      <c r="E767" s="24" t="inlineStr">
        <is>
          <t>东亚</t>
        </is>
      </c>
      <c r="F767" s="24" t="inlineStr">
        <is>
          <t>04号泊位</t>
        </is>
      </c>
      <c r="G767" s="25" t="n">
        <v>8920</v>
      </c>
      <c r="H767" s="41" t="n">
        <v>9.779999999999999</v>
      </c>
      <c r="I767" s="41" t="n">
        <v>4.98</v>
      </c>
      <c r="J767" s="41" t="n">
        <v>8.75</v>
      </c>
      <c r="K767" s="25" t="n">
        <v>0</v>
      </c>
      <c r="L767" s="26">
        <f>IF(H767&lt;=J767,1,0)</f>
        <v>0</v>
      </c>
    </row>
    <row r="768">
      <c r="A768" s="19" t="inlineStr">
        <is>
          <t>QL-127-5</t>
        </is>
      </c>
      <c r="B768" s="36" t="n">
        <v>45784</v>
      </c>
      <c r="C768" s="37" t="inlineStr">
        <is>
          <t>进港</t>
        </is>
      </c>
      <c r="D768" s="19" t="inlineStr">
        <is>
          <t>液体散货</t>
        </is>
      </c>
      <c r="E768" s="19" t="inlineStr">
        <is>
          <t>东南亚</t>
        </is>
      </c>
      <c r="F768" s="19" t="inlineStr">
        <is>
          <t>05号泊位</t>
        </is>
      </c>
      <c r="G768" s="20" t="n">
        <v>8322</v>
      </c>
      <c r="H768" s="38" t="n">
        <v>6.66</v>
      </c>
      <c r="I768" s="38" t="n">
        <v>0.91</v>
      </c>
      <c r="J768" s="38" t="n">
        <v>5.78</v>
      </c>
      <c r="K768" s="20" t="n">
        <v>0</v>
      </c>
      <c r="L768" s="26">
        <f>IF(H768&lt;=J768,1,0)</f>
        <v>0</v>
      </c>
    </row>
    <row r="769">
      <c r="A769" s="24" t="inlineStr">
        <is>
          <t>QL-127-6</t>
        </is>
      </c>
      <c r="B769" s="39" t="n">
        <v>45784</v>
      </c>
      <c r="C769" s="40" t="inlineStr">
        <is>
          <t>进港</t>
        </is>
      </c>
      <c r="D769" s="24" t="inlineStr">
        <is>
          <t>件杂货</t>
        </is>
      </c>
      <c r="E769" s="24" t="inlineStr">
        <is>
          <t>国内沿海</t>
        </is>
      </c>
      <c r="F769" s="24" t="inlineStr">
        <is>
          <t>06号泊位</t>
        </is>
      </c>
      <c r="G769" s="25" t="n">
        <v>3719</v>
      </c>
      <c r="H769" s="41" t="n">
        <v>6.15</v>
      </c>
      <c r="I769" s="41" t="n">
        <v>2.45</v>
      </c>
      <c r="J769" s="41" t="n">
        <v>6.1</v>
      </c>
      <c r="K769" s="25" t="n">
        <v>0</v>
      </c>
      <c r="L769" s="26">
        <f>IF(H769&lt;=J769,1,0)</f>
        <v>0</v>
      </c>
    </row>
    <row r="770">
      <c r="A770" s="19" t="inlineStr">
        <is>
          <t>QL-128-1</t>
        </is>
      </c>
      <c r="B770" s="36" t="n">
        <v>45785</v>
      </c>
      <c r="C770" s="37" t="inlineStr">
        <is>
          <t>进港</t>
        </is>
      </c>
      <c r="D770" s="19" t="inlineStr">
        <is>
          <t>集装箱货物</t>
        </is>
      </c>
      <c r="E770" s="19" t="inlineStr">
        <is>
          <t>东亚</t>
        </is>
      </c>
      <c r="F770" s="19" t="inlineStr">
        <is>
          <t>01号泊位</t>
        </is>
      </c>
      <c r="G770" s="20" t="n">
        <v>5759</v>
      </c>
      <c r="H770" s="38" t="n">
        <v>5.53</v>
      </c>
      <c r="I770" s="38" t="n">
        <v>1.84</v>
      </c>
      <c r="J770" s="38" t="n">
        <v>6.4</v>
      </c>
      <c r="K770" s="20" t="n">
        <v>362</v>
      </c>
      <c r="L770" s="26">
        <f>IF(H770&lt;=J770,1,0)</f>
        <v>1</v>
      </c>
    </row>
    <row r="771">
      <c r="A771" s="24" t="inlineStr">
        <is>
          <t>QL-128-2</t>
        </is>
      </c>
      <c r="B771" s="39" t="n">
        <v>45785</v>
      </c>
      <c r="C771" s="40" t="inlineStr">
        <is>
          <t>进港</t>
        </is>
      </c>
      <c r="D771" s="24" t="inlineStr">
        <is>
          <t>金属矿石</t>
        </is>
      </c>
      <c r="E771" s="24" t="inlineStr">
        <is>
          <t>国内沿海</t>
        </is>
      </c>
      <c r="F771" s="24" t="inlineStr">
        <is>
          <t>02号泊位</t>
        </is>
      </c>
      <c r="G771" s="25" t="n">
        <v>18758</v>
      </c>
      <c r="H771" s="41" t="n">
        <v>12.83</v>
      </c>
      <c r="I771" s="41" t="n">
        <v>1.05</v>
      </c>
      <c r="J771" s="41" t="n">
        <v>12.1</v>
      </c>
      <c r="K771" s="25" t="n">
        <v>0</v>
      </c>
      <c r="L771" s="26">
        <f>IF(H771&lt;=J771,1,0)</f>
        <v>0</v>
      </c>
    </row>
    <row r="772">
      <c r="A772" s="19" t="inlineStr">
        <is>
          <t>QL-128-3</t>
        </is>
      </c>
      <c r="B772" s="36" t="n">
        <v>45785</v>
      </c>
      <c r="C772" s="37" t="inlineStr">
        <is>
          <t>出港</t>
        </is>
      </c>
      <c r="D772" s="19" t="inlineStr">
        <is>
          <t>煤炭</t>
        </is>
      </c>
      <c r="E772" s="19" t="inlineStr">
        <is>
          <t>欧洲</t>
        </is>
      </c>
      <c r="F772" s="19" t="inlineStr">
        <is>
          <t>03号泊位</t>
        </is>
      </c>
      <c r="G772" s="20" t="n">
        <v>15471</v>
      </c>
      <c r="H772" s="38" t="n">
        <v>12.99</v>
      </c>
      <c r="I772" s="38" t="n">
        <v>2.25</v>
      </c>
      <c r="J772" s="38" t="n">
        <v>11.72</v>
      </c>
      <c r="K772" s="20" t="n">
        <v>0</v>
      </c>
      <c r="L772" s="26">
        <f>IF(H772&lt;=J772,1,0)</f>
        <v>0</v>
      </c>
    </row>
    <row r="773">
      <c r="A773" s="24" t="inlineStr">
        <is>
          <t>QL-128-4</t>
        </is>
      </c>
      <c r="B773" s="39" t="n">
        <v>45785</v>
      </c>
      <c r="C773" s="40" t="inlineStr">
        <is>
          <t>进港</t>
        </is>
      </c>
      <c r="D773" s="24" t="inlineStr">
        <is>
          <t>粮食</t>
        </is>
      </c>
      <c r="E773" s="24" t="inlineStr">
        <is>
          <t>东亚</t>
        </is>
      </c>
      <c r="F773" s="24" t="inlineStr">
        <is>
          <t>04号泊位</t>
        </is>
      </c>
      <c r="G773" s="25" t="n">
        <v>5961</v>
      </c>
      <c r="H773" s="41" t="n">
        <v>6.56</v>
      </c>
      <c r="I773" s="41" t="n">
        <v>9.17</v>
      </c>
      <c r="J773" s="41" t="n">
        <v>5.84</v>
      </c>
      <c r="K773" s="25" t="n">
        <v>0</v>
      </c>
      <c r="L773" s="26">
        <f>IF(H773&lt;=J773,1,0)</f>
        <v>0</v>
      </c>
    </row>
    <row r="774">
      <c r="A774" s="19" t="inlineStr">
        <is>
          <t>QL-128-5</t>
        </is>
      </c>
      <c r="B774" s="36" t="n">
        <v>45785</v>
      </c>
      <c r="C774" s="37" t="inlineStr">
        <is>
          <t>进港</t>
        </is>
      </c>
      <c r="D774" s="19" t="inlineStr">
        <is>
          <t>液体散货</t>
        </is>
      </c>
      <c r="E774" s="19" t="inlineStr">
        <is>
          <t>欧洲</t>
        </is>
      </c>
      <c r="F774" s="19" t="inlineStr">
        <is>
          <t>05号泊位</t>
        </is>
      </c>
      <c r="G774" s="20" t="n">
        <v>7792</v>
      </c>
      <c r="H774" s="38" t="n">
        <v>5.26</v>
      </c>
      <c r="I774" s="38" t="n">
        <v>0.36</v>
      </c>
      <c r="J774" s="38" t="n">
        <v>5.41</v>
      </c>
      <c r="K774" s="20" t="n">
        <v>0</v>
      </c>
      <c r="L774" s="26">
        <f>IF(H774&lt;=J774,1,0)</f>
        <v>1</v>
      </c>
    </row>
    <row r="775">
      <c r="A775" s="24" t="inlineStr">
        <is>
          <t>QL-128-6</t>
        </is>
      </c>
      <c r="B775" s="39" t="n">
        <v>45785</v>
      </c>
      <c r="C775" s="40" t="inlineStr">
        <is>
          <t>出港</t>
        </is>
      </c>
      <c r="D775" s="24" t="inlineStr">
        <is>
          <t>件杂货</t>
        </is>
      </c>
      <c r="E775" s="24" t="inlineStr">
        <is>
          <t>东南亚</t>
        </is>
      </c>
      <c r="F775" s="24" t="inlineStr">
        <is>
          <t>06号泊位</t>
        </is>
      </c>
      <c r="G775" s="25" t="n">
        <v>3781</v>
      </c>
      <c r="H775" s="41" t="n">
        <v>6.75</v>
      </c>
      <c r="I775" s="41" t="n">
        <v>2.75</v>
      </c>
      <c r="J775" s="41" t="n">
        <v>6.2</v>
      </c>
      <c r="K775" s="25" t="n">
        <v>0</v>
      </c>
      <c r="L775" s="26">
        <f>IF(H775&lt;=J775,1,0)</f>
        <v>0</v>
      </c>
    </row>
    <row r="776">
      <c r="A776" s="19" t="inlineStr">
        <is>
          <t>QL-129-1</t>
        </is>
      </c>
      <c r="B776" s="36" t="n">
        <v>45786</v>
      </c>
      <c r="C776" s="37" t="inlineStr">
        <is>
          <t>出港</t>
        </is>
      </c>
      <c r="D776" s="19" t="inlineStr">
        <is>
          <t>集装箱货物</t>
        </is>
      </c>
      <c r="E776" s="19" t="inlineStr">
        <is>
          <t>国内沿海</t>
        </is>
      </c>
      <c r="F776" s="19" t="inlineStr">
        <is>
          <t>01号泊位</t>
        </is>
      </c>
      <c r="G776" s="20" t="n">
        <v>11700</v>
      </c>
      <c r="H776" s="38" t="n">
        <v>13.11</v>
      </c>
      <c r="I776" s="38" t="n">
        <v>6.66</v>
      </c>
      <c r="J776" s="38" t="n">
        <v>13</v>
      </c>
      <c r="K776" s="20" t="n">
        <v>817</v>
      </c>
      <c r="L776" s="26">
        <f>IF(H776&lt;=J776,1,0)</f>
        <v>0</v>
      </c>
    </row>
    <row r="777">
      <c r="A777" s="24" t="inlineStr">
        <is>
          <t>QL-129-2</t>
        </is>
      </c>
      <c r="B777" s="39" t="n">
        <v>45786</v>
      </c>
      <c r="C777" s="40" t="inlineStr">
        <is>
          <t>进港</t>
        </is>
      </c>
      <c r="D777" s="24" t="inlineStr">
        <is>
          <t>金属矿石</t>
        </is>
      </c>
      <c r="E777" s="24" t="inlineStr">
        <is>
          <t>欧洲</t>
        </is>
      </c>
      <c r="F777" s="24" t="inlineStr">
        <is>
          <t>02号泊位</t>
        </is>
      </c>
      <c r="G777" s="25" t="n">
        <v>17671</v>
      </c>
      <c r="H777" s="41" t="n">
        <v>11.19</v>
      </c>
      <c r="I777" s="41" t="n">
        <v>1.12</v>
      </c>
      <c r="J777" s="41" t="n">
        <v>11.4</v>
      </c>
      <c r="K777" s="25" t="n">
        <v>0</v>
      </c>
      <c r="L777" s="26">
        <f>IF(H777&lt;=J777,1,0)</f>
        <v>1</v>
      </c>
    </row>
    <row r="778">
      <c r="A778" s="19" t="inlineStr">
        <is>
          <t>QL-129-3</t>
        </is>
      </c>
      <c r="B778" s="36" t="n">
        <v>45786</v>
      </c>
      <c r="C778" s="37" t="inlineStr">
        <is>
          <t>进港</t>
        </is>
      </c>
      <c r="D778" s="19" t="inlineStr">
        <is>
          <t>煤炭</t>
        </is>
      </c>
      <c r="E778" s="19" t="inlineStr">
        <is>
          <t>东南亚</t>
        </is>
      </c>
      <c r="F778" s="19" t="inlineStr">
        <is>
          <t>03号泊位</t>
        </is>
      </c>
      <c r="G778" s="20" t="n">
        <v>9673</v>
      </c>
      <c r="H778" s="38" t="n">
        <v>8.26</v>
      </c>
      <c r="I778" s="38" t="n">
        <v>3.81</v>
      </c>
      <c r="J778" s="38" t="n">
        <v>7.33</v>
      </c>
      <c r="K778" s="20" t="n">
        <v>0</v>
      </c>
      <c r="L778" s="26">
        <f>IF(H778&lt;=J778,1,0)</f>
        <v>0</v>
      </c>
    </row>
    <row r="779">
      <c r="A779" s="24" t="inlineStr">
        <is>
          <t>QL-129-4</t>
        </is>
      </c>
      <c r="B779" s="39" t="n">
        <v>45786</v>
      </c>
      <c r="C779" s="40" t="inlineStr">
        <is>
          <t>进港</t>
        </is>
      </c>
      <c r="D779" s="24" t="inlineStr">
        <is>
          <t>粮食</t>
        </is>
      </c>
      <c r="E779" s="24" t="inlineStr">
        <is>
          <t>东亚</t>
        </is>
      </c>
      <c r="F779" s="24" t="inlineStr">
        <is>
          <t>04号泊位</t>
        </is>
      </c>
      <c r="G779" s="25" t="n">
        <v>7850</v>
      </c>
      <c r="H779" s="41" t="n">
        <v>6.92</v>
      </c>
      <c r="I779" s="41" t="n">
        <v>1.26</v>
      </c>
      <c r="J779" s="41" t="n">
        <v>7.7</v>
      </c>
      <c r="K779" s="25" t="n">
        <v>0</v>
      </c>
      <c r="L779" s="26">
        <f>IF(H779&lt;=J779,1,0)</f>
        <v>1</v>
      </c>
    </row>
    <row r="780">
      <c r="A780" s="19" t="inlineStr">
        <is>
          <t>QL-129-5</t>
        </is>
      </c>
      <c r="B780" s="36" t="n">
        <v>45786</v>
      </c>
      <c r="C780" s="37" t="inlineStr">
        <is>
          <t>进港</t>
        </is>
      </c>
      <c r="D780" s="19" t="inlineStr">
        <is>
          <t>液体散货</t>
        </is>
      </c>
      <c r="E780" s="19" t="inlineStr">
        <is>
          <t>北美</t>
        </is>
      </c>
      <c r="F780" s="19" t="inlineStr">
        <is>
          <t>05号泊位</t>
        </is>
      </c>
      <c r="G780" s="20" t="n">
        <v>7448</v>
      </c>
      <c r="H780" s="38" t="n">
        <v>5.14</v>
      </c>
      <c r="I780" s="38" t="n">
        <v>1.54</v>
      </c>
      <c r="J780" s="38" t="n">
        <v>5.17</v>
      </c>
      <c r="K780" s="20" t="n">
        <v>0</v>
      </c>
      <c r="L780" s="26">
        <f>IF(H780&lt;=J780,1,0)</f>
        <v>1</v>
      </c>
    </row>
    <row r="781">
      <c r="A781" s="24" t="inlineStr">
        <is>
          <t>QL-129-6</t>
        </is>
      </c>
      <c r="B781" s="39" t="n">
        <v>45786</v>
      </c>
      <c r="C781" s="40" t="inlineStr">
        <is>
          <t>进港</t>
        </is>
      </c>
      <c r="D781" s="24" t="inlineStr">
        <is>
          <t>件杂货</t>
        </is>
      </c>
      <c r="E781" s="24" t="inlineStr">
        <is>
          <t>东亚</t>
        </is>
      </c>
      <c r="F781" s="24" t="inlineStr">
        <is>
          <t>06号泊位</t>
        </is>
      </c>
      <c r="G781" s="25" t="n">
        <v>4941</v>
      </c>
      <c r="H781" s="41" t="n">
        <v>9.65</v>
      </c>
      <c r="I781" s="41" t="n">
        <v>2.12</v>
      </c>
      <c r="J781" s="41" t="n">
        <v>8.1</v>
      </c>
      <c r="K781" s="25" t="n">
        <v>0</v>
      </c>
      <c r="L781" s="26">
        <f>IF(H781&lt;=J781,1,0)</f>
        <v>0</v>
      </c>
    </row>
    <row r="782">
      <c r="A782" s="19" t="inlineStr">
        <is>
          <t>QL-130-1</t>
        </is>
      </c>
      <c r="B782" s="36" t="n">
        <v>45787</v>
      </c>
      <c r="C782" s="37" t="inlineStr">
        <is>
          <t>出港</t>
        </is>
      </c>
      <c r="D782" s="19" t="inlineStr">
        <is>
          <t>集装箱货物</t>
        </is>
      </c>
      <c r="E782" s="19" t="inlineStr">
        <is>
          <t>国内沿海</t>
        </is>
      </c>
      <c r="F782" s="19" t="inlineStr">
        <is>
          <t>01号泊位</t>
        </is>
      </c>
      <c r="G782" s="20" t="n">
        <v>6904</v>
      </c>
      <c r="H782" s="38" t="n">
        <v>7.45</v>
      </c>
      <c r="I782" s="38" t="n">
        <v>3.16</v>
      </c>
      <c r="J782" s="38" t="n">
        <v>7.67</v>
      </c>
      <c r="K782" s="20" t="n">
        <v>541</v>
      </c>
      <c r="L782" s="26">
        <f>IF(H782&lt;=J782,1,0)</f>
        <v>1</v>
      </c>
    </row>
    <row r="783">
      <c r="A783" s="24" t="inlineStr">
        <is>
          <t>QL-130-2</t>
        </is>
      </c>
      <c r="B783" s="39" t="n">
        <v>45787</v>
      </c>
      <c r="C783" s="40" t="inlineStr">
        <is>
          <t>进港</t>
        </is>
      </c>
      <c r="D783" s="24" t="inlineStr">
        <is>
          <t>金属矿石</t>
        </is>
      </c>
      <c r="E783" s="24" t="inlineStr">
        <is>
          <t>东南亚</t>
        </is>
      </c>
      <c r="F783" s="24" t="inlineStr">
        <is>
          <t>02号泊位</t>
        </is>
      </c>
      <c r="G783" s="25" t="n">
        <v>10302</v>
      </c>
      <c r="H783" s="41" t="n">
        <v>6.65</v>
      </c>
      <c r="I783" s="41" t="n">
        <v>0.3</v>
      </c>
      <c r="J783" s="41" t="n">
        <v>6.65</v>
      </c>
      <c r="K783" s="25" t="n">
        <v>0</v>
      </c>
      <c r="L783" s="26">
        <f>IF(H783&lt;=J783,1,0)</f>
        <v>1</v>
      </c>
    </row>
    <row r="784">
      <c r="A784" s="19" t="inlineStr">
        <is>
          <t>QL-130-3</t>
        </is>
      </c>
      <c r="B784" s="36" t="n">
        <v>45787</v>
      </c>
      <c r="C784" s="37" t="inlineStr">
        <is>
          <t>出港</t>
        </is>
      </c>
      <c r="D784" s="19" t="inlineStr">
        <is>
          <t>煤炭</t>
        </is>
      </c>
      <c r="E784" s="19" t="inlineStr">
        <is>
          <t>国内沿海</t>
        </is>
      </c>
      <c r="F784" s="19" t="inlineStr">
        <is>
          <t>03号泊位</t>
        </is>
      </c>
      <c r="G784" s="20" t="n">
        <v>13089</v>
      </c>
      <c r="H784" s="38" t="n">
        <v>9.16</v>
      </c>
      <c r="I784" s="38" t="n">
        <v>1.72</v>
      </c>
      <c r="J784" s="38" t="n">
        <v>9.92</v>
      </c>
      <c r="K784" s="20" t="n">
        <v>0</v>
      </c>
      <c r="L784" s="26">
        <f>IF(H784&lt;=J784,1,0)</f>
        <v>1</v>
      </c>
    </row>
    <row r="785">
      <c r="A785" s="24" t="inlineStr">
        <is>
          <t>QL-130-4</t>
        </is>
      </c>
      <c r="B785" s="39" t="n">
        <v>45787</v>
      </c>
      <c r="C785" s="40" t="inlineStr">
        <is>
          <t>进港</t>
        </is>
      </c>
      <c r="D785" s="24" t="inlineStr">
        <is>
          <t>粮食</t>
        </is>
      </c>
      <c r="E785" s="24" t="inlineStr">
        <is>
          <t>国内沿海</t>
        </is>
      </c>
      <c r="F785" s="24" t="inlineStr">
        <is>
          <t>04号泊位</t>
        </is>
      </c>
      <c r="G785" s="25" t="n">
        <v>8715</v>
      </c>
      <c r="H785" s="41" t="n">
        <v>9.56</v>
      </c>
      <c r="I785" s="41" t="n">
        <v>3.47</v>
      </c>
      <c r="J785" s="41" t="n">
        <v>8.539999999999999</v>
      </c>
      <c r="K785" s="25" t="n">
        <v>0</v>
      </c>
      <c r="L785" s="26">
        <f>IF(H785&lt;=J785,1,0)</f>
        <v>0</v>
      </c>
    </row>
    <row r="786">
      <c r="A786" s="19" t="inlineStr">
        <is>
          <t>QL-130-5</t>
        </is>
      </c>
      <c r="B786" s="36" t="n">
        <v>45787</v>
      </c>
      <c r="C786" s="37" t="inlineStr">
        <is>
          <t>出港</t>
        </is>
      </c>
      <c r="D786" s="19" t="inlineStr">
        <is>
          <t>液体散货</t>
        </is>
      </c>
      <c r="E786" s="19" t="inlineStr">
        <is>
          <t>国内沿海</t>
        </is>
      </c>
      <c r="F786" s="19" t="inlineStr">
        <is>
          <t>05号泊位</t>
        </is>
      </c>
      <c r="G786" s="20" t="n">
        <v>12294</v>
      </c>
      <c r="H786" s="38" t="n">
        <v>7.41</v>
      </c>
      <c r="I786" s="38" t="n">
        <v>0.8100000000000001</v>
      </c>
      <c r="J786" s="38" t="n">
        <v>8.539999999999999</v>
      </c>
      <c r="K786" s="20" t="n">
        <v>0</v>
      </c>
      <c r="L786" s="26">
        <f>IF(H786&lt;=J786,1,0)</f>
        <v>1</v>
      </c>
    </row>
    <row r="787">
      <c r="A787" s="24" t="inlineStr">
        <is>
          <t>QL-130-6</t>
        </is>
      </c>
      <c r="B787" s="39" t="n">
        <v>45787</v>
      </c>
      <c r="C787" s="40" t="inlineStr">
        <is>
          <t>出港</t>
        </is>
      </c>
      <c r="D787" s="24" t="inlineStr">
        <is>
          <t>件杂货</t>
        </is>
      </c>
      <c r="E787" s="24" t="inlineStr">
        <is>
          <t>国内沿海</t>
        </is>
      </c>
      <c r="F787" s="24" t="inlineStr">
        <is>
          <t>06号泊位</t>
        </is>
      </c>
      <c r="G787" s="25" t="n">
        <v>4967</v>
      </c>
      <c r="H787" s="41" t="n">
        <v>7.17</v>
      </c>
      <c r="I787" s="41" t="n">
        <v>4.32</v>
      </c>
      <c r="J787" s="41" t="n">
        <v>8.140000000000001</v>
      </c>
      <c r="K787" s="25" t="n">
        <v>0</v>
      </c>
      <c r="L787" s="26">
        <f>IF(H787&lt;=J787,1,0)</f>
        <v>1</v>
      </c>
    </row>
    <row r="788">
      <c r="A788" s="19" t="inlineStr">
        <is>
          <t>QL-131-1</t>
        </is>
      </c>
      <c r="B788" s="36" t="n">
        <v>45788</v>
      </c>
      <c r="C788" s="37" t="inlineStr">
        <is>
          <t>出港</t>
        </is>
      </c>
      <c r="D788" s="19" t="inlineStr">
        <is>
          <t>集装箱货物</t>
        </is>
      </c>
      <c r="E788" s="19" t="inlineStr">
        <is>
          <t>欧洲</t>
        </is>
      </c>
      <c r="F788" s="19" t="inlineStr">
        <is>
          <t>01号泊位</t>
        </is>
      </c>
      <c r="G788" s="20" t="n">
        <v>7749</v>
      </c>
      <c r="H788" s="38" t="n">
        <v>9.630000000000001</v>
      </c>
      <c r="I788" s="38" t="n">
        <v>5.26</v>
      </c>
      <c r="J788" s="38" t="n">
        <v>8.609999999999999</v>
      </c>
      <c r="K788" s="20" t="n">
        <v>497</v>
      </c>
      <c r="L788" s="26">
        <f>IF(H788&lt;=J788,1,0)</f>
        <v>0</v>
      </c>
    </row>
    <row r="789">
      <c r="A789" s="24" t="inlineStr">
        <is>
          <t>QL-131-2</t>
        </is>
      </c>
      <c r="B789" s="39" t="n">
        <v>45788</v>
      </c>
      <c r="C789" s="40" t="inlineStr">
        <is>
          <t>进港</t>
        </is>
      </c>
      <c r="D789" s="24" t="inlineStr">
        <is>
          <t>金属矿石</t>
        </is>
      </c>
      <c r="E789" s="24" t="inlineStr">
        <is>
          <t>东亚</t>
        </is>
      </c>
      <c r="F789" s="24" t="inlineStr">
        <is>
          <t>02号泊位</t>
        </is>
      </c>
      <c r="G789" s="25" t="n">
        <v>10918</v>
      </c>
      <c r="H789" s="41" t="n">
        <v>5.83</v>
      </c>
      <c r="I789" s="41" t="n">
        <v>1.81</v>
      </c>
      <c r="J789" s="41" t="n">
        <v>7.04</v>
      </c>
      <c r="K789" s="25" t="n">
        <v>0</v>
      </c>
      <c r="L789" s="26">
        <f>IF(H789&lt;=J789,1,0)</f>
        <v>1</v>
      </c>
    </row>
    <row r="790">
      <c r="A790" s="19" t="inlineStr">
        <is>
          <t>QL-131-3</t>
        </is>
      </c>
      <c r="B790" s="36" t="n">
        <v>45788</v>
      </c>
      <c r="C790" s="37" t="inlineStr">
        <is>
          <t>进港</t>
        </is>
      </c>
      <c r="D790" s="19" t="inlineStr">
        <is>
          <t>煤炭</t>
        </is>
      </c>
      <c r="E790" s="19" t="inlineStr">
        <is>
          <t>东南亚</t>
        </is>
      </c>
      <c r="F790" s="19" t="inlineStr">
        <is>
          <t>03号泊位</t>
        </is>
      </c>
      <c r="G790" s="20" t="n">
        <v>11941</v>
      </c>
      <c r="H790" s="38" t="n">
        <v>7.37</v>
      </c>
      <c r="I790" s="38" t="n">
        <v>1.78</v>
      </c>
      <c r="J790" s="38" t="n">
        <v>9.050000000000001</v>
      </c>
      <c r="K790" s="20" t="n">
        <v>0</v>
      </c>
      <c r="L790" s="26">
        <f>IF(H790&lt;=J790,1,0)</f>
        <v>1</v>
      </c>
    </row>
    <row r="791">
      <c r="A791" s="24" t="inlineStr">
        <is>
          <t>QL-131-4</t>
        </is>
      </c>
      <c r="B791" s="39" t="n">
        <v>45788</v>
      </c>
      <c r="C791" s="40" t="inlineStr">
        <is>
          <t>进港</t>
        </is>
      </c>
      <c r="D791" s="24" t="inlineStr">
        <is>
          <t>粮食</t>
        </is>
      </c>
      <c r="E791" s="24" t="inlineStr">
        <is>
          <t>国内沿海</t>
        </is>
      </c>
      <c r="F791" s="24" t="inlineStr">
        <is>
          <t>04号泊位</t>
        </is>
      </c>
      <c r="G791" s="25" t="n">
        <v>5972</v>
      </c>
      <c r="H791" s="41" t="n">
        <v>5.9</v>
      </c>
      <c r="I791" s="41" t="n">
        <v>2.98</v>
      </c>
      <c r="J791" s="41" t="n">
        <v>5.85</v>
      </c>
      <c r="K791" s="25" t="n">
        <v>0</v>
      </c>
      <c r="L791" s="26">
        <f>IF(H791&lt;=J791,1,0)</f>
        <v>0</v>
      </c>
    </row>
    <row r="792">
      <c r="A792" s="19" t="inlineStr">
        <is>
          <t>QL-131-5</t>
        </is>
      </c>
      <c r="B792" s="36" t="n">
        <v>45788</v>
      </c>
      <c r="C792" s="37" t="inlineStr">
        <is>
          <t>进港</t>
        </is>
      </c>
      <c r="D792" s="19" t="inlineStr">
        <is>
          <t>液体散货</t>
        </is>
      </c>
      <c r="E792" s="19" t="inlineStr">
        <is>
          <t>东南亚</t>
        </is>
      </c>
      <c r="F792" s="19" t="inlineStr">
        <is>
          <t>05号泊位</t>
        </is>
      </c>
      <c r="G792" s="20" t="n">
        <v>12521</v>
      </c>
      <c r="H792" s="38" t="n">
        <v>9.08</v>
      </c>
      <c r="I792" s="38" t="n">
        <v>0.3</v>
      </c>
      <c r="J792" s="38" t="n">
        <v>8.699999999999999</v>
      </c>
      <c r="K792" s="20" t="n">
        <v>0</v>
      </c>
      <c r="L792" s="26">
        <f>IF(H792&lt;=J792,1,0)</f>
        <v>0</v>
      </c>
    </row>
    <row r="793">
      <c r="A793" s="24" t="inlineStr">
        <is>
          <t>QL-131-6</t>
        </is>
      </c>
      <c r="B793" s="39" t="n">
        <v>45788</v>
      </c>
      <c r="C793" s="40" t="inlineStr">
        <is>
          <t>出港</t>
        </is>
      </c>
      <c r="D793" s="24" t="inlineStr">
        <is>
          <t>件杂货</t>
        </is>
      </c>
      <c r="E793" s="24" t="inlineStr">
        <is>
          <t>东南亚</t>
        </is>
      </c>
      <c r="F793" s="24" t="inlineStr">
        <is>
          <t>06号泊位</t>
        </is>
      </c>
      <c r="G793" s="25" t="n">
        <v>4024</v>
      </c>
      <c r="H793" s="41" t="n">
        <v>5.61</v>
      </c>
      <c r="I793" s="41" t="n">
        <v>1.56</v>
      </c>
      <c r="J793" s="41" t="n">
        <v>6.6</v>
      </c>
      <c r="K793" s="25" t="n">
        <v>0</v>
      </c>
      <c r="L793" s="26">
        <f>IF(H793&lt;=J793,1,0)</f>
        <v>1</v>
      </c>
    </row>
    <row r="794">
      <c r="A794" s="19" t="inlineStr">
        <is>
          <t>QL-132-1</t>
        </is>
      </c>
      <c r="B794" s="36" t="n">
        <v>45789</v>
      </c>
      <c r="C794" s="37" t="inlineStr">
        <is>
          <t>出港</t>
        </is>
      </c>
      <c r="D794" s="19" t="inlineStr">
        <is>
          <t>集装箱货物</t>
        </is>
      </c>
      <c r="E794" s="19" t="inlineStr">
        <is>
          <t>北美</t>
        </is>
      </c>
      <c r="F794" s="19" t="inlineStr">
        <is>
          <t>01号泊位</t>
        </is>
      </c>
      <c r="G794" s="20" t="n">
        <v>14822</v>
      </c>
      <c r="H794" s="38" t="n">
        <v>19.09</v>
      </c>
      <c r="I794" s="38" t="n">
        <v>0.3</v>
      </c>
      <c r="J794" s="38" t="n">
        <v>16.47</v>
      </c>
      <c r="K794" s="20" t="n">
        <v>902</v>
      </c>
      <c r="L794" s="26">
        <f>IF(H794&lt;=J794,1,0)</f>
        <v>0</v>
      </c>
    </row>
    <row r="795">
      <c r="A795" s="24" t="inlineStr">
        <is>
          <t>QL-132-2</t>
        </is>
      </c>
      <c r="B795" s="39" t="n">
        <v>45789</v>
      </c>
      <c r="C795" s="40" t="inlineStr">
        <is>
          <t>进港</t>
        </is>
      </c>
      <c r="D795" s="24" t="inlineStr">
        <is>
          <t>金属矿石</t>
        </is>
      </c>
      <c r="E795" s="24" t="inlineStr">
        <is>
          <t>东南亚</t>
        </is>
      </c>
      <c r="F795" s="24" t="inlineStr">
        <is>
          <t>02号泊位</t>
        </is>
      </c>
      <c r="G795" s="25" t="n">
        <v>13959</v>
      </c>
      <c r="H795" s="41" t="n">
        <v>8.94</v>
      </c>
      <c r="I795" s="41" t="n">
        <v>1.1</v>
      </c>
      <c r="J795" s="41" t="n">
        <v>9.01</v>
      </c>
      <c r="K795" s="25" t="n">
        <v>0</v>
      </c>
      <c r="L795" s="26">
        <f>IF(H795&lt;=J795,1,0)</f>
        <v>1</v>
      </c>
    </row>
    <row r="796">
      <c r="A796" s="19" t="inlineStr">
        <is>
          <t>QL-132-3</t>
        </is>
      </c>
      <c r="B796" s="36" t="n">
        <v>45789</v>
      </c>
      <c r="C796" s="37" t="inlineStr">
        <is>
          <t>进港</t>
        </is>
      </c>
      <c r="D796" s="19" t="inlineStr">
        <is>
          <t>煤炭</t>
        </is>
      </c>
      <c r="E796" s="19" t="inlineStr">
        <is>
          <t>国内沿海</t>
        </is>
      </c>
      <c r="F796" s="19" t="inlineStr">
        <is>
          <t>03号泊位</t>
        </is>
      </c>
      <c r="G796" s="20" t="n">
        <v>15571</v>
      </c>
      <c r="H796" s="38" t="n">
        <v>10.98</v>
      </c>
      <c r="I796" s="38" t="n">
        <v>3.87</v>
      </c>
      <c r="J796" s="38" t="n">
        <v>11.8</v>
      </c>
      <c r="K796" s="20" t="n">
        <v>0</v>
      </c>
      <c r="L796" s="26">
        <f>IF(H796&lt;=J796,1,0)</f>
        <v>1</v>
      </c>
    </row>
    <row r="797">
      <c r="A797" s="24" t="inlineStr">
        <is>
          <t>QL-132-4</t>
        </is>
      </c>
      <c r="B797" s="39" t="n">
        <v>45789</v>
      </c>
      <c r="C797" s="40" t="inlineStr">
        <is>
          <t>进港</t>
        </is>
      </c>
      <c r="D797" s="24" t="inlineStr">
        <is>
          <t>粮食</t>
        </is>
      </c>
      <c r="E797" s="24" t="inlineStr">
        <is>
          <t>东亚</t>
        </is>
      </c>
      <c r="F797" s="24" t="inlineStr">
        <is>
          <t>04号泊位</t>
        </is>
      </c>
      <c r="G797" s="25" t="n">
        <v>12400</v>
      </c>
      <c r="H797" s="41" t="n">
        <v>11.03</v>
      </c>
      <c r="I797" s="41" t="n">
        <v>0.34</v>
      </c>
      <c r="J797" s="41" t="n">
        <v>12.16</v>
      </c>
      <c r="K797" s="25" t="n">
        <v>0</v>
      </c>
      <c r="L797" s="26">
        <f>IF(H797&lt;=J797,1,0)</f>
        <v>1</v>
      </c>
    </row>
    <row r="798">
      <c r="A798" s="19" t="inlineStr">
        <is>
          <t>QL-132-5</t>
        </is>
      </c>
      <c r="B798" s="36" t="n">
        <v>45789</v>
      </c>
      <c r="C798" s="37" t="inlineStr">
        <is>
          <t>进港</t>
        </is>
      </c>
      <c r="D798" s="19" t="inlineStr">
        <is>
          <t>液体散货</t>
        </is>
      </c>
      <c r="E798" s="19" t="inlineStr">
        <is>
          <t>东南亚</t>
        </is>
      </c>
      <c r="F798" s="19" t="inlineStr">
        <is>
          <t>05号泊位</t>
        </is>
      </c>
      <c r="G798" s="20" t="n">
        <v>15335</v>
      </c>
      <c r="H798" s="38" t="n">
        <v>11.19</v>
      </c>
      <c r="I798" s="38" t="n">
        <v>1.75</v>
      </c>
      <c r="J798" s="38" t="n">
        <v>10.65</v>
      </c>
      <c r="K798" s="20" t="n">
        <v>0</v>
      </c>
      <c r="L798" s="26">
        <f>IF(H798&lt;=J798,1,0)</f>
        <v>0</v>
      </c>
    </row>
    <row r="799">
      <c r="A799" s="24" t="inlineStr">
        <is>
          <t>QL-132-6</t>
        </is>
      </c>
      <c r="B799" s="39" t="n">
        <v>45789</v>
      </c>
      <c r="C799" s="40" t="inlineStr">
        <is>
          <t>出港</t>
        </is>
      </c>
      <c r="D799" s="24" t="inlineStr">
        <is>
          <t>件杂货</t>
        </is>
      </c>
      <c r="E799" s="24" t="inlineStr">
        <is>
          <t>国内沿海</t>
        </is>
      </c>
      <c r="F799" s="24" t="inlineStr">
        <is>
          <t>06号泊位</t>
        </is>
      </c>
      <c r="G799" s="25" t="n">
        <v>2858</v>
      </c>
      <c r="H799" s="41" t="n">
        <v>5.2</v>
      </c>
      <c r="I799" s="41" t="n">
        <v>4.79</v>
      </c>
      <c r="J799" s="41" t="n">
        <v>4.69</v>
      </c>
      <c r="K799" s="25" t="n">
        <v>0</v>
      </c>
      <c r="L799" s="26">
        <f>IF(H799&lt;=J799,1,0)</f>
        <v>0</v>
      </c>
    </row>
    <row r="800">
      <c r="A800" s="19" t="inlineStr">
        <is>
          <t>QL-133-1</t>
        </is>
      </c>
      <c r="B800" s="36" t="n">
        <v>45790</v>
      </c>
      <c r="C800" s="37" t="inlineStr">
        <is>
          <t>出港</t>
        </is>
      </c>
      <c r="D800" s="19" t="inlineStr">
        <is>
          <t>集装箱货物</t>
        </is>
      </c>
      <c r="E800" s="19" t="inlineStr">
        <is>
          <t>北美</t>
        </is>
      </c>
      <c r="F800" s="19" t="inlineStr">
        <is>
          <t>01号泊位</t>
        </is>
      </c>
      <c r="G800" s="20" t="n">
        <v>9146</v>
      </c>
      <c r="H800" s="38" t="n">
        <v>12.38</v>
      </c>
      <c r="I800" s="38" t="n">
        <v>4.39</v>
      </c>
      <c r="J800" s="38" t="n">
        <v>10.16</v>
      </c>
      <c r="K800" s="20" t="n">
        <v>701</v>
      </c>
      <c r="L800" s="26">
        <f>IF(H800&lt;=J800,1,0)</f>
        <v>0</v>
      </c>
    </row>
    <row r="801">
      <c r="A801" s="24" t="inlineStr">
        <is>
          <t>QL-133-2</t>
        </is>
      </c>
      <c r="B801" s="39" t="n">
        <v>45790</v>
      </c>
      <c r="C801" s="40" t="inlineStr">
        <is>
          <t>进港</t>
        </is>
      </c>
      <c r="D801" s="24" t="inlineStr">
        <is>
          <t>金属矿石</t>
        </is>
      </c>
      <c r="E801" s="24" t="inlineStr">
        <is>
          <t>国内沿海</t>
        </is>
      </c>
      <c r="F801" s="24" t="inlineStr">
        <is>
          <t>02号泊位</t>
        </is>
      </c>
      <c r="G801" s="25" t="n">
        <v>11209</v>
      </c>
      <c r="H801" s="41" t="n">
        <v>6.16</v>
      </c>
      <c r="I801" s="41" t="n">
        <v>2.07</v>
      </c>
      <c r="J801" s="41" t="n">
        <v>7.23</v>
      </c>
      <c r="K801" s="25" t="n">
        <v>0</v>
      </c>
      <c r="L801" s="26">
        <f>IF(H801&lt;=J801,1,0)</f>
        <v>1</v>
      </c>
    </row>
    <row r="802">
      <c r="A802" s="19" t="inlineStr">
        <is>
          <t>QL-133-3</t>
        </is>
      </c>
      <c r="B802" s="36" t="n">
        <v>45790</v>
      </c>
      <c r="C802" s="37" t="inlineStr">
        <is>
          <t>进港</t>
        </is>
      </c>
      <c r="D802" s="19" t="inlineStr">
        <is>
          <t>煤炭</t>
        </is>
      </c>
      <c r="E802" s="19" t="inlineStr">
        <is>
          <t>东南亚</t>
        </is>
      </c>
      <c r="F802" s="19" t="inlineStr">
        <is>
          <t>03号泊位</t>
        </is>
      </c>
      <c r="G802" s="20" t="n">
        <v>9159</v>
      </c>
      <c r="H802" s="38" t="n">
        <v>6.13</v>
      </c>
      <c r="I802" s="38" t="n">
        <v>7.57</v>
      </c>
      <c r="J802" s="38" t="n">
        <v>6.94</v>
      </c>
      <c r="K802" s="20" t="n">
        <v>0</v>
      </c>
      <c r="L802" s="26">
        <f>IF(H802&lt;=J802,1,0)</f>
        <v>1</v>
      </c>
    </row>
    <row r="803">
      <c r="A803" s="24" t="inlineStr">
        <is>
          <t>QL-133-4</t>
        </is>
      </c>
      <c r="B803" s="39" t="n">
        <v>45790</v>
      </c>
      <c r="C803" s="40" t="inlineStr">
        <is>
          <t>出港</t>
        </is>
      </c>
      <c r="D803" s="24" t="inlineStr">
        <is>
          <t>粮食</t>
        </is>
      </c>
      <c r="E803" s="24" t="inlineStr">
        <is>
          <t>东亚</t>
        </is>
      </c>
      <c r="F803" s="24" t="inlineStr">
        <is>
          <t>04号泊位</t>
        </is>
      </c>
      <c r="G803" s="25" t="n">
        <v>5820</v>
      </c>
      <c r="H803" s="41" t="n">
        <v>5.01</v>
      </c>
      <c r="I803" s="41" t="n">
        <v>1.23</v>
      </c>
      <c r="J803" s="41" t="n">
        <v>5.71</v>
      </c>
      <c r="K803" s="25" t="n">
        <v>0</v>
      </c>
      <c r="L803" s="26">
        <f>IF(H803&lt;=J803,1,0)</f>
        <v>1</v>
      </c>
    </row>
    <row r="804">
      <c r="A804" s="19" t="inlineStr">
        <is>
          <t>QL-133-5</t>
        </is>
      </c>
      <c r="B804" s="36" t="n">
        <v>45790</v>
      </c>
      <c r="C804" s="37" t="inlineStr">
        <is>
          <t>出港</t>
        </is>
      </c>
      <c r="D804" s="19" t="inlineStr">
        <is>
          <t>液体散货</t>
        </is>
      </c>
      <c r="E804" s="19" t="inlineStr">
        <is>
          <t>北美</t>
        </is>
      </c>
      <c r="F804" s="19" t="inlineStr">
        <is>
          <t>05号泊位</t>
        </is>
      </c>
      <c r="G804" s="20" t="n">
        <v>20691</v>
      </c>
      <c r="H804" s="38" t="n">
        <v>11.85</v>
      </c>
      <c r="I804" s="38" t="n">
        <v>0.38</v>
      </c>
      <c r="J804" s="38" t="n">
        <v>14.37</v>
      </c>
      <c r="K804" s="20" t="n">
        <v>0</v>
      </c>
      <c r="L804" s="26">
        <f>IF(H804&lt;=J804,1,0)</f>
        <v>1</v>
      </c>
    </row>
    <row r="805">
      <c r="A805" s="24" t="inlineStr">
        <is>
          <t>QL-133-6</t>
        </is>
      </c>
      <c r="B805" s="39" t="n">
        <v>45790</v>
      </c>
      <c r="C805" s="40" t="inlineStr">
        <is>
          <t>进港</t>
        </is>
      </c>
      <c r="D805" s="24" t="inlineStr">
        <is>
          <t>件杂货</t>
        </is>
      </c>
      <c r="E805" s="24" t="inlineStr">
        <is>
          <t>国内沿海</t>
        </is>
      </c>
      <c r="F805" s="24" t="inlineStr">
        <is>
          <t>06号泊位</t>
        </is>
      </c>
      <c r="G805" s="25" t="n">
        <v>4807</v>
      </c>
      <c r="H805" s="41" t="n">
        <v>8.220000000000001</v>
      </c>
      <c r="I805" s="41" t="n">
        <v>3.22</v>
      </c>
      <c r="J805" s="41" t="n">
        <v>7.88</v>
      </c>
      <c r="K805" s="25" t="n">
        <v>0</v>
      </c>
      <c r="L805" s="26">
        <f>IF(H805&lt;=J805,1,0)</f>
        <v>0</v>
      </c>
    </row>
    <row r="806">
      <c r="A806" s="19" t="inlineStr">
        <is>
          <t>QL-134-1</t>
        </is>
      </c>
      <c r="B806" s="36" t="n">
        <v>45791</v>
      </c>
      <c r="C806" s="37" t="inlineStr">
        <is>
          <t>出港</t>
        </is>
      </c>
      <c r="D806" s="19" t="inlineStr">
        <is>
          <t>集装箱货物</t>
        </is>
      </c>
      <c r="E806" s="19" t="inlineStr">
        <is>
          <t>东亚</t>
        </is>
      </c>
      <c r="F806" s="19" t="inlineStr">
        <is>
          <t>01号泊位</t>
        </is>
      </c>
      <c r="G806" s="20" t="n">
        <v>11899</v>
      </c>
      <c r="H806" s="38" t="n">
        <v>12.51</v>
      </c>
      <c r="I806" s="38" t="n">
        <v>6.36</v>
      </c>
      <c r="J806" s="38" t="n">
        <v>13.22</v>
      </c>
      <c r="K806" s="20" t="n">
        <v>851</v>
      </c>
      <c r="L806" s="26">
        <f>IF(H806&lt;=J806,1,0)</f>
        <v>1</v>
      </c>
    </row>
    <row r="807">
      <c r="A807" s="24" t="inlineStr">
        <is>
          <t>QL-134-2</t>
        </is>
      </c>
      <c r="B807" s="39" t="n">
        <v>45791</v>
      </c>
      <c r="C807" s="40" t="inlineStr">
        <is>
          <t>出港</t>
        </is>
      </c>
      <c r="D807" s="24" t="inlineStr">
        <is>
          <t>金属矿石</t>
        </is>
      </c>
      <c r="E807" s="24" t="inlineStr">
        <is>
          <t>东亚</t>
        </is>
      </c>
      <c r="F807" s="24" t="inlineStr">
        <is>
          <t>02号泊位</t>
        </is>
      </c>
      <c r="G807" s="25" t="n">
        <v>10064</v>
      </c>
      <c r="H807" s="41" t="n">
        <v>5.95</v>
      </c>
      <c r="I807" s="41" t="n">
        <v>2.15</v>
      </c>
      <c r="J807" s="41" t="n">
        <v>6.49</v>
      </c>
      <c r="K807" s="25" t="n">
        <v>0</v>
      </c>
      <c r="L807" s="26">
        <f>IF(H807&lt;=J807,1,0)</f>
        <v>1</v>
      </c>
    </row>
    <row r="808">
      <c r="A808" s="19" t="inlineStr">
        <is>
          <t>QL-134-3</t>
        </is>
      </c>
      <c r="B808" s="36" t="n">
        <v>45791</v>
      </c>
      <c r="C808" s="37" t="inlineStr">
        <is>
          <t>出港</t>
        </is>
      </c>
      <c r="D808" s="19" t="inlineStr">
        <is>
          <t>煤炭</t>
        </is>
      </c>
      <c r="E808" s="19" t="inlineStr">
        <is>
          <t>欧洲</t>
        </is>
      </c>
      <c r="F808" s="19" t="inlineStr">
        <is>
          <t>03号泊位</t>
        </is>
      </c>
      <c r="G808" s="20" t="n">
        <v>13042</v>
      </c>
      <c r="H808" s="38" t="n">
        <v>8.73</v>
      </c>
      <c r="I808" s="38" t="n">
        <v>0.72</v>
      </c>
      <c r="J808" s="38" t="n">
        <v>9.880000000000001</v>
      </c>
      <c r="K808" s="20" t="n">
        <v>0</v>
      </c>
      <c r="L808" s="26">
        <f>IF(H808&lt;=J808,1,0)</f>
        <v>1</v>
      </c>
    </row>
    <row r="809">
      <c r="A809" s="24" t="inlineStr">
        <is>
          <t>QL-134-4</t>
        </is>
      </c>
      <c r="B809" s="39" t="n">
        <v>45791</v>
      </c>
      <c r="C809" s="40" t="inlineStr">
        <is>
          <t>进港</t>
        </is>
      </c>
      <c r="D809" s="24" t="inlineStr">
        <is>
          <t>粮食</t>
        </is>
      </c>
      <c r="E809" s="24" t="inlineStr">
        <is>
          <t>国内沿海</t>
        </is>
      </c>
      <c r="F809" s="24" t="inlineStr">
        <is>
          <t>04号泊位</t>
        </is>
      </c>
      <c r="G809" s="25" t="n">
        <v>7168</v>
      </c>
      <c r="H809" s="41" t="n">
        <v>6.6</v>
      </c>
      <c r="I809" s="41" t="n">
        <v>5.05</v>
      </c>
      <c r="J809" s="41" t="n">
        <v>7.03</v>
      </c>
      <c r="K809" s="25" t="n">
        <v>0</v>
      </c>
      <c r="L809" s="26">
        <f>IF(H809&lt;=J809,1,0)</f>
        <v>1</v>
      </c>
    </row>
    <row r="810">
      <c r="A810" s="19" t="inlineStr">
        <is>
          <t>QL-134-5</t>
        </is>
      </c>
      <c r="B810" s="36" t="n">
        <v>45791</v>
      </c>
      <c r="C810" s="37" t="inlineStr">
        <is>
          <t>进港</t>
        </is>
      </c>
      <c r="D810" s="19" t="inlineStr">
        <is>
          <t>液体散货</t>
        </is>
      </c>
      <c r="E810" s="19" t="inlineStr">
        <is>
          <t>东南亚</t>
        </is>
      </c>
      <c r="F810" s="19" t="inlineStr">
        <is>
          <t>05号泊位</t>
        </is>
      </c>
      <c r="G810" s="20" t="n">
        <v>18071</v>
      </c>
      <c r="H810" s="38" t="n">
        <v>10.68</v>
      </c>
      <c r="I810" s="38" t="n">
        <v>4.41</v>
      </c>
      <c r="J810" s="38" t="n">
        <v>12.55</v>
      </c>
      <c r="K810" s="20" t="n">
        <v>0</v>
      </c>
      <c r="L810" s="26">
        <f>IF(H810&lt;=J810,1,0)</f>
        <v>1</v>
      </c>
    </row>
    <row r="811">
      <c r="A811" s="24" t="inlineStr">
        <is>
          <t>QL-134-6</t>
        </is>
      </c>
      <c r="B811" s="39" t="n">
        <v>45791</v>
      </c>
      <c r="C811" s="40" t="inlineStr">
        <is>
          <t>出港</t>
        </is>
      </c>
      <c r="D811" s="24" t="inlineStr">
        <is>
          <t>件杂货</t>
        </is>
      </c>
      <c r="E811" s="24" t="inlineStr">
        <is>
          <t>欧洲</t>
        </is>
      </c>
      <c r="F811" s="24" t="inlineStr">
        <is>
          <t>06号泊位</t>
        </is>
      </c>
      <c r="G811" s="25" t="n">
        <v>8140</v>
      </c>
      <c r="H811" s="41" t="n">
        <v>14.33</v>
      </c>
      <c r="I811" s="41" t="n">
        <v>1.49</v>
      </c>
      <c r="J811" s="41" t="n">
        <v>13.34</v>
      </c>
      <c r="K811" s="25" t="n">
        <v>0</v>
      </c>
      <c r="L811" s="26">
        <f>IF(H811&lt;=J811,1,0)</f>
        <v>0</v>
      </c>
    </row>
    <row r="812">
      <c r="A812" s="19" t="inlineStr">
        <is>
          <t>QL-135-1</t>
        </is>
      </c>
      <c r="B812" s="36" t="n">
        <v>45792</v>
      </c>
      <c r="C812" s="37" t="inlineStr">
        <is>
          <t>出港</t>
        </is>
      </c>
      <c r="D812" s="19" t="inlineStr">
        <is>
          <t>集装箱货物</t>
        </is>
      </c>
      <c r="E812" s="19" t="inlineStr">
        <is>
          <t>北美</t>
        </is>
      </c>
      <c r="F812" s="19" t="inlineStr">
        <is>
          <t>01号泊位</t>
        </is>
      </c>
      <c r="G812" s="20" t="n">
        <v>14002</v>
      </c>
      <c r="H812" s="38" t="n">
        <v>17.7</v>
      </c>
      <c r="I812" s="38" t="n">
        <v>3.49</v>
      </c>
      <c r="J812" s="38" t="n">
        <v>15.56</v>
      </c>
      <c r="K812" s="20" t="n">
        <v>1136</v>
      </c>
      <c r="L812" s="26">
        <f>IF(H812&lt;=J812,1,0)</f>
        <v>0</v>
      </c>
    </row>
    <row r="813">
      <c r="A813" s="24" t="inlineStr">
        <is>
          <t>QL-135-2</t>
        </is>
      </c>
      <c r="B813" s="39" t="n">
        <v>45792</v>
      </c>
      <c r="C813" s="40" t="inlineStr">
        <is>
          <t>进港</t>
        </is>
      </c>
      <c r="D813" s="24" t="inlineStr">
        <is>
          <t>金属矿石</t>
        </is>
      </c>
      <c r="E813" s="24" t="inlineStr">
        <is>
          <t>东南亚</t>
        </is>
      </c>
      <c r="F813" s="24" t="inlineStr">
        <is>
          <t>02号泊位</t>
        </is>
      </c>
      <c r="G813" s="25" t="n">
        <v>10491</v>
      </c>
      <c r="H813" s="41" t="n">
        <v>7.79</v>
      </c>
      <c r="I813" s="41" t="n">
        <v>1.78</v>
      </c>
      <c r="J813" s="41" t="n">
        <v>6.77</v>
      </c>
      <c r="K813" s="25" t="n">
        <v>0</v>
      </c>
      <c r="L813" s="26">
        <f>IF(H813&lt;=J813,1,0)</f>
        <v>0</v>
      </c>
    </row>
    <row r="814">
      <c r="A814" s="19" t="inlineStr">
        <is>
          <t>QL-135-3</t>
        </is>
      </c>
      <c r="B814" s="36" t="n">
        <v>45792</v>
      </c>
      <c r="C814" s="37" t="inlineStr">
        <is>
          <t>出港</t>
        </is>
      </c>
      <c r="D814" s="19" t="inlineStr">
        <is>
          <t>煤炭</t>
        </is>
      </c>
      <c r="E814" s="19" t="inlineStr">
        <is>
          <t>北美</t>
        </is>
      </c>
      <c r="F814" s="19" t="inlineStr">
        <is>
          <t>03号泊位</t>
        </is>
      </c>
      <c r="G814" s="20" t="n">
        <v>20560</v>
      </c>
      <c r="H814" s="38" t="n">
        <v>13.68</v>
      </c>
      <c r="I814" s="38" t="n">
        <v>1.2</v>
      </c>
      <c r="J814" s="38" t="n">
        <v>15.58</v>
      </c>
      <c r="K814" s="20" t="n">
        <v>0</v>
      </c>
      <c r="L814" s="26">
        <f>IF(H814&lt;=J814,1,0)</f>
        <v>1</v>
      </c>
    </row>
    <row r="815">
      <c r="A815" s="24" t="inlineStr">
        <is>
          <t>QL-135-4</t>
        </is>
      </c>
      <c r="B815" s="39" t="n">
        <v>45792</v>
      </c>
      <c r="C815" s="40" t="inlineStr">
        <is>
          <t>进港</t>
        </is>
      </c>
      <c r="D815" s="24" t="inlineStr">
        <is>
          <t>粮食</t>
        </is>
      </c>
      <c r="E815" s="24" t="inlineStr">
        <is>
          <t>东亚</t>
        </is>
      </c>
      <c r="F815" s="24" t="inlineStr">
        <is>
          <t>04号泊位</t>
        </is>
      </c>
      <c r="G815" s="25" t="n">
        <v>13973</v>
      </c>
      <c r="H815" s="41" t="n">
        <v>14.83</v>
      </c>
      <c r="I815" s="41" t="n">
        <v>7.38</v>
      </c>
      <c r="J815" s="41" t="n">
        <v>13.7</v>
      </c>
      <c r="K815" s="25" t="n">
        <v>0</v>
      </c>
      <c r="L815" s="26">
        <f>IF(H815&lt;=J815,1,0)</f>
        <v>0</v>
      </c>
    </row>
    <row r="816">
      <c r="A816" s="19" t="inlineStr">
        <is>
          <t>QL-135-5</t>
        </is>
      </c>
      <c r="B816" s="36" t="n">
        <v>45792</v>
      </c>
      <c r="C816" s="37" t="inlineStr">
        <is>
          <t>进港</t>
        </is>
      </c>
      <c r="D816" s="19" t="inlineStr">
        <is>
          <t>液体散货</t>
        </is>
      </c>
      <c r="E816" s="19" t="inlineStr">
        <is>
          <t>北美</t>
        </is>
      </c>
      <c r="F816" s="19" t="inlineStr">
        <is>
          <t>05号泊位</t>
        </is>
      </c>
      <c r="G816" s="20" t="n">
        <v>16149</v>
      </c>
      <c r="H816" s="38" t="n">
        <v>12.95</v>
      </c>
      <c r="I816" s="38" t="n">
        <v>0.3</v>
      </c>
      <c r="J816" s="38" t="n">
        <v>11.21</v>
      </c>
      <c r="K816" s="20" t="n">
        <v>0</v>
      </c>
      <c r="L816" s="26">
        <f>IF(H816&lt;=J816,1,0)</f>
        <v>0</v>
      </c>
    </row>
    <row r="817">
      <c r="A817" s="24" t="inlineStr">
        <is>
          <t>QL-135-6</t>
        </is>
      </c>
      <c r="B817" s="39" t="n">
        <v>45792</v>
      </c>
      <c r="C817" s="40" t="inlineStr">
        <is>
          <t>进港</t>
        </is>
      </c>
      <c r="D817" s="24" t="inlineStr">
        <is>
          <t>件杂货</t>
        </is>
      </c>
      <c r="E817" s="24" t="inlineStr">
        <is>
          <t>东南亚</t>
        </is>
      </c>
      <c r="F817" s="24" t="inlineStr">
        <is>
          <t>06号泊位</t>
        </is>
      </c>
      <c r="G817" s="25" t="n">
        <v>5510</v>
      </c>
      <c r="H817" s="41" t="n">
        <v>9.359999999999999</v>
      </c>
      <c r="I817" s="41" t="n">
        <v>2.64</v>
      </c>
      <c r="J817" s="41" t="n">
        <v>9.029999999999999</v>
      </c>
      <c r="K817" s="25" t="n">
        <v>0</v>
      </c>
      <c r="L817" s="26">
        <f>IF(H817&lt;=J817,1,0)</f>
        <v>0</v>
      </c>
    </row>
    <row r="818">
      <c r="A818" s="19" t="inlineStr">
        <is>
          <t>QL-136-1</t>
        </is>
      </c>
      <c r="B818" s="36" t="n">
        <v>45793</v>
      </c>
      <c r="C818" s="37" t="inlineStr">
        <is>
          <t>进港</t>
        </is>
      </c>
      <c r="D818" s="19" t="inlineStr">
        <is>
          <t>集装箱货物</t>
        </is>
      </c>
      <c r="E818" s="19" t="inlineStr">
        <is>
          <t>东亚</t>
        </is>
      </c>
      <c r="F818" s="19" t="inlineStr">
        <is>
          <t>01号泊位</t>
        </is>
      </c>
      <c r="G818" s="20" t="n">
        <v>9561</v>
      </c>
      <c r="H818" s="38" t="n">
        <v>9.789999999999999</v>
      </c>
      <c r="I818" s="38" t="n">
        <v>0.84</v>
      </c>
      <c r="J818" s="38" t="n">
        <v>10.62</v>
      </c>
      <c r="K818" s="20" t="n">
        <v>730</v>
      </c>
      <c r="L818" s="26">
        <f>IF(H818&lt;=J818,1,0)</f>
        <v>1</v>
      </c>
    </row>
    <row r="819">
      <c r="A819" s="24" t="inlineStr">
        <is>
          <t>QL-136-2</t>
        </is>
      </c>
      <c r="B819" s="39" t="n">
        <v>45793</v>
      </c>
      <c r="C819" s="40" t="inlineStr">
        <is>
          <t>进港</t>
        </is>
      </c>
      <c r="D819" s="24" t="inlineStr">
        <is>
          <t>金属矿石</t>
        </is>
      </c>
      <c r="E819" s="24" t="inlineStr">
        <is>
          <t>东南亚</t>
        </is>
      </c>
      <c r="F819" s="24" t="inlineStr">
        <is>
          <t>02号泊位</t>
        </is>
      </c>
      <c r="G819" s="25" t="n">
        <v>16852</v>
      </c>
      <c r="H819" s="41" t="n">
        <v>12</v>
      </c>
      <c r="I819" s="41" t="n">
        <v>2.54</v>
      </c>
      <c r="J819" s="41" t="n">
        <v>10.87</v>
      </c>
      <c r="K819" s="25" t="n">
        <v>0</v>
      </c>
      <c r="L819" s="26">
        <f>IF(H819&lt;=J819,1,0)</f>
        <v>0</v>
      </c>
    </row>
    <row r="820">
      <c r="A820" s="19" t="inlineStr">
        <is>
          <t>QL-136-3</t>
        </is>
      </c>
      <c r="B820" s="36" t="n">
        <v>45793</v>
      </c>
      <c r="C820" s="37" t="inlineStr">
        <is>
          <t>进港</t>
        </is>
      </c>
      <c r="D820" s="19" t="inlineStr">
        <is>
          <t>煤炭</t>
        </is>
      </c>
      <c r="E820" s="19" t="inlineStr">
        <is>
          <t>国内沿海</t>
        </is>
      </c>
      <c r="F820" s="19" t="inlineStr">
        <is>
          <t>03号泊位</t>
        </is>
      </c>
      <c r="G820" s="20" t="n">
        <v>17745</v>
      </c>
      <c r="H820" s="38" t="n">
        <v>12.14</v>
      </c>
      <c r="I820" s="38" t="n">
        <v>1.58</v>
      </c>
      <c r="J820" s="38" t="n">
        <v>13.44</v>
      </c>
      <c r="K820" s="20" t="n">
        <v>0</v>
      </c>
      <c r="L820" s="26">
        <f>IF(H820&lt;=J820,1,0)</f>
        <v>1</v>
      </c>
    </row>
    <row r="821">
      <c r="A821" s="24" t="inlineStr">
        <is>
          <t>QL-136-4</t>
        </is>
      </c>
      <c r="B821" s="39" t="n">
        <v>45793</v>
      </c>
      <c r="C821" s="40" t="inlineStr">
        <is>
          <t>进港</t>
        </is>
      </c>
      <c r="D821" s="24" t="inlineStr">
        <is>
          <t>粮食</t>
        </is>
      </c>
      <c r="E821" s="24" t="inlineStr">
        <is>
          <t>东南亚</t>
        </is>
      </c>
      <c r="F821" s="24" t="inlineStr">
        <is>
          <t>04号泊位</t>
        </is>
      </c>
      <c r="G821" s="25" t="n">
        <v>7486</v>
      </c>
      <c r="H821" s="41" t="n">
        <v>6.51</v>
      </c>
      <c r="I821" s="41" t="n">
        <v>6.25</v>
      </c>
      <c r="J821" s="41" t="n">
        <v>7.34</v>
      </c>
      <c r="K821" s="25" t="n">
        <v>0</v>
      </c>
      <c r="L821" s="26">
        <f>IF(H821&lt;=J821,1,0)</f>
        <v>1</v>
      </c>
    </row>
    <row r="822">
      <c r="A822" s="19" t="inlineStr">
        <is>
          <t>QL-136-5</t>
        </is>
      </c>
      <c r="B822" s="36" t="n">
        <v>45793</v>
      </c>
      <c r="C822" s="37" t="inlineStr">
        <is>
          <t>出港</t>
        </is>
      </c>
      <c r="D822" s="19" t="inlineStr">
        <is>
          <t>液体散货</t>
        </is>
      </c>
      <c r="E822" s="19" t="inlineStr">
        <is>
          <t>东亚</t>
        </is>
      </c>
      <c r="F822" s="19" t="inlineStr">
        <is>
          <t>05号泊位</t>
        </is>
      </c>
      <c r="G822" s="20" t="n">
        <v>11044</v>
      </c>
      <c r="H822" s="38" t="n">
        <v>6.51</v>
      </c>
      <c r="I822" s="38" t="n">
        <v>1.36</v>
      </c>
      <c r="J822" s="38" t="n">
        <v>7.67</v>
      </c>
      <c r="K822" s="20" t="n">
        <v>0</v>
      </c>
      <c r="L822" s="26">
        <f>IF(H822&lt;=J822,1,0)</f>
        <v>1</v>
      </c>
    </row>
    <row r="823">
      <c r="A823" s="24" t="inlineStr">
        <is>
          <t>QL-136-6</t>
        </is>
      </c>
      <c r="B823" s="39" t="n">
        <v>45793</v>
      </c>
      <c r="C823" s="40" t="inlineStr">
        <is>
          <t>出港</t>
        </is>
      </c>
      <c r="D823" s="24" t="inlineStr">
        <is>
          <t>件杂货</t>
        </is>
      </c>
      <c r="E823" s="24" t="inlineStr">
        <is>
          <t>东亚</t>
        </is>
      </c>
      <c r="F823" s="24" t="inlineStr">
        <is>
          <t>06号泊位</t>
        </is>
      </c>
      <c r="G823" s="25" t="n">
        <v>6092</v>
      </c>
      <c r="H823" s="41" t="n">
        <v>10.74</v>
      </c>
      <c r="I823" s="41" t="n">
        <v>2.2</v>
      </c>
      <c r="J823" s="41" t="n">
        <v>9.99</v>
      </c>
      <c r="K823" s="25" t="n">
        <v>0</v>
      </c>
      <c r="L823" s="26">
        <f>IF(H823&lt;=J823,1,0)</f>
        <v>0</v>
      </c>
    </row>
    <row r="824">
      <c r="A824" s="19" t="inlineStr">
        <is>
          <t>QL-137-1</t>
        </is>
      </c>
      <c r="B824" s="36" t="n">
        <v>45794</v>
      </c>
      <c r="C824" s="37" t="inlineStr">
        <is>
          <t>出港</t>
        </is>
      </c>
      <c r="D824" s="19" t="inlineStr">
        <is>
          <t>集装箱货物</t>
        </is>
      </c>
      <c r="E824" s="19" t="inlineStr">
        <is>
          <t>东亚</t>
        </is>
      </c>
      <c r="F824" s="19" t="inlineStr">
        <is>
          <t>01号泊位</t>
        </is>
      </c>
      <c r="G824" s="20" t="n">
        <v>14549</v>
      </c>
      <c r="H824" s="38" t="n">
        <v>18.7</v>
      </c>
      <c r="I824" s="38" t="n">
        <v>1.42</v>
      </c>
      <c r="J824" s="38" t="n">
        <v>16.17</v>
      </c>
      <c r="K824" s="20" t="n">
        <v>1041</v>
      </c>
      <c r="L824" s="26">
        <f>IF(H824&lt;=J824,1,0)</f>
        <v>0</v>
      </c>
    </row>
    <row r="825">
      <c r="A825" s="24" t="inlineStr">
        <is>
          <t>QL-137-2</t>
        </is>
      </c>
      <c r="B825" s="39" t="n">
        <v>45794</v>
      </c>
      <c r="C825" s="40" t="inlineStr">
        <is>
          <t>进港</t>
        </is>
      </c>
      <c r="D825" s="24" t="inlineStr">
        <is>
          <t>金属矿石</t>
        </is>
      </c>
      <c r="E825" s="24" t="inlineStr">
        <is>
          <t>国内沿海</t>
        </is>
      </c>
      <c r="F825" s="24" t="inlineStr">
        <is>
          <t>02号泊位</t>
        </is>
      </c>
      <c r="G825" s="25" t="n">
        <v>11231</v>
      </c>
      <c r="H825" s="41" t="n">
        <v>7.5</v>
      </c>
      <c r="I825" s="41" t="n">
        <v>4.98</v>
      </c>
      <c r="J825" s="41" t="n">
        <v>7.25</v>
      </c>
      <c r="K825" s="25" t="n">
        <v>0</v>
      </c>
      <c r="L825" s="26">
        <f>IF(H825&lt;=J825,1,0)</f>
        <v>0</v>
      </c>
    </row>
    <row r="826">
      <c r="A826" s="19" t="inlineStr">
        <is>
          <t>QL-137-3</t>
        </is>
      </c>
      <c r="B826" s="36" t="n">
        <v>45794</v>
      </c>
      <c r="C826" s="37" t="inlineStr">
        <is>
          <t>进港</t>
        </is>
      </c>
      <c r="D826" s="19" t="inlineStr">
        <is>
          <t>煤炭</t>
        </is>
      </c>
      <c r="E826" s="19" t="inlineStr">
        <is>
          <t>东亚</t>
        </is>
      </c>
      <c r="F826" s="19" t="inlineStr">
        <is>
          <t>03号泊位</t>
        </is>
      </c>
      <c r="G826" s="20" t="n">
        <v>16752</v>
      </c>
      <c r="H826" s="38" t="n">
        <v>11.15</v>
      </c>
      <c r="I826" s="38" t="n">
        <v>0.98</v>
      </c>
      <c r="J826" s="38" t="n">
        <v>12.69</v>
      </c>
      <c r="K826" s="20" t="n">
        <v>0</v>
      </c>
      <c r="L826" s="26">
        <f>IF(H826&lt;=J826,1,0)</f>
        <v>1</v>
      </c>
    </row>
    <row r="827">
      <c r="A827" s="24" t="inlineStr">
        <is>
          <t>QL-137-4</t>
        </is>
      </c>
      <c r="B827" s="39" t="n">
        <v>45794</v>
      </c>
      <c r="C827" s="40" t="inlineStr">
        <is>
          <t>进港</t>
        </is>
      </c>
      <c r="D827" s="24" t="inlineStr">
        <is>
          <t>粮食</t>
        </is>
      </c>
      <c r="E827" s="24" t="inlineStr">
        <is>
          <t>东亚</t>
        </is>
      </c>
      <c r="F827" s="24" t="inlineStr">
        <is>
          <t>04号泊位</t>
        </is>
      </c>
      <c r="G827" s="25" t="n">
        <v>7302</v>
      </c>
      <c r="H827" s="41" t="n">
        <v>5.8</v>
      </c>
      <c r="I827" s="41" t="n">
        <v>4.46</v>
      </c>
      <c r="J827" s="41" t="n">
        <v>7.16</v>
      </c>
      <c r="K827" s="25" t="n">
        <v>0</v>
      </c>
      <c r="L827" s="26">
        <f>IF(H827&lt;=J827,1,0)</f>
        <v>1</v>
      </c>
    </row>
    <row r="828">
      <c r="A828" s="19" t="inlineStr">
        <is>
          <t>QL-137-5</t>
        </is>
      </c>
      <c r="B828" s="36" t="n">
        <v>45794</v>
      </c>
      <c r="C828" s="37" t="inlineStr">
        <is>
          <t>出港</t>
        </is>
      </c>
      <c r="D828" s="19" t="inlineStr">
        <is>
          <t>液体散货</t>
        </is>
      </c>
      <c r="E828" s="19" t="inlineStr">
        <is>
          <t>北美</t>
        </is>
      </c>
      <c r="F828" s="19" t="inlineStr">
        <is>
          <t>05号泊位</t>
        </is>
      </c>
      <c r="G828" s="20" t="n">
        <v>11053</v>
      </c>
      <c r="H828" s="38" t="n">
        <v>8.4</v>
      </c>
      <c r="I828" s="38" t="n">
        <v>3.71</v>
      </c>
      <c r="J828" s="38" t="n">
        <v>7.68</v>
      </c>
      <c r="K828" s="20" t="n">
        <v>0</v>
      </c>
      <c r="L828" s="26">
        <f>IF(H828&lt;=J828,1,0)</f>
        <v>0</v>
      </c>
    </row>
    <row r="829">
      <c r="A829" s="24" t="inlineStr">
        <is>
          <t>QL-137-6</t>
        </is>
      </c>
      <c r="B829" s="39" t="n">
        <v>45794</v>
      </c>
      <c r="C829" s="40" t="inlineStr">
        <is>
          <t>进港</t>
        </is>
      </c>
      <c r="D829" s="24" t="inlineStr">
        <is>
          <t>件杂货</t>
        </is>
      </c>
      <c r="E829" s="24" t="inlineStr">
        <is>
          <t>东亚</t>
        </is>
      </c>
      <c r="F829" s="24" t="inlineStr">
        <is>
          <t>06号泊位</t>
        </is>
      </c>
      <c r="G829" s="25" t="n">
        <v>2763</v>
      </c>
      <c r="H829" s="41" t="n">
        <v>4.88</v>
      </c>
      <c r="I829" s="41" t="n">
        <v>1.7</v>
      </c>
      <c r="J829" s="41" t="n">
        <v>4.53</v>
      </c>
      <c r="K829" s="25" t="n">
        <v>0</v>
      </c>
      <c r="L829" s="26">
        <f>IF(H829&lt;=J829,1,0)</f>
        <v>0</v>
      </c>
    </row>
    <row r="830">
      <c r="A830" s="19" t="inlineStr">
        <is>
          <t>QL-138-1</t>
        </is>
      </c>
      <c r="B830" s="36" t="n">
        <v>45795</v>
      </c>
      <c r="C830" s="37" t="inlineStr">
        <is>
          <t>进港</t>
        </is>
      </c>
      <c r="D830" s="19" t="inlineStr">
        <is>
          <t>集装箱货物</t>
        </is>
      </c>
      <c r="E830" s="19" t="inlineStr">
        <is>
          <t>国内沿海</t>
        </is>
      </c>
      <c r="F830" s="19" t="inlineStr">
        <is>
          <t>01号泊位</t>
        </is>
      </c>
      <c r="G830" s="20" t="n">
        <v>5649</v>
      </c>
      <c r="H830" s="38" t="n">
        <v>6.78</v>
      </c>
      <c r="I830" s="38" t="n">
        <v>3.34</v>
      </c>
      <c r="J830" s="38" t="n">
        <v>6.28</v>
      </c>
      <c r="K830" s="20" t="n">
        <v>453</v>
      </c>
      <c r="L830" s="26">
        <f>IF(H830&lt;=J830,1,0)</f>
        <v>0</v>
      </c>
    </row>
    <row r="831">
      <c r="A831" s="24" t="inlineStr">
        <is>
          <t>QL-138-2</t>
        </is>
      </c>
      <c r="B831" s="39" t="n">
        <v>45795</v>
      </c>
      <c r="C831" s="40" t="inlineStr">
        <is>
          <t>进港</t>
        </is>
      </c>
      <c r="D831" s="24" t="inlineStr">
        <is>
          <t>金属矿石</t>
        </is>
      </c>
      <c r="E831" s="24" t="inlineStr">
        <is>
          <t>国内沿海</t>
        </is>
      </c>
      <c r="F831" s="24" t="inlineStr">
        <is>
          <t>02号泊位</t>
        </is>
      </c>
      <c r="G831" s="25" t="n">
        <v>19194</v>
      </c>
      <c r="H831" s="41" t="n">
        <v>12.71</v>
      </c>
      <c r="I831" s="41" t="n">
        <v>5.31</v>
      </c>
      <c r="J831" s="41" t="n">
        <v>12.38</v>
      </c>
      <c r="K831" s="25" t="n">
        <v>0</v>
      </c>
      <c r="L831" s="26">
        <f>IF(H831&lt;=J831,1,0)</f>
        <v>0</v>
      </c>
    </row>
    <row r="832">
      <c r="A832" s="19" t="inlineStr">
        <is>
          <t>QL-138-3</t>
        </is>
      </c>
      <c r="B832" s="36" t="n">
        <v>45795</v>
      </c>
      <c r="C832" s="37" t="inlineStr">
        <is>
          <t>进港</t>
        </is>
      </c>
      <c r="D832" s="19" t="inlineStr">
        <is>
          <t>煤炭</t>
        </is>
      </c>
      <c r="E832" s="19" t="inlineStr">
        <is>
          <t>国内沿海</t>
        </is>
      </c>
      <c r="F832" s="19" t="inlineStr">
        <is>
          <t>03号泊位</t>
        </is>
      </c>
      <c r="G832" s="20" t="n">
        <v>13842</v>
      </c>
      <c r="H832" s="38" t="n">
        <v>11.01</v>
      </c>
      <c r="I832" s="38" t="n">
        <v>2.77</v>
      </c>
      <c r="J832" s="38" t="n">
        <v>10.49</v>
      </c>
      <c r="K832" s="20" t="n">
        <v>0</v>
      </c>
      <c r="L832" s="26">
        <f>IF(H832&lt;=J832,1,0)</f>
        <v>0</v>
      </c>
    </row>
    <row r="833">
      <c r="A833" s="24" t="inlineStr">
        <is>
          <t>QL-138-4</t>
        </is>
      </c>
      <c r="B833" s="39" t="n">
        <v>45795</v>
      </c>
      <c r="C833" s="40" t="inlineStr">
        <is>
          <t>进港</t>
        </is>
      </c>
      <c r="D833" s="24" t="inlineStr">
        <is>
          <t>粮食</t>
        </is>
      </c>
      <c r="E833" s="24" t="inlineStr">
        <is>
          <t>东南亚</t>
        </is>
      </c>
      <c r="F833" s="24" t="inlineStr">
        <is>
          <t>04号泊位</t>
        </is>
      </c>
      <c r="G833" s="25" t="n">
        <v>8787</v>
      </c>
      <c r="H833" s="41" t="n">
        <v>9.9</v>
      </c>
      <c r="I833" s="41" t="n">
        <v>8.76</v>
      </c>
      <c r="J833" s="41" t="n">
        <v>8.609999999999999</v>
      </c>
      <c r="K833" s="25" t="n">
        <v>0</v>
      </c>
      <c r="L833" s="26">
        <f>IF(H833&lt;=J833,1,0)</f>
        <v>0</v>
      </c>
    </row>
    <row r="834">
      <c r="A834" s="19" t="inlineStr">
        <is>
          <t>QL-138-5</t>
        </is>
      </c>
      <c r="B834" s="36" t="n">
        <v>45795</v>
      </c>
      <c r="C834" s="37" t="inlineStr">
        <is>
          <t>进港</t>
        </is>
      </c>
      <c r="D834" s="19" t="inlineStr">
        <is>
          <t>液体散货</t>
        </is>
      </c>
      <c r="E834" s="19" t="inlineStr">
        <is>
          <t>国内沿海</t>
        </is>
      </c>
      <c r="F834" s="19" t="inlineStr">
        <is>
          <t>05号泊位</t>
        </is>
      </c>
      <c r="G834" s="20" t="n">
        <v>13165</v>
      </c>
      <c r="H834" s="38" t="n">
        <v>9.68</v>
      </c>
      <c r="I834" s="38" t="n">
        <v>3.26</v>
      </c>
      <c r="J834" s="38" t="n">
        <v>9.140000000000001</v>
      </c>
      <c r="K834" s="20" t="n">
        <v>0</v>
      </c>
      <c r="L834" s="26">
        <f>IF(H834&lt;=J834,1,0)</f>
        <v>0</v>
      </c>
    </row>
    <row r="835">
      <c r="A835" s="24" t="inlineStr">
        <is>
          <t>QL-138-6</t>
        </is>
      </c>
      <c r="B835" s="39" t="n">
        <v>45795</v>
      </c>
      <c r="C835" s="40" t="inlineStr">
        <is>
          <t>出港</t>
        </is>
      </c>
      <c r="D835" s="24" t="inlineStr">
        <is>
          <t>件杂货</t>
        </is>
      </c>
      <c r="E835" s="24" t="inlineStr">
        <is>
          <t>国内沿海</t>
        </is>
      </c>
      <c r="F835" s="24" t="inlineStr">
        <is>
          <t>06号泊位</t>
        </is>
      </c>
      <c r="G835" s="25" t="n">
        <v>3528</v>
      </c>
      <c r="H835" s="41" t="n">
        <v>6.81</v>
      </c>
      <c r="I835" s="41" t="n">
        <v>5.16</v>
      </c>
      <c r="J835" s="41" t="n">
        <v>5.78</v>
      </c>
      <c r="K835" s="25" t="n">
        <v>0</v>
      </c>
      <c r="L835" s="26">
        <f>IF(H835&lt;=J835,1,0)</f>
        <v>0</v>
      </c>
    </row>
    <row r="836">
      <c r="A836" s="19" t="inlineStr">
        <is>
          <t>QL-139-1</t>
        </is>
      </c>
      <c r="B836" s="36" t="n">
        <v>45796</v>
      </c>
      <c r="C836" s="37" t="inlineStr">
        <is>
          <t>出港</t>
        </is>
      </c>
      <c r="D836" s="19" t="inlineStr">
        <is>
          <t>集装箱货物</t>
        </is>
      </c>
      <c r="E836" s="19" t="inlineStr">
        <is>
          <t>国内沿海</t>
        </is>
      </c>
      <c r="F836" s="19" t="inlineStr">
        <is>
          <t>01号泊位</t>
        </is>
      </c>
      <c r="G836" s="20" t="n">
        <v>6491</v>
      </c>
      <c r="H836" s="38" t="n">
        <v>7.44</v>
      </c>
      <c r="I836" s="38" t="n">
        <v>4.37</v>
      </c>
      <c r="J836" s="38" t="n">
        <v>7.21</v>
      </c>
      <c r="K836" s="20" t="n">
        <v>408</v>
      </c>
      <c r="L836" s="26">
        <f>IF(H836&lt;=J836,1,0)</f>
        <v>0</v>
      </c>
    </row>
    <row r="837">
      <c r="A837" s="24" t="inlineStr">
        <is>
          <t>QL-139-2</t>
        </is>
      </c>
      <c r="B837" s="39" t="n">
        <v>45796</v>
      </c>
      <c r="C837" s="40" t="inlineStr">
        <is>
          <t>进港</t>
        </is>
      </c>
      <c r="D837" s="24" t="inlineStr">
        <is>
          <t>金属矿石</t>
        </is>
      </c>
      <c r="E837" s="24" t="inlineStr">
        <is>
          <t>北美</t>
        </is>
      </c>
      <c r="F837" s="24" t="inlineStr">
        <is>
          <t>02号泊位</t>
        </is>
      </c>
      <c r="G837" s="25" t="n">
        <v>19245</v>
      </c>
      <c r="H837" s="41" t="n">
        <v>10.31</v>
      </c>
      <c r="I837" s="41" t="n">
        <v>2.53</v>
      </c>
      <c r="J837" s="41" t="n">
        <v>12.42</v>
      </c>
      <c r="K837" s="25" t="n">
        <v>0</v>
      </c>
      <c r="L837" s="26">
        <f>IF(H837&lt;=J837,1,0)</f>
        <v>1</v>
      </c>
    </row>
    <row r="838">
      <c r="A838" s="19" t="inlineStr">
        <is>
          <t>QL-139-3</t>
        </is>
      </c>
      <c r="B838" s="36" t="n">
        <v>45796</v>
      </c>
      <c r="C838" s="37" t="inlineStr">
        <is>
          <t>进港</t>
        </is>
      </c>
      <c r="D838" s="19" t="inlineStr">
        <is>
          <t>煤炭</t>
        </is>
      </c>
      <c r="E838" s="19" t="inlineStr">
        <is>
          <t>国内沿海</t>
        </is>
      </c>
      <c r="F838" s="19" t="inlineStr">
        <is>
          <t>03号泊位</t>
        </is>
      </c>
      <c r="G838" s="20" t="n">
        <v>15650</v>
      </c>
      <c r="H838" s="38" t="n">
        <v>12.84</v>
      </c>
      <c r="I838" s="38" t="n">
        <v>0.9</v>
      </c>
      <c r="J838" s="38" t="n">
        <v>11.86</v>
      </c>
      <c r="K838" s="20" t="n">
        <v>0</v>
      </c>
      <c r="L838" s="26">
        <f>IF(H838&lt;=J838,1,0)</f>
        <v>0</v>
      </c>
    </row>
    <row r="839">
      <c r="A839" s="24" t="inlineStr">
        <is>
          <t>QL-139-4</t>
        </is>
      </c>
      <c r="B839" s="39" t="n">
        <v>45796</v>
      </c>
      <c r="C839" s="40" t="inlineStr">
        <is>
          <t>进港</t>
        </is>
      </c>
      <c r="D839" s="24" t="inlineStr">
        <is>
          <t>粮食</t>
        </is>
      </c>
      <c r="E839" s="24" t="inlineStr">
        <is>
          <t>东亚</t>
        </is>
      </c>
      <c r="F839" s="24" t="inlineStr">
        <is>
          <t>04号泊位</t>
        </is>
      </c>
      <c r="G839" s="25" t="n">
        <v>6468</v>
      </c>
      <c r="H839" s="41" t="n">
        <v>5.41</v>
      </c>
      <c r="I839" s="41" t="n">
        <v>2.24</v>
      </c>
      <c r="J839" s="41" t="n">
        <v>6.34</v>
      </c>
      <c r="K839" s="25" t="n">
        <v>0</v>
      </c>
      <c r="L839" s="26">
        <f>IF(H839&lt;=J839,1,0)</f>
        <v>1</v>
      </c>
    </row>
    <row r="840">
      <c r="A840" s="19" t="inlineStr">
        <is>
          <t>QL-139-5</t>
        </is>
      </c>
      <c r="B840" s="36" t="n">
        <v>45796</v>
      </c>
      <c r="C840" s="37" t="inlineStr">
        <is>
          <t>进港</t>
        </is>
      </c>
      <c r="D840" s="19" t="inlineStr">
        <is>
          <t>液体散货</t>
        </is>
      </c>
      <c r="E840" s="19" t="inlineStr">
        <is>
          <t>国内沿海</t>
        </is>
      </c>
      <c r="F840" s="19" t="inlineStr">
        <is>
          <t>05号泊位</t>
        </is>
      </c>
      <c r="G840" s="20" t="n">
        <v>14069</v>
      </c>
      <c r="H840" s="38" t="n">
        <v>11.1</v>
      </c>
      <c r="I840" s="38" t="n">
        <v>1.81</v>
      </c>
      <c r="J840" s="38" t="n">
        <v>9.77</v>
      </c>
      <c r="K840" s="20" t="n">
        <v>0</v>
      </c>
      <c r="L840" s="26">
        <f>IF(H840&lt;=J840,1,0)</f>
        <v>0</v>
      </c>
    </row>
    <row r="841">
      <c r="A841" s="24" t="inlineStr">
        <is>
          <t>QL-139-6</t>
        </is>
      </c>
      <c r="B841" s="39" t="n">
        <v>45796</v>
      </c>
      <c r="C841" s="40" t="inlineStr">
        <is>
          <t>进港</t>
        </is>
      </c>
      <c r="D841" s="24" t="inlineStr">
        <is>
          <t>件杂货</t>
        </is>
      </c>
      <c r="E841" s="24" t="inlineStr">
        <is>
          <t>欧洲</t>
        </is>
      </c>
      <c r="F841" s="24" t="inlineStr">
        <is>
          <t>06号泊位</t>
        </is>
      </c>
      <c r="G841" s="25" t="n">
        <v>6206</v>
      </c>
      <c r="H841" s="41" t="n">
        <v>10.11</v>
      </c>
      <c r="I841" s="41" t="n">
        <v>0.3</v>
      </c>
      <c r="J841" s="41" t="n">
        <v>10.17</v>
      </c>
      <c r="K841" s="25" t="n">
        <v>0</v>
      </c>
      <c r="L841" s="26">
        <f>IF(H841&lt;=J841,1,0)</f>
        <v>1</v>
      </c>
    </row>
    <row r="842">
      <c r="A842" s="19" t="inlineStr">
        <is>
          <t>QL-140-1</t>
        </is>
      </c>
      <c r="B842" s="36" t="n">
        <v>45797</v>
      </c>
      <c r="C842" s="37" t="inlineStr">
        <is>
          <t>出港</t>
        </is>
      </c>
      <c r="D842" s="19" t="inlineStr">
        <is>
          <t>集装箱货物</t>
        </is>
      </c>
      <c r="E842" s="19" t="inlineStr">
        <is>
          <t>欧洲</t>
        </is>
      </c>
      <c r="F842" s="19" t="inlineStr">
        <is>
          <t>01号泊位</t>
        </is>
      </c>
      <c r="G842" s="20" t="n">
        <v>8120</v>
      </c>
      <c r="H842" s="38" t="n">
        <v>9.34</v>
      </c>
      <c r="I842" s="38" t="n">
        <v>4.35</v>
      </c>
      <c r="J842" s="38" t="n">
        <v>9.02</v>
      </c>
      <c r="K842" s="20" t="n">
        <v>494</v>
      </c>
      <c r="L842" s="26">
        <f>IF(H842&lt;=J842,1,0)</f>
        <v>0</v>
      </c>
    </row>
    <row r="843">
      <c r="A843" s="24" t="inlineStr">
        <is>
          <t>QL-140-2</t>
        </is>
      </c>
      <c r="B843" s="39" t="n">
        <v>45797</v>
      </c>
      <c r="C843" s="40" t="inlineStr">
        <is>
          <t>出港</t>
        </is>
      </c>
      <c r="D843" s="24" t="inlineStr">
        <is>
          <t>金属矿石</t>
        </is>
      </c>
      <c r="E843" s="24" t="inlineStr">
        <is>
          <t>北美</t>
        </is>
      </c>
      <c r="F843" s="24" t="inlineStr">
        <is>
          <t>02号泊位</t>
        </is>
      </c>
      <c r="G843" s="25" t="n">
        <v>11364</v>
      </c>
      <c r="H843" s="41" t="n">
        <v>8.029999999999999</v>
      </c>
      <c r="I843" s="41" t="n">
        <v>4.6</v>
      </c>
      <c r="J843" s="41" t="n">
        <v>7.33</v>
      </c>
      <c r="K843" s="25" t="n">
        <v>0</v>
      </c>
      <c r="L843" s="26">
        <f>IF(H843&lt;=J843,1,0)</f>
        <v>0</v>
      </c>
    </row>
    <row r="844">
      <c r="A844" s="19" t="inlineStr">
        <is>
          <t>QL-140-3</t>
        </is>
      </c>
      <c r="B844" s="36" t="n">
        <v>45797</v>
      </c>
      <c r="C844" s="37" t="inlineStr">
        <is>
          <t>进港</t>
        </is>
      </c>
      <c r="D844" s="19" t="inlineStr">
        <is>
          <t>煤炭</t>
        </is>
      </c>
      <c r="E844" s="19" t="inlineStr">
        <is>
          <t>国内沿海</t>
        </is>
      </c>
      <c r="F844" s="19" t="inlineStr">
        <is>
          <t>03号泊位</t>
        </is>
      </c>
      <c r="G844" s="20" t="n">
        <v>16809</v>
      </c>
      <c r="H844" s="38" t="n">
        <v>12.99</v>
      </c>
      <c r="I844" s="38" t="n">
        <v>2.42</v>
      </c>
      <c r="J844" s="38" t="n">
        <v>12.73</v>
      </c>
      <c r="K844" s="20" t="n">
        <v>0</v>
      </c>
      <c r="L844" s="26">
        <f>IF(H844&lt;=J844,1,0)</f>
        <v>0</v>
      </c>
    </row>
    <row r="845">
      <c r="A845" s="24" t="inlineStr">
        <is>
          <t>QL-140-4</t>
        </is>
      </c>
      <c r="B845" s="39" t="n">
        <v>45797</v>
      </c>
      <c r="C845" s="40" t="inlineStr">
        <is>
          <t>进港</t>
        </is>
      </c>
      <c r="D845" s="24" t="inlineStr">
        <is>
          <t>粮食</t>
        </is>
      </c>
      <c r="E845" s="24" t="inlineStr">
        <is>
          <t>国内沿海</t>
        </is>
      </c>
      <c r="F845" s="24" t="inlineStr">
        <is>
          <t>04号泊位</t>
        </is>
      </c>
      <c r="G845" s="25" t="n">
        <v>11159</v>
      </c>
      <c r="H845" s="41" t="n">
        <v>10.59</v>
      </c>
      <c r="I845" s="41" t="n">
        <v>5.49</v>
      </c>
      <c r="J845" s="41" t="n">
        <v>10.94</v>
      </c>
      <c r="K845" s="25" t="n">
        <v>0</v>
      </c>
      <c r="L845" s="26">
        <f>IF(H845&lt;=J845,1,0)</f>
        <v>1</v>
      </c>
    </row>
    <row r="846">
      <c r="A846" s="19" t="inlineStr">
        <is>
          <t>QL-140-5</t>
        </is>
      </c>
      <c r="B846" s="36" t="n">
        <v>45797</v>
      </c>
      <c r="C846" s="37" t="inlineStr">
        <is>
          <t>出港</t>
        </is>
      </c>
      <c r="D846" s="19" t="inlineStr">
        <is>
          <t>液体散货</t>
        </is>
      </c>
      <c r="E846" s="19" t="inlineStr">
        <is>
          <t>欧洲</t>
        </is>
      </c>
      <c r="F846" s="19" t="inlineStr">
        <is>
          <t>05号泊位</t>
        </is>
      </c>
      <c r="G846" s="20" t="n">
        <v>13680</v>
      </c>
      <c r="H846" s="38" t="n">
        <v>7.82</v>
      </c>
      <c r="I846" s="38" t="n">
        <v>1.96</v>
      </c>
      <c r="J846" s="38" t="n">
        <v>9.5</v>
      </c>
      <c r="K846" s="20" t="n">
        <v>0</v>
      </c>
      <c r="L846" s="26">
        <f>IF(H846&lt;=J846,1,0)</f>
        <v>1</v>
      </c>
    </row>
    <row r="847">
      <c r="A847" s="24" t="inlineStr">
        <is>
          <t>QL-140-6</t>
        </is>
      </c>
      <c r="B847" s="39" t="n">
        <v>45797</v>
      </c>
      <c r="C847" s="40" t="inlineStr">
        <is>
          <t>进港</t>
        </is>
      </c>
      <c r="D847" s="24" t="inlineStr">
        <is>
          <t>件杂货</t>
        </is>
      </c>
      <c r="E847" s="24" t="inlineStr">
        <is>
          <t>东南亚</t>
        </is>
      </c>
      <c r="F847" s="24" t="inlineStr">
        <is>
          <t>06号泊位</t>
        </is>
      </c>
      <c r="G847" s="25" t="n">
        <v>5834</v>
      </c>
      <c r="H847" s="41" t="n">
        <v>11.27</v>
      </c>
      <c r="I847" s="41" t="n">
        <v>3.09</v>
      </c>
      <c r="J847" s="41" t="n">
        <v>9.56</v>
      </c>
      <c r="K847" s="25" t="n">
        <v>0</v>
      </c>
      <c r="L847" s="26">
        <f>IF(H847&lt;=J847,1,0)</f>
        <v>0</v>
      </c>
    </row>
    <row r="848">
      <c r="A848" s="19" t="inlineStr">
        <is>
          <t>QL-141-1</t>
        </is>
      </c>
      <c r="B848" s="36" t="n">
        <v>45798</v>
      </c>
      <c r="C848" s="37" t="inlineStr">
        <is>
          <t>出港</t>
        </is>
      </c>
      <c r="D848" s="19" t="inlineStr">
        <is>
          <t>集装箱货物</t>
        </is>
      </c>
      <c r="E848" s="19" t="inlineStr">
        <is>
          <t>东南亚</t>
        </is>
      </c>
      <c r="F848" s="19" t="inlineStr">
        <is>
          <t>01号泊位</t>
        </is>
      </c>
      <c r="G848" s="20" t="n">
        <v>5969</v>
      </c>
      <c r="H848" s="38" t="n">
        <v>7.95</v>
      </c>
      <c r="I848" s="38" t="n">
        <v>0.75</v>
      </c>
      <c r="J848" s="38" t="n">
        <v>6.63</v>
      </c>
      <c r="K848" s="20" t="n">
        <v>448</v>
      </c>
      <c r="L848" s="26">
        <f>IF(H848&lt;=J848,1,0)</f>
        <v>0</v>
      </c>
    </row>
    <row r="849">
      <c r="A849" s="24" t="inlineStr">
        <is>
          <t>QL-141-2</t>
        </is>
      </c>
      <c r="B849" s="39" t="n">
        <v>45798</v>
      </c>
      <c r="C849" s="40" t="inlineStr">
        <is>
          <t>进港</t>
        </is>
      </c>
      <c r="D849" s="24" t="inlineStr">
        <is>
          <t>金属矿石</t>
        </is>
      </c>
      <c r="E849" s="24" t="inlineStr">
        <is>
          <t>国内沿海</t>
        </is>
      </c>
      <c r="F849" s="24" t="inlineStr">
        <is>
          <t>02号泊位</t>
        </is>
      </c>
      <c r="G849" s="25" t="n">
        <v>15364</v>
      </c>
      <c r="H849" s="41" t="n">
        <v>9.83</v>
      </c>
      <c r="I849" s="41" t="n">
        <v>6.01</v>
      </c>
      <c r="J849" s="41" t="n">
        <v>9.91</v>
      </c>
      <c r="K849" s="25" t="n">
        <v>0</v>
      </c>
      <c r="L849" s="26">
        <f>IF(H849&lt;=J849,1,0)</f>
        <v>1</v>
      </c>
    </row>
    <row r="850">
      <c r="A850" s="19" t="inlineStr">
        <is>
          <t>QL-141-3</t>
        </is>
      </c>
      <c r="B850" s="36" t="n">
        <v>45798</v>
      </c>
      <c r="C850" s="37" t="inlineStr">
        <is>
          <t>出港</t>
        </is>
      </c>
      <c r="D850" s="19" t="inlineStr">
        <is>
          <t>煤炭</t>
        </is>
      </c>
      <c r="E850" s="19" t="inlineStr">
        <is>
          <t>欧洲</t>
        </is>
      </c>
      <c r="F850" s="19" t="inlineStr">
        <is>
          <t>03号泊位</t>
        </is>
      </c>
      <c r="G850" s="20" t="n">
        <v>13807</v>
      </c>
      <c r="H850" s="38" t="n">
        <v>11.54</v>
      </c>
      <c r="I850" s="38" t="n">
        <v>6.21</v>
      </c>
      <c r="J850" s="38" t="n">
        <v>10.46</v>
      </c>
      <c r="K850" s="20" t="n">
        <v>0</v>
      </c>
      <c r="L850" s="26">
        <f>IF(H850&lt;=J850,1,0)</f>
        <v>0</v>
      </c>
    </row>
    <row r="851">
      <c r="A851" s="24" t="inlineStr">
        <is>
          <t>QL-141-4</t>
        </is>
      </c>
      <c r="B851" s="39" t="n">
        <v>45798</v>
      </c>
      <c r="C851" s="40" t="inlineStr">
        <is>
          <t>进港</t>
        </is>
      </c>
      <c r="D851" s="24" t="inlineStr">
        <is>
          <t>粮食</t>
        </is>
      </c>
      <c r="E851" s="24" t="inlineStr">
        <is>
          <t>国内沿海</t>
        </is>
      </c>
      <c r="F851" s="24" t="inlineStr">
        <is>
          <t>04号泊位</t>
        </is>
      </c>
      <c r="G851" s="25" t="n">
        <v>6091</v>
      </c>
      <c r="H851" s="41" t="n">
        <v>6.76</v>
      </c>
      <c r="I851" s="41" t="n">
        <v>4.05</v>
      </c>
      <c r="J851" s="41" t="n">
        <v>5.97</v>
      </c>
      <c r="K851" s="25" t="n">
        <v>0</v>
      </c>
      <c r="L851" s="26">
        <f>IF(H851&lt;=J851,1,0)</f>
        <v>0</v>
      </c>
    </row>
    <row r="852">
      <c r="A852" s="19" t="inlineStr">
        <is>
          <t>QL-141-5</t>
        </is>
      </c>
      <c r="B852" s="36" t="n">
        <v>45798</v>
      </c>
      <c r="C852" s="37" t="inlineStr">
        <is>
          <t>进港</t>
        </is>
      </c>
      <c r="D852" s="19" t="inlineStr">
        <is>
          <t>液体散货</t>
        </is>
      </c>
      <c r="E852" s="19" t="inlineStr">
        <is>
          <t>国内沿海</t>
        </is>
      </c>
      <c r="F852" s="19" t="inlineStr">
        <is>
          <t>05号泊位</t>
        </is>
      </c>
      <c r="G852" s="20" t="n">
        <v>11593</v>
      </c>
      <c r="H852" s="38" t="n">
        <v>7.98</v>
      </c>
      <c r="I852" s="38" t="n">
        <v>2.87</v>
      </c>
      <c r="J852" s="38" t="n">
        <v>8.050000000000001</v>
      </c>
      <c r="K852" s="20" t="n">
        <v>0</v>
      </c>
      <c r="L852" s="26">
        <f>IF(H852&lt;=J852,1,0)</f>
        <v>1</v>
      </c>
    </row>
    <row r="853">
      <c r="A853" s="24" t="inlineStr">
        <is>
          <t>QL-141-6</t>
        </is>
      </c>
      <c r="B853" s="39" t="n">
        <v>45798</v>
      </c>
      <c r="C853" s="40" t="inlineStr">
        <is>
          <t>出港</t>
        </is>
      </c>
      <c r="D853" s="24" t="inlineStr">
        <is>
          <t>件杂货</t>
        </is>
      </c>
      <c r="E853" s="24" t="inlineStr">
        <is>
          <t>欧洲</t>
        </is>
      </c>
      <c r="F853" s="24" t="inlineStr">
        <is>
          <t>06号泊位</t>
        </is>
      </c>
      <c r="G853" s="25" t="n">
        <v>3425</v>
      </c>
      <c r="H853" s="41" t="n">
        <v>4.88</v>
      </c>
      <c r="I853" s="41" t="n">
        <v>2.26</v>
      </c>
      <c r="J853" s="41" t="n">
        <v>5.61</v>
      </c>
      <c r="K853" s="25" t="n">
        <v>0</v>
      </c>
      <c r="L853" s="26">
        <f>IF(H853&lt;=J853,1,0)</f>
        <v>1</v>
      </c>
    </row>
    <row r="854">
      <c r="A854" s="19" t="inlineStr">
        <is>
          <t>QL-142-1</t>
        </is>
      </c>
      <c r="B854" s="36" t="n">
        <v>45799</v>
      </c>
      <c r="C854" s="37" t="inlineStr">
        <is>
          <t>进港</t>
        </is>
      </c>
      <c r="D854" s="19" t="inlineStr">
        <is>
          <t>集装箱货物</t>
        </is>
      </c>
      <c r="E854" s="19" t="inlineStr">
        <is>
          <t>国内沿海</t>
        </is>
      </c>
      <c r="F854" s="19" t="inlineStr">
        <is>
          <t>01号泊位</t>
        </is>
      </c>
      <c r="G854" s="20" t="n">
        <v>12655</v>
      </c>
      <c r="H854" s="38" t="n">
        <v>12.55</v>
      </c>
      <c r="I854" s="38" t="n">
        <v>1.94</v>
      </c>
      <c r="J854" s="38" t="n">
        <v>14.06</v>
      </c>
      <c r="K854" s="20" t="n">
        <v>863</v>
      </c>
      <c r="L854" s="26">
        <f>IF(H854&lt;=J854,1,0)</f>
        <v>1</v>
      </c>
    </row>
    <row r="855">
      <c r="A855" s="24" t="inlineStr">
        <is>
          <t>QL-142-2</t>
        </is>
      </c>
      <c r="B855" s="39" t="n">
        <v>45799</v>
      </c>
      <c r="C855" s="40" t="inlineStr">
        <is>
          <t>出港</t>
        </is>
      </c>
      <c r="D855" s="24" t="inlineStr">
        <is>
          <t>金属矿石</t>
        </is>
      </c>
      <c r="E855" s="24" t="inlineStr">
        <is>
          <t>东亚</t>
        </is>
      </c>
      <c r="F855" s="24" t="inlineStr">
        <is>
          <t>02号泊位</t>
        </is>
      </c>
      <c r="G855" s="25" t="n">
        <v>22909</v>
      </c>
      <c r="H855" s="41" t="n">
        <v>13.34</v>
      </c>
      <c r="I855" s="41" t="n">
        <v>2.52</v>
      </c>
      <c r="J855" s="41" t="n">
        <v>14.78</v>
      </c>
      <c r="K855" s="25" t="n">
        <v>0</v>
      </c>
      <c r="L855" s="26">
        <f>IF(H855&lt;=J855,1,0)</f>
        <v>1</v>
      </c>
    </row>
    <row r="856">
      <c r="A856" s="19" t="inlineStr">
        <is>
          <t>QL-142-3</t>
        </is>
      </c>
      <c r="B856" s="36" t="n">
        <v>45799</v>
      </c>
      <c r="C856" s="37" t="inlineStr">
        <is>
          <t>进港</t>
        </is>
      </c>
      <c r="D856" s="19" t="inlineStr">
        <is>
          <t>煤炭</t>
        </is>
      </c>
      <c r="E856" s="19" t="inlineStr">
        <is>
          <t>东亚</t>
        </is>
      </c>
      <c r="F856" s="19" t="inlineStr">
        <is>
          <t>03号泊位</t>
        </is>
      </c>
      <c r="G856" s="20" t="n">
        <v>14721</v>
      </c>
      <c r="H856" s="38" t="n">
        <v>11.77</v>
      </c>
      <c r="I856" s="38" t="n">
        <v>0.72</v>
      </c>
      <c r="J856" s="38" t="n">
        <v>11.15</v>
      </c>
      <c r="K856" s="20" t="n">
        <v>0</v>
      </c>
      <c r="L856" s="26">
        <f>IF(H856&lt;=J856,1,0)</f>
        <v>0</v>
      </c>
    </row>
    <row r="857">
      <c r="A857" s="24" t="inlineStr">
        <is>
          <t>QL-142-4</t>
        </is>
      </c>
      <c r="B857" s="39" t="n">
        <v>45799</v>
      </c>
      <c r="C857" s="40" t="inlineStr">
        <is>
          <t>进港</t>
        </is>
      </c>
      <c r="D857" s="24" t="inlineStr">
        <is>
          <t>粮食</t>
        </is>
      </c>
      <c r="E857" s="24" t="inlineStr">
        <is>
          <t>东南亚</t>
        </is>
      </c>
      <c r="F857" s="24" t="inlineStr">
        <is>
          <t>04号泊位</t>
        </is>
      </c>
      <c r="G857" s="25" t="n">
        <v>8059</v>
      </c>
      <c r="H857" s="41" t="n">
        <v>9.09</v>
      </c>
      <c r="I857" s="41" t="n">
        <v>3.91</v>
      </c>
      <c r="J857" s="41" t="n">
        <v>7.9</v>
      </c>
      <c r="K857" s="25" t="n">
        <v>0</v>
      </c>
      <c r="L857" s="26">
        <f>IF(H857&lt;=J857,1,0)</f>
        <v>0</v>
      </c>
    </row>
    <row r="858">
      <c r="A858" s="19" t="inlineStr">
        <is>
          <t>QL-142-5</t>
        </is>
      </c>
      <c r="B858" s="36" t="n">
        <v>45799</v>
      </c>
      <c r="C858" s="37" t="inlineStr">
        <is>
          <t>进港</t>
        </is>
      </c>
      <c r="D858" s="19" t="inlineStr">
        <is>
          <t>液体散货</t>
        </is>
      </c>
      <c r="E858" s="19" t="inlineStr">
        <is>
          <t>欧洲</t>
        </is>
      </c>
      <c r="F858" s="19" t="inlineStr">
        <is>
          <t>05号泊位</t>
        </is>
      </c>
      <c r="G858" s="20" t="n">
        <v>12707</v>
      </c>
      <c r="H858" s="38" t="n">
        <v>9.1</v>
      </c>
      <c r="I858" s="38" t="n">
        <v>3.98</v>
      </c>
      <c r="J858" s="38" t="n">
        <v>8.82</v>
      </c>
      <c r="K858" s="20" t="n">
        <v>0</v>
      </c>
      <c r="L858" s="26">
        <f>IF(H858&lt;=J858,1,0)</f>
        <v>0</v>
      </c>
    </row>
    <row r="859">
      <c r="A859" s="24" t="inlineStr">
        <is>
          <t>QL-142-6</t>
        </is>
      </c>
      <c r="B859" s="39" t="n">
        <v>45799</v>
      </c>
      <c r="C859" s="40" t="inlineStr">
        <is>
          <t>出港</t>
        </is>
      </c>
      <c r="D859" s="24" t="inlineStr">
        <is>
          <t>件杂货</t>
        </is>
      </c>
      <c r="E859" s="24" t="inlineStr">
        <is>
          <t>国内沿海</t>
        </is>
      </c>
      <c r="F859" s="24" t="inlineStr">
        <is>
          <t>06号泊位</t>
        </is>
      </c>
      <c r="G859" s="25" t="n">
        <v>6028</v>
      </c>
      <c r="H859" s="41" t="n">
        <v>8.82</v>
      </c>
      <c r="I859" s="41" t="n">
        <v>4.96</v>
      </c>
      <c r="J859" s="41" t="n">
        <v>9.880000000000001</v>
      </c>
      <c r="K859" s="25" t="n">
        <v>0</v>
      </c>
      <c r="L859" s="26">
        <f>IF(H859&lt;=J859,1,0)</f>
        <v>1</v>
      </c>
    </row>
    <row r="860">
      <c r="A860" s="19" t="inlineStr">
        <is>
          <t>QL-143-1</t>
        </is>
      </c>
      <c r="B860" s="36" t="n">
        <v>45800</v>
      </c>
      <c r="C860" s="37" t="inlineStr">
        <is>
          <t>进港</t>
        </is>
      </c>
      <c r="D860" s="19" t="inlineStr">
        <is>
          <t>集装箱货物</t>
        </is>
      </c>
      <c r="E860" s="19" t="inlineStr">
        <is>
          <t>东亚</t>
        </is>
      </c>
      <c r="F860" s="19" t="inlineStr">
        <is>
          <t>01号泊位</t>
        </is>
      </c>
      <c r="G860" s="20" t="n">
        <v>8000</v>
      </c>
      <c r="H860" s="38" t="n">
        <v>9.49</v>
      </c>
      <c r="I860" s="38" t="n">
        <v>3.39</v>
      </c>
      <c r="J860" s="38" t="n">
        <v>8.890000000000001</v>
      </c>
      <c r="K860" s="20" t="n">
        <v>482</v>
      </c>
      <c r="L860" s="26">
        <f>IF(H860&lt;=J860,1,0)</f>
        <v>0</v>
      </c>
    </row>
    <row r="861">
      <c r="A861" s="24" t="inlineStr">
        <is>
          <t>QL-143-2</t>
        </is>
      </c>
      <c r="B861" s="39" t="n">
        <v>45800</v>
      </c>
      <c r="C861" s="40" t="inlineStr">
        <is>
          <t>进港</t>
        </is>
      </c>
      <c r="D861" s="24" t="inlineStr">
        <is>
          <t>金属矿石</t>
        </is>
      </c>
      <c r="E861" s="24" t="inlineStr">
        <is>
          <t>东南亚</t>
        </is>
      </c>
      <c r="F861" s="24" t="inlineStr">
        <is>
          <t>02号泊位</t>
        </is>
      </c>
      <c r="G861" s="25" t="n">
        <v>32876</v>
      </c>
      <c r="H861" s="41" t="n">
        <v>17.65</v>
      </c>
      <c r="I861" s="41" t="n">
        <v>3.83</v>
      </c>
      <c r="J861" s="41" t="n">
        <v>21.21</v>
      </c>
      <c r="K861" s="25" t="n">
        <v>0</v>
      </c>
      <c r="L861" s="26">
        <f>IF(H861&lt;=J861,1,0)</f>
        <v>1</v>
      </c>
    </row>
    <row r="862">
      <c r="A862" s="19" t="inlineStr">
        <is>
          <t>QL-143-3</t>
        </is>
      </c>
      <c r="B862" s="36" t="n">
        <v>45800</v>
      </c>
      <c r="C862" s="37" t="inlineStr">
        <is>
          <t>进港</t>
        </is>
      </c>
      <c r="D862" s="19" t="inlineStr">
        <is>
          <t>煤炭</t>
        </is>
      </c>
      <c r="E862" s="19" t="inlineStr">
        <is>
          <t>国内沿海</t>
        </is>
      </c>
      <c r="F862" s="19" t="inlineStr">
        <is>
          <t>03号泊位</t>
        </is>
      </c>
      <c r="G862" s="20" t="n">
        <v>13186</v>
      </c>
      <c r="H862" s="38" t="n">
        <v>11.07</v>
      </c>
      <c r="I862" s="38" t="n">
        <v>1.9</v>
      </c>
      <c r="J862" s="38" t="n">
        <v>9.99</v>
      </c>
      <c r="K862" s="20" t="n">
        <v>0</v>
      </c>
      <c r="L862" s="26">
        <f>IF(H862&lt;=J862,1,0)</f>
        <v>0</v>
      </c>
    </row>
    <row r="863">
      <c r="A863" s="24" t="inlineStr">
        <is>
          <t>QL-143-4</t>
        </is>
      </c>
      <c r="B863" s="39" t="n">
        <v>45800</v>
      </c>
      <c r="C863" s="40" t="inlineStr">
        <is>
          <t>进港</t>
        </is>
      </c>
      <c r="D863" s="24" t="inlineStr">
        <is>
          <t>粮食</t>
        </is>
      </c>
      <c r="E863" s="24" t="inlineStr">
        <is>
          <t>东亚</t>
        </is>
      </c>
      <c r="F863" s="24" t="inlineStr">
        <is>
          <t>04号泊位</t>
        </is>
      </c>
      <c r="G863" s="25" t="n">
        <v>11944</v>
      </c>
      <c r="H863" s="41" t="n">
        <v>13.32</v>
      </c>
      <c r="I863" s="41" t="n">
        <v>1.53</v>
      </c>
      <c r="J863" s="41" t="n">
        <v>11.71</v>
      </c>
      <c r="K863" s="25" t="n">
        <v>0</v>
      </c>
      <c r="L863" s="26">
        <f>IF(H863&lt;=J863,1,0)</f>
        <v>0</v>
      </c>
    </row>
    <row r="864">
      <c r="A864" s="19" t="inlineStr">
        <is>
          <t>QL-143-5</t>
        </is>
      </c>
      <c r="B864" s="36" t="n">
        <v>45800</v>
      </c>
      <c r="C864" s="37" t="inlineStr">
        <is>
          <t>出港</t>
        </is>
      </c>
      <c r="D864" s="19" t="inlineStr">
        <is>
          <t>液体散货</t>
        </is>
      </c>
      <c r="E864" s="19" t="inlineStr">
        <is>
          <t>国内沿海</t>
        </is>
      </c>
      <c r="F864" s="19" t="inlineStr">
        <is>
          <t>05号泊位</t>
        </is>
      </c>
      <c r="G864" s="20" t="n">
        <v>8677</v>
      </c>
      <c r="H864" s="38" t="n">
        <v>5.09</v>
      </c>
      <c r="I864" s="38" t="n">
        <v>4.54</v>
      </c>
      <c r="J864" s="38" t="n">
        <v>6.03</v>
      </c>
      <c r="K864" s="20" t="n">
        <v>0</v>
      </c>
      <c r="L864" s="26">
        <f>IF(H864&lt;=J864,1,0)</f>
        <v>1</v>
      </c>
    </row>
    <row r="865">
      <c r="A865" s="24" t="inlineStr">
        <is>
          <t>QL-143-6</t>
        </is>
      </c>
      <c r="B865" s="39" t="n">
        <v>45800</v>
      </c>
      <c r="C865" s="40" t="inlineStr">
        <is>
          <t>进港</t>
        </is>
      </c>
      <c r="D865" s="24" t="inlineStr">
        <is>
          <t>件杂货</t>
        </is>
      </c>
      <c r="E865" s="24" t="inlineStr">
        <is>
          <t>东南亚</t>
        </is>
      </c>
      <c r="F865" s="24" t="inlineStr">
        <is>
          <t>06号泊位</t>
        </is>
      </c>
      <c r="G865" s="25" t="n">
        <v>4203</v>
      </c>
      <c r="H865" s="41" t="n">
        <v>8.18</v>
      </c>
      <c r="I865" s="41" t="n">
        <v>2.33</v>
      </c>
      <c r="J865" s="41" t="n">
        <v>6.89</v>
      </c>
      <c r="K865" s="25" t="n">
        <v>0</v>
      </c>
      <c r="L865" s="26">
        <f>IF(H865&lt;=J865,1,0)</f>
        <v>0</v>
      </c>
    </row>
    <row r="866">
      <c r="A866" s="19" t="inlineStr">
        <is>
          <t>QL-144-1</t>
        </is>
      </c>
      <c r="B866" s="36" t="n">
        <v>45801</v>
      </c>
      <c r="C866" s="37" t="inlineStr">
        <is>
          <t>进港</t>
        </is>
      </c>
      <c r="D866" s="19" t="inlineStr">
        <is>
          <t>集装箱货物</t>
        </is>
      </c>
      <c r="E866" s="19" t="inlineStr">
        <is>
          <t>欧洲</t>
        </is>
      </c>
      <c r="F866" s="19" t="inlineStr">
        <is>
          <t>01号泊位</t>
        </is>
      </c>
      <c r="G866" s="20" t="n">
        <v>11115</v>
      </c>
      <c r="H866" s="38" t="n">
        <v>14.39</v>
      </c>
      <c r="I866" s="38" t="n">
        <v>2.11</v>
      </c>
      <c r="J866" s="38" t="n">
        <v>12.35</v>
      </c>
      <c r="K866" s="20" t="n">
        <v>815</v>
      </c>
      <c r="L866" s="26">
        <f>IF(H866&lt;=J866,1,0)</f>
        <v>0</v>
      </c>
    </row>
    <row r="867">
      <c r="A867" s="24" t="inlineStr">
        <is>
          <t>QL-144-2</t>
        </is>
      </c>
      <c r="B867" s="39" t="n">
        <v>45801</v>
      </c>
      <c r="C867" s="40" t="inlineStr">
        <is>
          <t>进港</t>
        </is>
      </c>
      <c r="D867" s="24" t="inlineStr">
        <is>
          <t>金属矿石</t>
        </is>
      </c>
      <c r="E867" s="24" t="inlineStr">
        <is>
          <t>东南亚</t>
        </is>
      </c>
      <c r="F867" s="24" t="inlineStr">
        <is>
          <t>02号泊位</t>
        </is>
      </c>
      <c r="G867" s="25" t="n">
        <v>33809</v>
      </c>
      <c r="H867" s="41" t="n">
        <v>23.07</v>
      </c>
      <c r="I867" s="41" t="n">
        <v>1.58</v>
      </c>
      <c r="J867" s="41" t="n">
        <v>21.81</v>
      </c>
      <c r="K867" s="25" t="n">
        <v>0</v>
      </c>
      <c r="L867" s="26">
        <f>IF(H867&lt;=J867,1,0)</f>
        <v>0</v>
      </c>
    </row>
    <row r="868">
      <c r="A868" s="19" t="inlineStr">
        <is>
          <t>QL-144-3</t>
        </is>
      </c>
      <c r="B868" s="36" t="n">
        <v>45801</v>
      </c>
      <c r="C868" s="37" t="inlineStr">
        <is>
          <t>进港</t>
        </is>
      </c>
      <c r="D868" s="19" t="inlineStr">
        <is>
          <t>煤炭</t>
        </is>
      </c>
      <c r="E868" s="19" t="inlineStr">
        <is>
          <t>东亚</t>
        </is>
      </c>
      <c r="F868" s="19" t="inlineStr">
        <is>
          <t>03号泊位</t>
        </is>
      </c>
      <c r="G868" s="20" t="n">
        <v>10144</v>
      </c>
      <c r="H868" s="38" t="n">
        <v>8.859999999999999</v>
      </c>
      <c r="I868" s="38" t="n">
        <v>4.48</v>
      </c>
      <c r="J868" s="38" t="n">
        <v>7.68</v>
      </c>
      <c r="K868" s="20" t="n">
        <v>0</v>
      </c>
      <c r="L868" s="26">
        <f>IF(H868&lt;=J868,1,0)</f>
        <v>0</v>
      </c>
    </row>
    <row r="869">
      <c r="A869" s="24" t="inlineStr">
        <is>
          <t>QL-144-4</t>
        </is>
      </c>
      <c r="B869" s="39" t="n">
        <v>45801</v>
      </c>
      <c r="C869" s="40" t="inlineStr">
        <is>
          <t>进港</t>
        </is>
      </c>
      <c r="D869" s="24" t="inlineStr">
        <is>
          <t>粮食</t>
        </is>
      </c>
      <c r="E869" s="24" t="inlineStr">
        <is>
          <t>东亚</t>
        </is>
      </c>
      <c r="F869" s="24" t="inlineStr">
        <is>
          <t>04号泊位</t>
        </is>
      </c>
      <c r="G869" s="25" t="n">
        <v>12854</v>
      </c>
      <c r="H869" s="41" t="n">
        <v>10.66</v>
      </c>
      <c r="I869" s="41" t="n">
        <v>3.77</v>
      </c>
      <c r="J869" s="41" t="n">
        <v>12.6</v>
      </c>
      <c r="K869" s="25" t="n">
        <v>0</v>
      </c>
      <c r="L869" s="26">
        <f>IF(H869&lt;=J869,1,0)</f>
        <v>1</v>
      </c>
    </row>
    <row r="870">
      <c r="A870" s="19" t="inlineStr">
        <is>
          <t>QL-144-5</t>
        </is>
      </c>
      <c r="B870" s="36" t="n">
        <v>45801</v>
      </c>
      <c r="C870" s="37" t="inlineStr">
        <is>
          <t>出港</t>
        </is>
      </c>
      <c r="D870" s="19" t="inlineStr">
        <is>
          <t>液体散货</t>
        </is>
      </c>
      <c r="E870" s="19" t="inlineStr">
        <is>
          <t>东南亚</t>
        </is>
      </c>
      <c r="F870" s="19" t="inlineStr">
        <is>
          <t>05号泊位</t>
        </is>
      </c>
      <c r="G870" s="20" t="n">
        <v>10019</v>
      </c>
      <c r="H870" s="38" t="n">
        <v>6.46</v>
      </c>
      <c r="I870" s="38" t="n">
        <v>4.31</v>
      </c>
      <c r="J870" s="38" t="n">
        <v>6.96</v>
      </c>
      <c r="K870" s="20" t="n">
        <v>0</v>
      </c>
      <c r="L870" s="26">
        <f>IF(H870&lt;=J870,1,0)</f>
        <v>1</v>
      </c>
    </row>
    <row r="871">
      <c r="A871" s="24" t="inlineStr">
        <is>
          <t>QL-144-6</t>
        </is>
      </c>
      <c r="B871" s="39" t="n">
        <v>45801</v>
      </c>
      <c r="C871" s="40" t="inlineStr">
        <is>
          <t>出港</t>
        </is>
      </c>
      <c r="D871" s="24" t="inlineStr">
        <is>
          <t>件杂货</t>
        </is>
      </c>
      <c r="E871" s="24" t="inlineStr">
        <is>
          <t>欧洲</t>
        </is>
      </c>
      <c r="F871" s="24" t="inlineStr">
        <is>
          <t>06号泊位</t>
        </is>
      </c>
      <c r="G871" s="25" t="n">
        <v>4353</v>
      </c>
      <c r="H871" s="41" t="n">
        <v>8.48</v>
      </c>
      <c r="I871" s="41" t="n">
        <v>3.56</v>
      </c>
      <c r="J871" s="41" t="n">
        <v>7.14</v>
      </c>
      <c r="K871" s="25" t="n">
        <v>0</v>
      </c>
      <c r="L871" s="26">
        <f>IF(H871&lt;=J871,1,0)</f>
        <v>0</v>
      </c>
    </row>
    <row r="872">
      <c r="A872" s="19" t="inlineStr">
        <is>
          <t>QL-145-1</t>
        </is>
      </c>
      <c r="B872" s="36" t="n">
        <v>45802</v>
      </c>
      <c r="C872" s="37" t="inlineStr">
        <is>
          <t>出港</t>
        </is>
      </c>
      <c r="D872" s="19" t="inlineStr">
        <is>
          <t>集装箱货物</t>
        </is>
      </c>
      <c r="E872" s="19" t="inlineStr">
        <is>
          <t>国内沿海</t>
        </is>
      </c>
      <c r="F872" s="19" t="inlineStr">
        <is>
          <t>01号泊位</t>
        </is>
      </c>
      <c r="G872" s="20" t="n">
        <v>10357</v>
      </c>
      <c r="H872" s="38" t="n">
        <v>12.6</v>
      </c>
      <c r="I872" s="38" t="n">
        <v>0.49</v>
      </c>
      <c r="J872" s="38" t="n">
        <v>11.51</v>
      </c>
      <c r="K872" s="20" t="n">
        <v>730</v>
      </c>
      <c r="L872" s="26">
        <f>IF(H872&lt;=J872,1,0)</f>
        <v>0</v>
      </c>
    </row>
    <row r="873">
      <c r="A873" s="24" t="inlineStr">
        <is>
          <t>QL-145-2</t>
        </is>
      </c>
      <c r="B873" s="39" t="n">
        <v>45802</v>
      </c>
      <c r="C873" s="40" t="inlineStr">
        <is>
          <t>进港</t>
        </is>
      </c>
      <c r="D873" s="24" t="inlineStr">
        <is>
          <t>金属矿石</t>
        </is>
      </c>
      <c r="E873" s="24" t="inlineStr">
        <is>
          <t>东南亚</t>
        </is>
      </c>
      <c r="F873" s="24" t="inlineStr">
        <is>
          <t>02号泊位</t>
        </is>
      </c>
      <c r="G873" s="25" t="n">
        <v>17780</v>
      </c>
      <c r="H873" s="41" t="n">
        <v>10.81</v>
      </c>
      <c r="I873" s="41" t="n">
        <v>2.84</v>
      </c>
      <c r="J873" s="41" t="n">
        <v>11.47</v>
      </c>
      <c r="K873" s="25" t="n">
        <v>0</v>
      </c>
      <c r="L873" s="26">
        <f>IF(H873&lt;=J873,1,0)</f>
        <v>1</v>
      </c>
    </row>
    <row r="874">
      <c r="A874" s="19" t="inlineStr">
        <is>
          <t>QL-145-3</t>
        </is>
      </c>
      <c r="B874" s="36" t="n">
        <v>45802</v>
      </c>
      <c r="C874" s="37" t="inlineStr">
        <is>
          <t>进港</t>
        </is>
      </c>
      <c r="D874" s="19" t="inlineStr">
        <is>
          <t>煤炭</t>
        </is>
      </c>
      <c r="E874" s="19" t="inlineStr">
        <is>
          <t>东南亚</t>
        </is>
      </c>
      <c r="F874" s="19" t="inlineStr">
        <is>
          <t>03号泊位</t>
        </is>
      </c>
      <c r="G874" s="20" t="n">
        <v>12763</v>
      </c>
      <c r="H874" s="38" t="n">
        <v>11.22</v>
      </c>
      <c r="I874" s="38" t="n">
        <v>6.33</v>
      </c>
      <c r="J874" s="38" t="n">
        <v>9.67</v>
      </c>
      <c r="K874" s="20" t="n">
        <v>0</v>
      </c>
      <c r="L874" s="26">
        <f>IF(H874&lt;=J874,1,0)</f>
        <v>0</v>
      </c>
    </row>
    <row r="875">
      <c r="A875" s="24" t="inlineStr">
        <is>
          <t>QL-145-4</t>
        </is>
      </c>
      <c r="B875" s="39" t="n">
        <v>45802</v>
      </c>
      <c r="C875" s="40" t="inlineStr">
        <is>
          <t>进港</t>
        </is>
      </c>
      <c r="D875" s="24" t="inlineStr">
        <is>
          <t>粮食</t>
        </is>
      </c>
      <c r="E875" s="24" t="inlineStr">
        <is>
          <t>东亚</t>
        </is>
      </c>
      <c r="F875" s="24" t="inlineStr">
        <is>
          <t>04号泊位</t>
        </is>
      </c>
      <c r="G875" s="25" t="n">
        <v>11100</v>
      </c>
      <c r="H875" s="41" t="n">
        <v>10.15</v>
      </c>
      <c r="I875" s="41" t="n">
        <v>4.8</v>
      </c>
      <c r="J875" s="41" t="n">
        <v>10.88</v>
      </c>
      <c r="K875" s="25" t="n">
        <v>0</v>
      </c>
      <c r="L875" s="26">
        <f>IF(H875&lt;=J875,1,0)</f>
        <v>1</v>
      </c>
    </row>
    <row r="876">
      <c r="A876" s="19" t="inlineStr">
        <is>
          <t>QL-145-5</t>
        </is>
      </c>
      <c r="B876" s="36" t="n">
        <v>45802</v>
      </c>
      <c r="C876" s="37" t="inlineStr">
        <is>
          <t>进港</t>
        </is>
      </c>
      <c r="D876" s="19" t="inlineStr">
        <is>
          <t>液体散货</t>
        </is>
      </c>
      <c r="E876" s="19" t="inlineStr">
        <is>
          <t>东亚</t>
        </is>
      </c>
      <c r="F876" s="19" t="inlineStr">
        <is>
          <t>05号泊位</t>
        </is>
      </c>
      <c r="G876" s="20" t="n">
        <v>11582</v>
      </c>
      <c r="H876" s="38" t="n">
        <v>7.41</v>
      </c>
      <c r="I876" s="38" t="n">
        <v>4.16</v>
      </c>
      <c r="J876" s="38" t="n">
        <v>8.039999999999999</v>
      </c>
      <c r="K876" s="20" t="n">
        <v>0</v>
      </c>
      <c r="L876" s="26">
        <f>IF(H876&lt;=J876,1,0)</f>
        <v>1</v>
      </c>
    </row>
    <row r="877">
      <c r="A877" s="24" t="inlineStr">
        <is>
          <t>QL-145-6</t>
        </is>
      </c>
      <c r="B877" s="39" t="n">
        <v>45802</v>
      </c>
      <c r="C877" s="40" t="inlineStr">
        <is>
          <t>进港</t>
        </is>
      </c>
      <c r="D877" s="24" t="inlineStr">
        <is>
          <t>件杂货</t>
        </is>
      </c>
      <c r="E877" s="24" t="inlineStr">
        <is>
          <t>东亚</t>
        </is>
      </c>
      <c r="F877" s="24" t="inlineStr">
        <is>
          <t>06号泊位</t>
        </is>
      </c>
      <c r="G877" s="25" t="n">
        <v>5222</v>
      </c>
      <c r="H877" s="41" t="n">
        <v>8.130000000000001</v>
      </c>
      <c r="I877" s="41" t="n">
        <v>0.3</v>
      </c>
      <c r="J877" s="41" t="n">
        <v>8.56</v>
      </c>
      <c r="K877" s="25" t="n">
        <v>0</v>
      </c>
      <c r="L877" s="26">
        <f>IF(H877&lt;=J877,1,0)</f>
        <v>1</v>
      </c>
    </row>
    <row r="878">
      <c r="A878" s="19" t="inlineStr">
        <is>
          <t>QL-146-1</t>
        </is>
      </c>
      <c r="B878" s="36" t="n">
        <v>45803</v>
      </c>
      <c r="C878" s="37" t="inlineStr">
        <is>
          <t>出港</t>
        </is>
      </c>
      <c r="D878" s="19" t="inlineStr">
        <is>
          <t>集装箱货物</t>
        </is>
      </c>
      <c r="E878" s="19" t="inlineStr">
        <is>
          <t>东南亚</t>
        </is>
      </c>
      <c r="F878" s="19" t="inlineStr">
        <is>
          <t>01号泊位</t>
        </is>
      </c>
      <c r="G878" s="20" t="n">
        <v>9290</v>
      </c>
      <c r="H878" s="38" t="n">
        <v>11.42</v>
      </c>
      <c r="I878" s="38" t="n">
        <v>1.15</v>
      </c>
      <c r="J878" s="38" t="n">
        <v>10.32</v>
      </c>
      <c r="K878" s="20" t="n">
        <v>567</v>
      </c>
      <c r="L878" s="26">
        <f>IF(H878&lt;=J878,1,0)</f>
        <v>0</v>
      </c>
    </row>
    <row r="879">
      <c r="A879" s="24" t="inlineStr">
        <is>
          <t>QL-146-2</t>
        </is>
      </c>
      <c r="B879" s="39" t="n">
        <v>45803</v>
      </c>
      <c r="C879" s="40" t="inlineStr">
        <is>
          <t>进港</t>
        </is>
      </c>
      <c r="D879" s="24" t="inlineStr">
        <is>
          <t>金属矿石</t>
        </is>
      </c>
      <c r="E879" s="24" t="inlineStr">
        <is>
          <t>欧洲</t>
        </is>
      </c>
      <c r="F879" s="24" t="inlineStr">
        <is>
          <t>02号泊位</t>
        </is>
      </c>
      <c r="G879" s="25" t="n">
        <v>24095</v>
      </c>
      <c r="H879" s="41" t="n">
        <v>13.46</v>
      </c>
      <c r="I879" s="41" t="n">
        <v>1.62</v>
      </c>
      <c r="J879" s="41" t="n">
        <v>15.55</v>
      </c>
      <c r="K879" s="25" t="n">
        <v>0</v>
      </c>
      <c r="L879" s="26">
        <f>IF(H879&lt;=J879,1,0)</f>
        <v>1</v>
      </c>
    </row>
    <row r="880">
      <c r="A880" s="19" t="inlineStr">
        <is>
          <t>QL-146-3</t>
        </is>
      </c>
      <c r="B880" s="36" t="n">
        <v>45803</v>
      </c>
      <c r="C880" s="37" t="inlineStr">
        <is>
          <t>进港</t>
        </is>
      </c>
      <c r="D880" s="19" t="inlineStr">
        <is>
          <t>煤炭</t>
        </is>
      </c>
      <c r="E880" s="19" t="inlineStr">
        <is>
          <t>国内沿海</t>
        </is>
      </c>
      <c r="F880" s="19" t="inlineStr">
        <is>
          <t>03号泊位</t>
        </is>
      </c>
      <c r="G880" s="20" t="n">
        <v>17329</v>
      </c>
      <c r="H880" s="38" t="n">
        <v>10.91</v>
      </c>
      <c r="I880" s="38" t="n">
        <v>4.08</v>
      </c>
      <c r="J880" s="38" t="n">
        <v>13.13</v>
      </c>
      <c r="K880" s="20" t="n">
        <v>0</v>
      </c>
      <c r="L880" s="26">
        <f>IF(H880&lt;=J880,1,0)</f>
        <v>1</v>
      </c>
    </row>
    <row r="881">
      <c r="A881" s="24" t="inlineStr">
        <is>
          <t>QL-146-4</t>
        </is>
      </c>
      <c r="B881" s="39" t="n">
        <v>45803</v>
      </c>
      <c r="C881" s="40" t="inlineStr">
        <is>
          <t>进港</t>
        </is>
      </c>
      <c r="D881" s="24" t="inlineStr">
        <is>
          <t>粮食</t>
        </is>
      </c>
      <c r="E881" s="24" t="inlineStr">
        <is>
          <t>东亚</t>
        </is>
      </c>
      <c r="F881" s="24" t="inlineStr">
        <is>
          <t>04号泊位</t>
        </is>
      </c>
      <c r="G881" s="25" t="n">
        <v>8918</v>
      </c>
      <c r="H881" s="41" t="n">
        <v>8.73</v>
      </c>
      <c r="I881" s="41" t="n">
        <v>2.24</v>
      </c>
      <c r="J881" s="41" t="n">
        <v>8.74</v>
      </c>
      <c r="K881" s="25" t="n">
        <v>0</v>
      </c>
      <c r="L881" s="26">
        <f>IF(H881&lt;=J881,1,0)</f>
        <v>1</v>
      </c>
    </row>
    <row r="882">
      <c r="A882" s="19" t="inlineStr">
        <is>
          <t>QL-146-5</t>
        </is>
      </c>
      <c r="B882" s="36" t="n">
        <v>45803</v>
      </c>
      <c r="C882" s="37" t="inlineStr">
        <is>
          <t>进港</t>
        </is>
      </c>
      <c r="D882" s="19" t="inlineStr">
        <is>
          <t>液体散货</t>
        </is>
      </c>
      <c r="E882" s="19" t="inlineStr">
        <is>
          <t>东南亚</t>
        </is>
      </c>
      <c r="F882" s="19" t="inlineStr">
        <is>
          <t>05号泊位</t>
        </is>
      </c>
      <c r="G882" s="20" t="n">
        <v>18458</v>
      </c>
      <c r="H882" s="38" t="n">
        <v>14.6</v>
      </c>
      <c r="I882" s="38" t="n">
        <v>0.3</v>
      </c>
      <c r="J882" s="38" t="n">
        <v>12.82</v>
      </c>
      <c r="K882" s="20" t="n">
        <v>0</v>
      </c>
      <c r="L882" s="26">
        <f>IF(H882&lt;=J882,1,0)</f>
        <v>0</v>
      </c>
    </row>
    <row r="883">
      <c r="A883" s="24" t="inlineStr">
        <is>
          <t>QL-146-6</t>
        </is>
      </c>
      <c r="B883" s="39" t="n">
        <v>45803</v>
      </c>
      <c r="C883" s="40" t="inlineStr">
        <is>
          <t>出港</t>
        </is>
      </c>
      <c r="D883" s="24" t="inlineStr">
        <is>
          <t>件杂货</t>
        </is>
      </c>
      <c r="E883" s="24" t="inlineStr">
        <is>
          <t>东南亚</t>
        </is>
      </c>
      <c r="F883" s="24" t="inlineStr">
        <is>
          <t>06号泊位</t>
        </is>
      </c>
      <c r="G883" s="25" t="n">
        <v>4306</v>
      </c>
      <c r="H883" s="41" t="n">
        <v>7.54</v>
      </c>
      <c r="I883" s="41" t="n">
        <v>4.22</v>
      </c>
      <c r="J883" s="41" t="n">
        <v>7.06</v>
      </c>
      <c r="K883" s="25" t="n">
        <v>0</v>
      </c>
      <c r="L883" s="26">
        <f>IF(H883&lt;=J883,1,0)</f>
        <v>0</v>
      </c>
    </row>
    <row r="884">
      <c r="A884" s="19" t="inlineStr">
        <is>
          <t>QL-147-1</t>
        </is>
      </c>
      <c r="B884" s="36" t="n">
        <v>45804</v>
      </c>
      <c r="C884" s="37" t="inlineStr">
        <is>
          <t>出港</t>
        </is>
      </c>
      <c r="D884" s="19" t="inlineStr">
        <is>
          <t>集装箱货物</t>
        </is>
      </c>
      <c r="E884" s="19" t="inlineStr">
        <is>
          <t>国内沿海</t>
        </is>
      </c>
      <c r="F884" s="19" t="inlineStr">
        <is>
          <t>01号泊位</t>
        </is>
      </c>
      <c r="G884" s="20" t="n">
        <v>14373</v>
      </c>
      <c r="H884" s="38" t="n">
        <v>19.19</v>
      </c>
      <c r="I884" s="38" t="n">
        <v>2.62</v>
      </c>
      <c r="J884" s="38" t="n">
        <v>15.97</v>
      </c>
      <c r="K884" s="20" t="n">
        <v>907</v>
      </c>
      <c r="L884" s="26">
        <f>IF(H884&lt;=J884,1,0)</f>
        <v>0</v>
      </c>
    </row>
    <row r="885">
      <c r="A885" s="24" t="inlineStr">
        <is>
          <t>QL-147-2</t>
        </is>
      </c>
      <c r="B885" s="39" t="n">
        <v>45804</v>
      </c>
      <c r="C885" s="40" t="inlineStr">
        <is>
          <t>进港</t>
        </is>
      </c>
      <c r="D885" s="24" t="inlineStr">
        <is>
          <t>金属矿石</t>
        </is>
      </c>
      <c r="E885" s="24" t="inlineStr">
        <is>
          <t>国内沿海</t>
        </is>
      </c>
      <c r="F885" s="24" t="inlineStr">
        <is>
          <t>02号泊位</t>
        </is>
      </c>
      <c r="G885" s="25" t="n">
        <v>35563</v>
      </c>
      <c r="H885" s="41" t="n">
        <v>24.29</v>
      </c>
      <c r="I885" s="41" t="n">
        <v>0.36</v>
      </c>
      <c r="J885" s="41" t="n">
        <v>22.94</v>
      </c>
      <c r="K885" s="25" t="n">
        <v>0</v>
      </c>
      <c r="L885" s="26">
        <f>IF(H885&lt;=J885,1,0)</f>
        <v>0</v>
      </c>
    </row>
    <row r="886">
      <c r="A886" s="19" t="inlineStr">
        <is>
          <t>QL-147-3</t>
        </is>
      </c>
      <c r="B886" s="36" t="n">
        <v>45804</v>
      </c>
      <c r="C886" s="37" t="inlineStr">
        <is>
          <t>出港</t>
        </is>
      </c>
      <c r="D886" s="19" t="inlineStr">
        <is>
          <t>煤炭</t>
        </is>
      </c>
      <c r="E886" s="19" t="inlineStr">
        <is>
          <t>北美</t>
        </is>
      </c>
      <c r="F886" s="19" t="inlineStr">
        <is>
          <t>03号泊位</t>
        </is>
      </c>
      <c r="G886" s="20" t="n">
        <v>14842</v>
      </c>
      <c r="H886" s="38" t="n">
        <v>11.06</v>
      </c>
      <c r="I886" s="38" t="n">
        <v>2.12</v>
      </c>
      <c r="J886" s="38" t="n">
        <v>11.24</v>
      </c>
      <c r="K886" s="20" t="n">
        <v>0</v>
      </c>
      <c r="L886" s="26">
        <f>IF(H886&lt;=J886,1,0)</f>
        <v>1</v>
      </c>
    </row>
    <row r="887">
      <c r="A887" s="24" t="inlineStr">
        <is>
          <t>QL-147-4</t>
        </is>
      </c>
      <c r="B887" s="39" t="n">
        <v>45804</v>
      </c>
      <c r="C887" s="40" t="inlineStr">
        <is>
          <t>进港</t>
        </is>
      </c>
      <c r="D887" s="24" t="inlineStr">
        <is>
          <t>粮食</t>
        </is>
      </c>
      <c r="E887" s="24" t="inlineStr">
        <is>
          <t>欧洲</t>
        </is>
      </c>
      <c r="F887" s="24" t="inlineStr">
        <is>
          <t>04号泊位</t>
        </is>
      </c>
      <c r="G887" s="25" t="n">
        <v>8800</v>
      </c>
      <c r="H887" s="41" t="n">
        <v>7.64</v>
      </c>
      <c r="I887" s="41" t="n">
        <v>2.29</v>
      </c>
      <c r="J887" s="41" t="n">
        <v>8.630000000000001</v>
      </c>
      <c r="K887" s="25" t="n">
        <v>0</v>
      </c>
      <c r="L887" s="26">
        <f>IF(H887&lt;=J887,1,0)</f>
        <v>1</v>
      </c>
    </row>
    <row r="888">
      <c r="A888" s="19" t="inlineStr">
        <is>
          <t>QL-147-5</t>
        </is>
      </c>
      <c r="B888" s="36" t="n">
        <v>45804</v>
      </c>
      <c r="C888" s="37" t="inlineStr">
        <is>
          <t>出港</t>
        </is>
      </c>
      <c r="D888" s="19" t="inlineStr">
        <is>
          <t>液体散货</t>
        </is>
      </c>
      <c r="E888" s="19" t="inlineStr">
        <is>
          <t>东南亚</t>
        </is>
      </c>
      <c r="F888" s="19" t="inlineStr">
        <is>
          <t>05号泊位</t>
        </is>
      </c>
      <c r="G888" s="20" t="n">
        <v>9687</v>
      </c>
      <c r="H888" s="38" t="n">
        <v>6.13</v>
      </c>
      <c r="I888" s="38" t="n">
        <v>1.11</v>
      </c>
      <c r="J888" s="38" t="n">
        <v>6.73</v>
      </c>
      <c r="K888" s="20" t="n">
        <v>0</v>
      </c>
      <c r="L888" s="26">
        <f>IF(H888&lt;=J888,1,0)</f>
        <v>1</v>
      </c>
    </row>
    <row r="889">
      <c r="A889" s="24" t="inlineStr">
        <is>
          <t>QL-147-6</t>
        </is>
      </c>
      <c r="B889" s="39" t="n">
        <v>45804</v>
      </c>
      <c r="C889" s="40" t="inlineStr">
        <is>
          <t>出港</t>
        </is>
      </c>
      <c r="D889" s="24" t="inlineStr">
        <is>
          <t>件杂货</t>
        </is>
      </c>
      <c r="E889" s="24" t="inlineStr">
        <is>
          <t>北美</t>
        </is>
      </c>
      <c r="F889" s="24" t="inlineStr">
        <is>
          <t>06号泊位</t>
        </is>
      </c>
      <c r="G889" s="25" t="n">
        <v>3766</v>
      </c>
      <c r="H889" s="41" t="n">
        <v>7.25</v>
      </c>
      <c r="I889" s="41" t="n">
        <v>4.09</v>
      </c>
      <c r="J889" s="41" t="n">
        <v>6.17</v>
      </c>
      <c r="K889" s="25" t="n">
        <v>0</v>
      </c>
      <c r="L889" s="26">
        <f>IF(H889&lt;=J889,1,0)</f>
        <v>0</v>
      </c>
    </row>
    <row r="890">
      <c r="A890" s="19" t="inlineStr">
        <is>
          <t>QL-148-1</t>
        </is>
      </c>
      <c r="B890" s="36" t="n">
        <v>45805</v>
      </c>
      <c r="C890" s="37" t="inlineStr">
        <is>
          <t>出港</t>
        </is>
      </c>
      <c r="D890" s="19" t="inlineStr">
        <is>
          <t>集装箱货物</t>
        </is>
      </c>
      <c r="E890" s="19" t="inlineStr">
        <is>
          <t>欧洲</t>
        </is>
      </c>
      <c r="F890" s="19" t="inlineStr">
        <is>
          <t>01号泊位</t>
        </is>
      </c>
      <c r="G890" s="20" t="n">
        <v>8684</v>
      </c>
      <c r="H890" s="38" t="n">
        <v>9.859999999999999</v>
      </c>
      <c r="I890" s="38" t="n">
        <v>2.31</v>
      </c>
      <c r="J890" s="38" t="n">
        <v>9.65</v>
      </c>
      <c r="K890" s="20" t="n">
        <v>524</v>
      </c>
      <c r="L890" s="26">
        <f>IF(H890&lt;=J890,1,0)</f>
        <v>0</v>
      </c>
    </row>
    <row r="891">
      <c r="A891" s="24" t="inlineStr">
        <is>
          <t>QL-148-2</t>
        </is>
      </c>
      <c r="B891" s="39" t="n">
        <v>45805</v>
      </c>
      <c r="C891" s="40" t="inlineStr">
        <is>
          <t>进港</t>
        </is>
      </c>
      <c r="D891" s="24" t="inlineStr">
        <is>
          <t>金属矿石</t>
        </is>
      </c>
      <c r="E891" s="24" t="inlineStr">
        <is>
          <t>东南亚</t>
        </is>
      </c>
      <c r="F891" s="24" t="inlineStr">
        <is>
          <t>02号泊位</t>
        </is>
      </c>
      <c r="G891" s="25" t="n">
        <v>28653</v>
      </c>
      <c r="H891" s="41" t="n">
        <v>19.1</v>
      </c>
      <c r="I891" s="41" t="n">
        <v>3.28</v>
      </c>
      <c r="J891" s="41" t="n">
        <v>18.49</v>
      </c>
      <c r="K891" s="25" t="n">
        <v>0</v>
      </c>
      <c r="L891" s="26">
        <f>IF(H891&lt;=J891,1,0)</f>
        <v>0</v>
      </c>
    </row>
    <row r="892">
      <c r="A892" s="19" t="inlineStr">
        <is>
          <t>QL-148-3</t>
        </is>
      </c>
      <c r="B892" s="36" t="n">
        <v>45805</v>
      </c>
      <c r="C892" s="37" t="inlineStr">
        <is>
          <t>出港</t>
        </is>
      </c>
      <c r="D892" s="19" t="inlineStr">
        <is>
          <t>煤炭</t>
        </is>
      </c>
      <c r="E892" s="19" t="inlineStr">
        <is>
          <t>东南亚</t>
        </is>
      </c>
      <c r="F892" s="19" t="inlineStr">
        <is>
          <t>03号泊位</t>
        </is>
      </c>
      <c r="G892" s="20" t="n">
        <v>11682</v>
      </c>
      <c r="H892" s="38" t="n">
        <v>7.17</v>
      </c>
      <c r="I892" s="38" t="n">
        <v>0.42</v>
      </c>
      <c r="J892" s="38" t="n">
        <v>8.85</v>
      </c>
      <c r="K892" s="20" t="n">
        <v>0</v>
      </c>
      <c r="L892" s="26">
        <f>IF(H892&lt;=J892,1,0)</f>
        <v>1</v>
      </c>
    </row>
    <row r="893">
      <c r="A893" s="24" t="inlineStr">
        <is>
          <t>QL-148-4</t>
        </is>
      </c>
      <c r="B893" s="39" t="n">
        <v>45805</v>
      </c>
      <c r="C893" s="40" t="inlineStr">
        <is>
          <t>进港</t>
        </is>
      </c>
      <c r="D893" s="24" t="inlineStr">
        <is>
          <t>粮食</t>
        </is>
      </c>
      <c r="E893" s="24" t="inlineStr">
        <is>
          <t>东南亚</t>
        </is>
      </c>
      <c r="F893" s="24" t="inlineStr">
        <is>
          <t>04号泊位</t>
        </is>
      </c>
      <c r="G893" s="25" t="n">
        <v>8857</v>
      </c>
      <c r="H893" s="41" t="n">
        <v>9.859999999999999</v>
      </c>
      <c r="I893" s="41" t="n">
        <v>1.97</v>
      </c>
      <c r="J893" s="41" t="n">
        <v>8.68</v>
      </c>
      <c r="K893" s="25" t="n">
        <v>0</v>
      </c>
      <c r="L893" s="26">
        <f>IF(H893&lt;=J893,1,0)</f>
        <v>0</v>
      </c>
    </row>
    <row r="894">
      <c r="A894" s="19" t="inlineStr">
        <is>
          <t>QL-148-5</t>
        </is>
      </c>
      <c r="B894" s="36" t="n">
        <v>45805</v>
      </c>
      <c r="C894" s="37" t="inlineStr">
        <is>
          <t>进港</t>
        </is>
      </c>
      <c r="D894" s="19" t="inlineStr">
        <is>
          <t>液体散货</t>
        </is>
      </c>
      <c r="E894" s="19" t="inlineStr">
        <is>
          <t>国内沿海</t>
        </is>
      </c>
      <c r="F894" s="19" t="inlineStr">
        <is>
          <t>05号泊位</t>
        </is>
      </c>
      <c r="G894" s="20" t="n">
        <v>13907</v>
      </c>
      <c r="H894" s="38" t="n">
        <v>9.83</v>
      </c>
      <c r="I894" s="38" t="n">
        <v>0.3</v>
      </c>
      <c r="J894" s="38" t="n">
        <v>9.66</v>
      </c>
      <c r="K894" s="20" t="n">
        <v>0</v>
      </c>
      <c r="L894" s="26">
        <f>IF(H894&lt;=J894,1,0)</f>
        <v>0</v>
      </c>
    </row>
    <row r="895">
      <c r="A895" s="24" t="inlineStr">
        <is>
          <t>QL-148-6</t>
        </is>
      </c>
      <c r="B895" s="39" t="n">
        <v>45805</v>
      </c>
      <c r="C895" s="40" t="inlineStr">
        <is>
          <t>出港</t>
        </is>
      </c>
      <c r="D895" s="24" t="inlineStr">
        <is>
          <t>件杂货</t>
        </is>
      </c>
      <c r="E895" s="24" t="inlineStr">
        <is>
          <t>东亚</t>
        </is>
      </c>
      <c r="F895" s="24" t="inlineStr">
        <is>
          <t>06号泊位</t>
        </is>
      </c>
      <c r="G895" s="25" t="n">
        <v>5492</v>
      </c>
      <c r="H895" s="41" t="n">
        <v>9.869999999999999</v>
      </c>
      <c r="I895" s="41" t="n">
        <v>3.11</v>
      </c>
      <c r="J895" s="41" t="n">
        <v>9</v>
      </c>
      <c r="K895" s="25" t="n">
        <v>0</v>
      </c>
      <c r="L895" s="26">
        <f>IF(H895&lt;=J895,1,0)</f>
        <v>0</v>
      </c>
    </row>
    <row r="896">
      <c r="A896" s="19" t="inlineStr">
        <is>
          <t>QL-149-1</t>
        </is>
      </c>
      <c r="B896" s="36" t="n">
        <v>45806</v>
      </c>
      <c r="C896" s="37" t="inlineStr">
        <is>
          <t>出港</t>
        </is>
      </c>
      <c r="D896" s="19" t="inlineStr">
        <is>
          <t>集装箱货物</t>
        </is>
      </c>
      <c r="E896" s="19" t="inlineStr">
        <is>
          <t>东南亚</t>
        </is>
      </c>
      <c r="F896" s="19" t="inlineStr">
        <is>
          <t>01号泊位</t>
        </is>
      </c>
      <c r="G896" s="20" t="n">
        <v>8926</v>
      </c>
      <c r="H896" s="38" t="n">
        <v>9.640000000000001</v>
      </c>
      <c r="I896" s="38" t="n">
        <v>5.04</v>
      </c>
      <c r="J896" s="38" t="n">
        <v>9.92</v>
      </c>
      <c r="K896" s="20" t="n">
        <v>703</v>
      </c>
      <c r="L896" s="26">
        <f>IF(H896&lt;=J896,1,0)</f>
        <v>1</v>
      </c>
    </row>
    <row r="897">
      <c r="A897" s="24" t="inlineStr">
        <is>
          <t>QL-149-2</t>
        </is>
      </c>
      <c r="B897" s="39" t="n">
        <v>45806</v>
      </c>
      <c r="C897" s="40" t="inlineStr">
        <is>
          <t>进港</t>
        </is>
      </c>
      <c r="D897" s="24" t="inlineStr">
        <is>
          <t>金属矿石</t>
        </is>
      </c>
      <c r="E897" s="24" t="inlineStr">
        <is>
          <t>国内沿海</t>
        </is>
      </c>
      <c r="F897" s="24" t="inlineStr">
        <is>
          <t>02号泊位</t>
        </is>
      </c>
      <c r="G897" s="25" t="n">
        <v>14448</v>
      </c>
      <c r="H897" s="41" t="n">
        <v>10.71</v>
      </c>
      <c r="I897" s="41" t="n">
        <v>5.6</v>
      </c>
      <c r="J897" s="41" t="n">
        <v>9.32</v>
      </c>
      <c r="K897" s="25" t="n">
        <v>0</v>
      </c>
      <c r="L897" s="26">
        <f>IF(H897&lt;=J897,1,0)</f>
        <v>0</v>
      </c>
    </row>
    <row r="898">
      <c r="A898" s="19" t="inlineStr">
        <is>
          <t>QL-149-3</t>
        </is>
      </c>
      <c r="B898" s="36" t="n">
        <v>45806</v>
      </c>
      <c r="C898" s="37" t="inlineStr">
        <is>
          <t>出港</t>
        </is>
      </c>
      <c r="D898" s="19" t="inlineStr">
        <is>
          <t>煤炭</t>
        </is>
      </c>
      <c r="E898" s="19" t="inlineStr">
        <is>
          <t>东南亚</t>
        </is>
      </c>
      <c r="F898" s="19" t="inlineStr">
        <is>
          <t>03号泊位</t>
        </is>
      </c>
      <c r="G898" s="20" t="n">
        <v>15001</v>
      </c>
      <c r="H898" s="38" t="n">
        <v>10.99</v>
      </c>
      <c r="I898" s="38" t="n">
        <v>1.78</v>
      </c>
      <c r="J898" s="38" t="n">
        <v>11.36</v>
      </c>
      <c r="K898" s="20" t="n">
        <v>0</v>
      </c>
      <c r="L898" s="26">
        <f>IF(H898&lt;=J898,1,0)</f>
        <v>1</v>
      </c>
    </row>
    <row r="899">
      <c r="A899" s="24" t="inlineStr">
        <is>
          <t>QL-149-4</t>
        </is>
      </c>
      <c r="B899" s="39" t="n">
        <v>45806</v>
      </c>
      <c r="C899" s="40" t="inlineStr">
        <is>
          <t>出港</t>
        </is>
      </c>
      <c r="D899" s="24" t="inlineStr">
        <is>
          <t>粮食</t>
        </is>
      </c>
      <c r="E899" s="24" t="inlineStr">
        <is>
          <t>东南亚</t>
        </is>
      </c>
      <c r="F899" s="24" t="inlineStr">
        <is>
          <t>04号泊位</t>
        </is>
      </c>
      <c r="G899" s="25" t="n">
        <v>9151</v>
      </c>
      <c r="H899" s="41" t="n">
        <v>9.039999999999999</v>
      </c>
      <c r="I899" s="41" t="n">
        <v>0.6899999999999999</v>
      </c>
      <c r="J899" s="41" t="n">
        <v>8.970000000000001</v>
      </c>
      <c r="K899" s="25" t="n">
        <v>0</v>
      </c>
      <c r="L899" s="26">
        <f>IF(H899&lt;=J899,1,0)</f>
        <v>0</v>
      </c>
    </row>
    <row r="900">
      <c r="A900" s="19" t="inlineStr">
        <is>
          <t>QL-149-5</t>
        </is>
      </c>
      <c r="B900" s="36" t="n">
        <v>45806</v>
      </c>
      <c r="C900" s="37" t="inlineStr">
        <is>
          <t>进港</t>
        </is>
      </c>
      <c r="D900" s="19" t="inlineStr">
        <is>
          <t>液体散货</t>
        </is>
      </c>
      <c r="E900" s="19" t="inlineStr">
        <is>
          <t>东南亚</t>
        </is>
      </c>
      <c r="F900" s="19" t="inlineStr">
        <is>
          <t>05号泊位</t>
        </is>
      </c>
      <c r="G900" s="20" t="n">
        <v>12771</v>
      </c>
      <c r="H900" s="38" t="n">
        <v>7.23</v>
      </c>
      <c r="I900" s="38" t="n">
        <v>2.15</v>
      </c>
      <c r="J900" s="38" t="n">
        <v>8.869999999999999</v>
      </c>
      <c r="K900" s="20" t="n">
        <v>0</v>
      </c>
      <c r="L900" s="26">
        <f>IF(H900&lt;=J900,1,0)</f>
        <v>1</v>
      </c>
    </row>
    <row r="901">
      <c r="A901" s="24" t="inlineStr">
        <is>
          <t>QL-149-6</t>
        </is>
      </c>
      <c r="B901" s="39" t="n">
        <v>45806</v>
      </c>
      <c r="C901" s="40" t="inlineStr">
        <is>
          <t>出港</t>
        </is>
      </c>
      <c r="D901" s="24" t="inlineStr">
        <is>
          <t>件杂货</t>
        </is>
      </c>
      <c r="E901" s="24" t="inlineStr">
        <is>
          <t>欧洲</t>
        </is>
      </c>
      <c r="F901" s="24" t="inlineStr">
        <is>
          <t>06号泊位</t>
        </is>
      </c>
      <c r="G901" s="25" t="n">
        <v>3949</v>
      </c>
      <c r="H901" s="41" t="n">
        <v>7.63</v>
      </c>
      <c r="I901" s="41" t="n">
        <v>2.35</v>
      </c>
      <c r="J901" s="41" t="n">
        <v>6.47</v>
      </c>
      <c r="K901" s="25" t="n">
        <v>0</v>
      </c>
      <c r="L901" s="26">
        <f>IF(H901&lt;=J901,1,0)</f>
        <v>0</v>
      </c>
    </row>
    <row r="902">
      <c r="A902" s="19" t="inlineStr">
        <is>
          <t>QL-150-1</t>
        </is>
      </c>
      <c r="B902" s="36" t="n">
        <v>45807</v>
      </c>
      <c r="C902" s="37" t="inlineStr">
        <is>
          <t>进港</t>
        </is>
      </c>
      <c r="D902" s="19" t="inlineStr">
        <is>
          <t>集装箱货物</t>
        </is>
      </c>
      <c r="E902" s="19" t="inlineStr">
        <is>
          <t>东南亚</t>
        </is>
      </c>
      <c r="F902" s="19" t="inlineStr">
        <is>
          <t>01号泊位</t>
        </is>
      </c>
      <c r="G902" s="20" t="n">
        <v>7246</v>
      </c>
      <c r="H902" s="38" t="n">
        <v>8.029999999999999</v>
      </c>
      <c r="I902" s="38" t="n">
        <v>4.9</v>
      </c>
      <c r="J902" s="38" t="n">
        <v>8.050000000000001</v>
      </c>
      <c r="K902" s="20" t="n">
        <v>429</v>
      </c>
      <c r="L902" s="26">
        <f>IF(H902&lt;=J902,1,0)</f>
        <v>1</v>
      </c>
    </row>
    <row r="903">
      <c r="A903" s="24" t="inlineStr">
        <is>
          <t>QL-150-2</t>
        </is>
      </c>
      <c r="B903" s="39" t="n">
        <v>45807</v>
      </c>
      <c r="C903" s="40" t="inlineStr">
        <is>
          <t>进港</t>
        </is>
      </c>
      <c r="D903" s="24" t="inlineStr">
        <is>
          <t>金属矿石</t>
        </is>
      </c>
      <c r="E903" s="24" t="inlineStr">
        <is>
          <t>北美</t>
        </is>
      </c>
      <c r="F903" s="24" t="inlineStr">
        <is>
          <t>02号泊位</t>
        </is>
      </c>
      <c r="G903" s="25" t="n">
        <v>20994</v>
      </c>
      <c r="H903" s="41" t="n">
        <v>14.03</v>
      </c>
      <c r="I903" s="41" t="n">
        <v>8.58</v>
      </c>
      <c r="J903" s="41" t="n">
        <v>13.54</v>
      </c>
      <c r="K903" s="25" t="n">
        <v>0</v>
      </c>
      <c r="L903" s="26">
        <f>IF(H903&lt;=J903,1,0)</f>
        <v>0</v>
      </c>
    </row>
    <row r="904">
      <c r="A904" s="19" t="inlineStr">
        <is>
          <t>QL-150-3</t>
        </is>
      </c>
      <c r="B904" s="36" t="n">
        <v>45807</v>
      </c>
      <c r="C904" s="37" t="inlineStr">
        <is>
          <t>进港</t>
        </is>
      </c>
      <c r="D904" s="19" t="inlineStr">
        <is>
          <t>煤炭</t>
        </is>
      </c>
      <c r="E904" s="19" t="inlineStr">
        <is>
          <t>欧洲</t>
        </is>
      </c>
      <c r="F904" s="19" t="inlineStr">
        <is>
          <t>03号泊位</t>
        </is>
      </c>
      <c r="G904" s="20" t="n">
        <v>19118</v>
      </c>
      <c r="H904" s="38" t="n">
        <v>16.25</v>
      </c>
      <c r="I904" s="38" t="n">
        <v>2.15</v>
      </c>
      <c r="J904" s="38" t="n">
        <v>14.48</v>
      </c>
      <c r="K904" s="20" t="n">
        <v>0</v>
      </c>
      <c r="L904" s="26">
        <f>IF(H904&lt;=J904,1,0)</f>
        <v>0</v>
      </c>
    </row>
    <row r="905">
      <c r="A905" s="24" t="inlineStr">
        <is>
          <t>QL-150-4</t>
        </is>
      </c>
      <c r="B905" s="39" t="n">
        <v>45807</v>
      </c>
      <c r="C905" s="40" t="inlineStr">
        <is>
          <t>出港</t>
        </is>
      </c>
      <c r="D905" s="24" t="inlineStr">
        <is>
          <t>粮食</t>
        </is>
      </c>
      <c r="E905" s="24" t="inlineStr">
        <is>
          <t>东亚</t>
        </is>
      </c>
      <c r="F905" s="24" t="inlineStr">
        <is>
          <t>04号泊位</t>
        </is>
      </c>
      <c r="G905" s="25" t="n">
        <v>7329</v>
      </c>
      <c r="H905" s="41" t="n">
        <v>6.96</v>
      </c>
      <c r="I905" s="41" t="n">
        <v>1.52</v>
      </c>
      <c r="J905" s="41" t="n">
        <v>7.19</v>
      </c>
      <c r="K905" s="25" t="n">
        <v>0</v>
      </c>
      <c r="L905" s="26">
        <f>IF(H905&lt;=J905,1,0)</f>
        <v>1</v>
      </c>
    </row>
    <row r="906">
      <c r="A906" s="19" t="inlineStr">
        <is>
          <t>QL-150-5</t>
        </is>
      </c>
      <c r="B906" s="36" t="n">
        <v>45807</v>
      </c>
      <c r="C906" s="37" t="inlineStr">
        <is>
          <t>出港</t>
        </is>
      </c>
      <c r="D906" s="19" t="inlineStr">
        <is>
          <t>液体散货</t>
        </is>
      </c>
      <c r="E906" s="19" t="inlineStr">
        <is>
          <t>北美</t>
        </is>
      </c>
      <c r="F906" s="19" t="inlineStr">
        <is>
          <t>05号泊位</t>
        </is>
      </c>
      <c r="G906" s="20" t="n">
        <v>17218</v>
      </c>
      <c r="H906" s="38" t="n">
        <v>10.71</v>
      </c>
      <c r="I906" s="38" t="n">
        <v>5.27</v>
      </c>
      <c r="J906" s="38" t="n">
        <v>11.96</v>
      </c>
      <c r="K906" s="20" t="n">
        <v>0</v>
      </c>
      <c r="L906" s="26">
        <f>IF(H906&lt;=J906,1,0)</f>
        <v>1</v>
      </c>
    </row>
    <row r="907">
      <c r="A907" s="24" t="inlineStr">
        <is>
          <t>QL-150-6</t>
        </is>
      </c>
      <c r="B907" s="39" t="n">
        <v>45807</v>
      </c>
      <c r="C907" s="40" t="inlineStr">
        <is>
          <t>出港</t>
        </is>
      </c>
      <c r="D907" s="24" t="inlineStr">
        <is>
          <t>件杂货</t>
        </is>
      </c>
      <c r="E907" s="24" t="inlineStr">
        <is>
          <t>东亚</t>
        </is>
      </c>
      <c r="F907" s="24" t="inlineStr">
        <is>
          <t>06号泊位</t>
        </is>
      </c>
      <c r="G907" s="25" t="n">
        <v>4376</v>
      </c>
      <c r="H907" s="41" t="n">
        <v>6.73</v>
      </c>
      <c r="I907" s="41" t="n">
        <v>5.07</v>
      </c>
      <c r="J907" s="41" t="n">
        <v>7.17</v>
      </c>
      <c r="K907" s="25" t="n">
        <v>0</v>
      </c>
      <c r="L907" s="26">
        <f>IF(H907&lt;=J907,1,0)</f>
        <v>1</v>
      </c>
    </row>
    <row r="908">
      <c r="A908" s="19" t="inlineStr">
        <is>
          <t>QL-151-1</t>
        </is>
      </c>
      <c r="B908" s="36" t="n">
        <v>45808</v>
      </c>
      <c r="C908" s="37" t="inlineStr">
        <is>
          <t>出港</t>
        </is>
      </c>
      <c r="D908" s="19" t="inlineStr">
        <is>
          <t>集装箱货物</t>
        </is>
      </c>
      <c r="E908" s="19" t="inlineStr">
        <is>
          <t>国内沿海</t>
        </is>
      </c>
      <c r="F908" s="19" t="inlineStr">
        <is>
          <t>01号泊位</t>
        </is>
      </c>
      <c r="G908" s="20" t="n">
        <v>10216</v>
      </c>
      <c r="H908" s="38" t="n">
        <v>11.77</v>
      </c>
      <c r="I908" s="38" t="n">
        <v>1.91</v>
      </c>
      <c r="J908" s="38" t="n">
        <v>11.35</v>
      </c>
      <c r="K908" s="20" t="n">
        <v>625</v>
      </c>
      <c r="L908" s="26">
        <f>IF(H908&lt;=J908,1,0)</f>
        <v>0</v>
      </c>
    </row>
    <row r="909">
      <c r="A909" s="24" t="inlineStr">
        <is>
          <t>QL-151-2</t>
        </is>
      </c>
      <c r="B909" s="39" t="n">
        <v>45808</v>
      </c>
      <c r="C909" s="40" t="inlineStr">
        <is>
          <t>进港</t>
        </is>
      </c>
      <c r="D909" s="24" t="inlineStr">
        <is>
          <t>金属矿石</t>
        </is>
      </c>
      <c r="E909" s="24" t="inlineStr">
        <is>
          <t>国内沿海</t>
        </is>
      </c>
      <c r="F909" s="24" t="inlineStr">
        <is>
          <t>02号泊位</t>
        </is>
      </c>
      <c r="G909" s="25" t="n">
        <v>20073</v>
      </c>
      <c r="H909" s="41" t="n">
        <v>14.9</v>
      </c>
      <c r="I909" s="41" t="n">
        <v>2.73</v>
      </c>
      <c r="J909" s="41" t="n">
        <v>12.95</v>
      </c>
      <c r="K909" s="25" t="n">
        <v>0</v>
      </c>
      <c r="L909" s="26">
        <f>IF(H909&lt;=J909,1,0)</f>
        <v>0</v>
      </c>
    </row>
    <row r="910">
      <c r="A910" s="19" t="inlineStr">
        <is>
          <t>QL-151-3</t>
        </is>
      </c>
      <c r="B910" s="36" t="n">
        <v>45808</v>
      </c>
      <c r="C910" s="37" t="inlineStr">
        <is>
          <t>进港</t>
        </is>
      </c>
      <c r="D910" s="19" t="inlineStr">
        <is>
          <t>煤炭</t>
        </is>
      </c>
      <c r="E910" s="19" t="inlineStr">
        <is>
          <t>东亚</t>
        </is>
      </c>
      <c r="F910" s="19" t="inlineStr">
        <is>
          <t>03号泊位</t>
        </is>
      </c>
      <c r="G910" s="20" t="n">
        <v>10446</v>
      </c>
      <c r="H910" s="38" t="n">
        <v>7.03</v>
      </c>
      <c r="I910" s="38" t="n">
        <v>0.6</v>
      </c>
      <c r="J910" s="38" t="n">
        <v>7.91</v>
      </c>
      <c r="K910" s="20" t="n">
        <v>0</v>
      </c>
      <c r="L910" s="26">
        <f>IF(H910&lt;=J910,1,0)</f>
        <v>1</v>
      </c>
    </row>
    <row r="911">
      <c r="A911" s="24" t="inlineStr">
        <is>
          <t>QL-151-4</t>
        </is>
      </c>
      <c r="B911" s="39" t="n">
        <v>45808</v>
      </c>
      <c r="C911" s="40" t="inlineStr">
        <is>
          <t>进港</t>
        </is>
      </c>
      <c r="D911" s="24" t="inlineStr">
        <is>
          <t>粮食</t>
        </is>
      </c>
      <c r="E911" s="24" t="inlineStr">
        <is>
          <t>北美</t>
        </is>
      </c>
      <c r="F911" s="24" t="inlineStr">
        <is>
          <t>04号泊位</t>
        </is>
      </c>
      <c r="G911" s="25" t="n">
        <v>9267</v>
      </c>
      <c r="H911" s="41" t="n">
        <v>9.73</v>
      </c>
      <c r="I911" s="41" t="n">
        <v>0.61</v>
      </c>
      <c r="J911" s="41" t="n">
        <v>9.09</v>
      </c>
      <c r="K911" s="25" t="n">
        <v>0</v>
      </c>
      <c r="L911" s="26">
        <f>IF(H911&lt;=J911,1,0)</f>
        <v>0</v>
      </c>
    </row>
    <row r="912">
      <c r="A912" s="19" t="inlineStr">
        <is>
          <t>QL-151-5</t>
        </is>
      </c>
      <c r="B912" s="36" t="n">
        <v>45808</v>
      </c>
      <c r="C912" s="37" t="inlineStr">
        <is>
          <t>进港</t>
        </is>
      </c>
      <c r="D912" s="19" t="inlineStr">
        <is>
          <t>液体散货</t>
        </is>
      </c>
      <c r="E912" s="19" t="inlineStr">
        <is>
          <t>北美</t>
        </is>
      </c>
      <c r="F912" s="19" t="inlineStr">
        <is>
          <t>05号泊位</t>
        </is>
      </c>
      <c r="G912" s="20" t="n">
        <v>10235</v>
      </c>
      <c r="H912" s="38" t="n">
        <v>5.76</v>
      </c>
      <c r="I912" s="38" t="n">
        <v>2.04</v>
      </c>
      <c r="J912" s="38" t="n">
        <v>7.11</v>
      </c>
      <c r="K912" s="20" t="n">
        <v>0</v>
      </c>
      <c r="L912" s="26">
        <f>IF(H912&lt;=J912,1,0)</f>
        <v>1</v>
      </c>
    </row>
    <row r="913">
      <c r="A913" s="24" t="inlineStr">
        <is>
          <t>QL-151-6</t>
        </is>
      </c>
      <c r="B913" s="39" t="n">
        <v>45808</v>
      </c>
      <c r="C913" s="40" t="inlineStr">
        <is>
          <t>出港</t>
        </is>
      </c>
      <c r="D913" s="24" t="inlineStr">
        <is>
          <t>件杂货</t>
        </is>
      </c>
      <c r="E913" s="24" t="inlineStr">
        <is>
          <t>东南亚</t>
        </is>
      </c>
      <c r="F913" s="24" t="inlineStr">
        <is>
          <t>06号泊位</t>
        </is>
      </c>
      <c r="G913" s="25" t="n">
        <v>3320</v>
      </c>
      <c r="H913" s="41" t="n">
        <v>6.44</v>
      </c>
      <c r="I913" s="41" t="n">
        <v>0.7</v>
      </c>
      <c r="J913" s="41" t="n">
        <v>5.44</v>
      </c>
      <c r="K913" s="25" t="n">
        <v>0</v>
      </c>
      <c r="L913" s="26">
        <f>IF(H913&lt;=J913,1,0)</f>
        <v>0</v>
      </c>
    </row>
    <row r="914">
      <c r="A914" s="19" t="inlineStr">
        <is>
          <t>QL-152-1</t>
        </is>
      </c>
      <c r="B914" s="36" t="n">
        <v>45809</v>
      </c>
      <c r="C914" s="37" t="inlineStr">
        <is>
          <t>进港</t>
        </is>
      </c>
      <c r="D914" s="19" t="inlineStr">
        <is>
          <t>集装箱货物</t>
        </is>
      </c>
      <c r="E914" s="19" t="inlineStr">
        <is>
          <t>东亚</t>
        </is>
      </c>
      <c r="F914" s="19" t="inlineStr">
        <is>
          <t>01号泊位</t>
        </is>
      </c>
      <c r="G914" s="20" t="n">
        <v>5584</v>
      </c>
      <c r="H914" s="38" t="n">
        <v>6.65</v>
      </c>
      <c r="I914" s="38" t="n">
        <v>1.06</v>
      </c>
      <c r="J914" s="38" t="n">
        <v>6.2</v>
      </c>
      <c r="K914" s="20" t="n">
        <v>384</v>
      </c>
      <c r="L914" s="26">
        <f>IF(H914&lt;=J914,1,0)</f>
        <v>0</v>
      </c>
    </row>
    <row r="915">
      <c r="A915" s="24" t="inlineStr">
        <is>
          <t>QL-152-2</t>
        </is>
      </c>
      <c r="B915" s="39" t="n">
        <v>45809</v>
      </c>
      <c r="C915" s="40" t="inlineStr">
        <is>
          <t>进港</t>
        </is>
      </c>
      <c r="D915" s="24" t="inlineStr">
        <is>
          <t>金属矿石</t>
        </is>
      </c>
      <c r="E915" s="24" t="inlineStr">
        <is>
          <t>北美</t>
        </is>
      </c>
      <c r="F915" s="24" t="inlineStr">
        <is>
          <t>02号泊位</t>
        </is>
      </c>
      <c r="G915" s="25" t="n">
        <v>15002</v>
      </c>
      <c r="H915" s="41" t="n">
        <v>9.039999999999999</v>
      </c>
      <c r="I915" s="41" t="n">
        <v>2.91</v>
      </c>
      <c r="J915" s="41" t="n">
        <v>9.68</v>
      </c>
      <c r="K915" s="25" t="n">
        <v>0</v>
      </c>
      <c r="L915" s="26">
        <f>IF(H915&lt;=J915,1,0)</f>
        <v>1</v>
      </c>
    </row>
    <row r="916">
      <c r="A916" s="19" t="inlineStr">
        <is>
          <t>QL-152-3</t>
        </is>
      </c>
      <c r="B916" s="36" t="n">
        <v>45809</v>
      </c>
      <c r="C916" s="37" t="inlineStr">
        <is>
          <t>出港</t>
        </is>
      </c>
      <c r="D916" s="19" t="inlineStr">
        <is>
          <t>煤炭</t>
        </is>
      </c>
      <c r="E916" s="19" t="inlineStr">
        <is>
          <t>东南亚</t>
        </is>
      </c>
      <c r="F916" s="19" t="inlineStr">
        <is>
          <t>03号泊位</t>
        </is>
      </c>
      <c r="G916" s="20" t="n">
        <v>11993</v>
      </c>
      <c r="H916" s="38" t="n">
        <v>9.119999999999999</v>
      </c>
      <c r="I916" s="38" t="n">
        <v>5.62</v>
      </c>
      <c r="J916" s="38" t="n">
        <v>9.09</v>
      </c>
      <c r="K916" s="20" t="n">
        <v>0</v>
      </c>
      <c r="L916" s="26">
        <f>IF(H916&lt;=J916,1,0)</f>
        <v>0</v>
      </c>
    </row>
    <row r="917">
      <c r="A917" s="24" t="inlineStr">
        <is>
          <t>QL-152-4</t>
        </is>
      </c>
      <c r="B917" s="39" t="n">
        <v>45809</v>
      </c>
      <c r="C917" s="40" t="inlineStr">
        <is>
          <t>进港</t>
        </is>
      </c>
      <c r="D917" s="24" t="inlineStr">
        <is>
          <t>粮食</t>
        </is>
      </c>
      <c r="E917" s="24" t="inlineStr">
        <is>
          <t>国内沿海</t>
        </is>
      </c>
      <c r="F917" s="24" t="inlineStr">
        <is>
          <t>04号泊位</t>
        </is>
      </c>
      <c r="G917" s="25" t="n">
        <v>5866</v>
      </c>
      <c r="H917" s="41" t="n">
        <v>6.52</v>
      </c>
      <c r="I917" s="41" t="n">
        <v>2.41</v>
      </c>
      <c r="J917" s="41" t="n">
        <v>5.75</v>
      </c>
      <c r="K917" s="25" t="n">
        <v>0</v>
      </c>
      <c r="L917" s="26">
        <f>IF(H917&lt;=J917,1,0)</f>
        <v>0</v>
      </c>
    </row>
    <row r="918">
      <c r="A918" s="19" t="inlineStr">
        <is>
          <t>QL-152-5</t>
        </is>
      </c>
      <c r="B918" s="36" t="n">
        <v>45809</v>
      </c>
      <c r="C918" s="37" t="inlineStr">
        <is>
          <t>出港</t>
        </is>
      </c>
      <c r="D918" s="19" t="inlineStr">
        <is>
          <t>液体散货</t>
        </is>
      </c>
      <c r="E918" s="19" t="inlineStr">
        <is>
          <t>国内沿海</t>
        </is>
      </c>
      <c r="F918" s="19" t="inlineStr">
        <is>
          <t>05号泊位</t>
        </is>
      </c>
      <c r="G918" s="20" t="n">
        <v>13591</v>
      </c>
      <c r="H918" s="38" t="n">
        <v>10.05</v>
      </c>
      <c r="I918" s="38" t="n">
        <v>0.78</v>
      </c>
      <c r="J918" s="38" t="n">
        <v>9.44</v>
      </c>
      <c r="K918" s="20" t="n">
        <v>0</v>
      </c>
      <c r="L918" s="26">
        <f>IF(H918&lt;=J918,1,0)</f>
        <v>0</v>
      </c>
    </row>
    <row r="919">
      <c r="A919" s="24" t="inlineStr">
        <is>
          <t>QL-152-6</t>
        </is>
      </c>
      <c r="B919" s="39" t="n">
        <v>45809</v>
      </c>
      <c r="C919" s="40" t="inlineStr">
        <is>
          <t>出港</t>
        </is>
      </c>
      <c r="D919" s="24" t="inlineStr">
        <is>
          <t>件杂货</t>
        </is>
      </c>
      <c r="E919" s="24" t="inlineStr">
        <is>
          <t>东亚</t>
        </is>
      </c>
      <c r="F919" s="24" t="inlineStr">
        <is>
          <t>06号泊位</t>
        </is>
      </c>
      <c r="G919" s="25" t="n">
        <v>6280</v>
      </c>
      <c r="H919" s="41" t="n">
        <v>9.08</v>
      </c>
      <c r="I919" s="41" t="n">
        <v>2.99</v>
      </c>
      <c r="J919" s="41" t="n">
        <v>10.3</v>
      </c>
      <c r="K919" s="25" t="n">
        <v>0</v>
      </c>
      <c r="L919" s="26">
        <f>IF(H919&lt;=J919,1,0)</f>
        <v>1</v>
      </c>
    </row>
    <row r="920">
      <c r="A920" s="19" t="inlineStr">
        <is>
          <t>QL-153-1</t>
        </is>
      </c>
      <c r="B920" s="36" t="n">
        <v>45810</v>
      </c>
      <c r="C920" s="37" t="inlineStr">
        <is>
          <t>出港</t>
        </is>
      </c>
      <c r="D920" s="19" t="inlineStr">
        <is>
          <t>集装箱货物</t>
        </is>
      </c>
      <c r="E920" s="19" t="inlineStr">
        <is>
          <t>东南亚</t>
        </is>
      </c>
      <c r="F920" s="19" t="inlineStr">
        <is>
          <t>01号泊位</t>
        </is>
      </c>
      <c r="G920" s="20" t="n">
        <v>9363</v>
      </c>
      <c r="H920" s="38" t="n">
        <v>12.07</v>
      </c>
      <c r="I920" s="38" t="n">
        <v>1.75</v>
      </c>
      <c r="J920" s="38" t="n">
        <v>10.4</v>
      </c>
      <c r="K920" s="20" t="n">
        <v>590</v>
      </c>
      <c r="L920" s="26">
        <f>IF(H920&lt;=J920,1,0)</f>
        <v>0</v>
      </c>
    </row>
    <row r="921">
      <c r="A921" s="24" t="inlineStr">
        <is>
          <t>QL-153-2</t>
        </is>
      </c>
      <c r="B921" s="39" t="n">
        <v>45810</v>
      </c>
      <c r="C921" s="40" t="inlineStr">
        <is>
          <t>进港</t>
        </is>
      </c>
      <c r="D921" s="24" t="inlineStr">
        <is>
          <t>金属矿石</t>
        </is>
      </c>
      <c r="E921" s="24" t="inlineStr">
        <is>
          <t>国内沿海</t>
        </is>
      </c>
      <c r="F921" s="24" t="inlineStr">
        <is>
          <t>02号泊位</t>
        </is>
      </c>
      <c r="G921" s="25" t="n">
        <v>23891</v>
      </c>
      <c r="H921" s="41" t="n">
        <v>14.53</v>
      </c>
      <c r="I921" s="41" t="n">
        <v>5.8</v>
      </c>
      <c r="J921" s="41" t="n">
        <v>15.41</v>
      </c>
      <c r="K921" s="25" t="n">
        <v>0</v>
      </c>
      <c r="L921" s="26">
        <f>IF(H921&lt;=J921,1,0)</f>
        <v>1</v>
      </c>
    </row>
    <row r="922">
      <c r="A922" s="19" t="inlineStr">
        <is>
          <t>QL-153-3</t>
        </is>
      </c>
      <c r="B922" s="36" t="n">
        <v>45810</v>
      </c>
      <c r="C922" s="37" t="inlineStr">
        <is>
          <t>进港</t>
        </is>
      </c>
      <c r="D922" s="19" t="inlineStr">
        <is>
          <t>煤炭</t>
        </is>
      </c>
      <c r="E922" s="19" t="inlineStr">
        <is>
          <t>国内沿海</t>
        </is>
      </c>
      <c r="F922" s="19" t="inlineStr">
        <is>
          <t>03号泊位</t>
        </is>
      </c>
      <c r="G922" s="20" t="n">
        <v>11481</v>
      </c>
      <c r="H922" s="38" t="n">
        <v>9.609999999999999</v>
      </c>
      <c r="I922" s="38" t="n">
        <v>1.16</v>
      </c>
      <c r="J922" s="38" t="n">
        <v>8.699999999999999</v>
      </c>
      <c r="K922" s="20" t="n">
        <v>0</v>
      </c>
      <c r="L922" s="26">
        <f>IF(H922&lt;=J922,1,0)</f>
        <v>0</v>
      </c>
    </row>
    <row r="923">
      <c r="A923" s="24" t="inlineStr">
        <is>
          <t>QL-153-4</t>
        </is>
      </c>
      <c r="B923" s="39" t="n">
        <v>45810</v>
      </c>
      <c r="C923" s="40" t="inlineStr">
        <is>
          <t>进港</t>
        </is>
      </c>
      <c r="D923" s="24" t="inlineStr">
        <is>
          <t>粮食</t>
        </is>
      </c>
      <c r="E923" s="24" t="inlineStr">
        <is>
          <t>东南亚</t>
        </is>
      </c>
      <c r="F923" s="24" t="inlineStr">
        <is>
          <t>04号泊位</t>
        </is>
      </c>
      <c r="G923" s="25" t="n">
        <v>11763</v>
      </c>
      <c r="H923" s="41" t="n">
        <v>12.07</v>
      </c>
      <c r="I923" s="41" t="n">
        <v>2</v>
      </c>
      <c r="J923" s="41" t="n">
        <v>11.53</v>
      </c>
      <c r="K923" s="25" t="n">
        <v>0</v>
      </c>
      <c r="L923" s="26">
        <f>IF(H923&lt;=J923,1,0)</f>
        <v>0</v>
      </c>
    </row>
    <row r="924">
      <c r="A924" s="19" t="inlineStr">
        <is>
          <t>QL-153-5</t>
        </is>
      </c>
      <c r="B924" s="36" t="n">
        <v>45810</v>
      </c>
      <c r="C924" s="37" t="inlineStr">
        <is>
          <t>出港</t>
        </is>
      </c>
      <c r="D924" s="19" t="inlineStr">
        <is>
          <t>液体散货</t>
        </is>
      </c>
      <c r="E924" s="19" t="inlineStr">
        <is>
          <t>国内沿海</t>
        </is>
      </c>
      <c r="F924" s="19" t="inlineStr">
        <is>
          <t>05号泊位</t>
        </is>
      </c>
      <c r="G924" s="20" t="n">
        <v>8445</v>
      </c>
      <c r="H924" s="38" t="n">
        <v>5.51</v>
      </c>
      <c r="I924" s="38" t="n">
        <v>2.79</v>
      </c>
      <c r="J924" s="38" t="n">
        <v>5.86</v>
      </c>
      <c r="K924" s="20" t="n">
        <v>0</v>
      </c>
      <c r="L924" s="26">
        <f>IF(H924&lt;=J924,1,0)</f>
        <v>1</v>
      </c>
    </row>
    <row r="925">
      <c r="A925" s="24" t="inlineStr">
        <is>
          <t>QL-153-6</t>
        </is>
      </c>
      <c r="B925" s="39" t="n">
        <v>45810</v>
      </c>
      <c r="C925" s="40" t="inlineStr">
        <is>
          <t>进港</t>
        </is>
      </c>
      <c r="D925" s="24" t="inlineStr">
        <is>
          <t>件杂货</t>
        </is>
      </c>
      <c r="E925" s="24" t="inlineStr">
        <is>
          <t>北美</t>
        </is>
      </c>
      <c r="F925" s="24" t="inlineStr">
        <is>
          <t>06号泊位</t>
        </is>
      </c>
      <c r="G925" s="25" t="n">
        <v>5964</v>
      </c>
      <c r="H925" s="41" t="n">
        <v>9.460000000000001</v>
      </c>
      <c r="I925" s="41" t="n">
        <v>2.99</v>
      </c>
      <c r="J925" s="41" t="n">
        <v>9.779999999999999</v>
      </c>
      <c r="K925" s="25" t="n">
        <v>0</v>
      </c>
      <c r="L925" s="26">
        <f>IF(H925&lt;=J925,1,0)</f>
        <v>1</v>
      </c>
    </row>
    <row r="926">
      <c r="A926" s="19" t="inlineStr">
        <is>
          <t>QL-154-1</t>
        </is>
      </c>
      <c r="B926" s="36" t="n">
        <v>45811</v>
      </c>
      <c r="C926" s="37" t="inlineStr">
        <is>
          <t>进港</t>
        </is>
      </c>
      <c r="D926" s="19" t="inlineStr">
        <is>
          <t>集装箱货物</t>
        </is>
      </c>
      <c r="E926" s="19" t="inlineStr">
        <is>
          <t>东亚</t>
        </is>
      </c>
      <c r="F926" s="19" t="inlineStr">
        <is>
          <t>01号泊位</t>
        </is>
      </c>
      <c r="G926" s="20" t="n">
        <v>9484</v>
      </c>
      <c r="H926" s="38" t="n">
        <v>9.57</v>
      </c>
      <c r="I926" s="38" t="n">
        <v>2.29</v>
      </c>
      <c r="J926" s="38" t="n">
        <v>10.54</v>
      </c>
      <c r="K926" s="20" t="n">
        <v>608</v>
      </c>
      <c r="L926" s="26">
        <f>IF(H926&lt;=J926,1,0)</f>
        <v>1</v>
      </c>
    </row>
    <row r="927">
      <c r="A927" s="24" t="inlineStr">
        <is>
          <t>QL-154-2</t>
        </is>
      </c>
      <c r="B927" s="39" t="n">
        <v>45811</v>
      </c>
      <c r="C927" s="40" t="inlineStr">
        <is>
          <t>进港</t>
        </is>
      </c>
      <c r="D927" s="24" t="inlineStr">
        <is>
          <t>金属矿石</t>
        </is>
      </c>
      <c r="E927" s="24" t="inlineStr">
        <is>
          <t>东亚</t>
        </is>
      </c>
      <c r="F927" s="24" t="inlineStr">
        <is>
          <t>02号泊位</t>
        </is>
      </c>
      <c r="G927" s="25" t="n">
        <v>14479</v>
      </c>
      <c r="H927" s="41" t="n">
        <v>10.38</v>
      </c>
      <c r="I927" s="41" t="n">
        <v>2.68</v>
      </c>
      <c r="J927" s="41" t="n">
        <v>9.34</v>
      </c>
      <c r="K927" s="25" t="n">
        <v>0</v>
      </c>
      <c r="L927" s="26">
        <f>IF(H927&lt;=J927,1,0)</f>
        <v>0</v>
      </c>
    </row>
    <row r="928">
      <c r="A928" s="19" t="inlineStr">
        <is>
          <t>QL-154-3</t>
        </is>
      </c>
      <c r="B928" s="36" t="n">
        <v>45811</v>
      </c>
      <c r="C928" s="37" t="inlineStr">
        <is>
          <t>出港</t>
        </is>
      </c>
      <c r="D928" s="19" t="inlineStr">
        <is>
          <t>煤炭</t>
        </is>
      </c>
      <c r="E928" s="19" t="inlineStr">
        <is>
          <t>东亚</t>
        </is>
      </c>
      <c r="F928" s="19" t="inlineStr">
        <is>
          <t>03号泊位</t>
        </is>
      </c>
      <c r="G928" s="20" t="n">
        <v>7503</v>
      </c>
      <c r="H928" s="38" t="n">
        <v>5.3</v>
      </c>
      <c r="I928" s="38" t="n">
        <v>1.09</v>
      </c>
      <c r="J928" s="38" t="n">
        <v>5.68</v>
      </c>
      <c r="K928" s="20" t="n">
        <v>0</v>
      </c>
      <c r="L928" s="26">
        <f>IF(H928&lt;=J928,1,0)</f>
        <v>1</v>
      </c>
    </row>
    <row r="929">
      <c r="A929" s="24" t="inlineStr">
        <is>
          <t>QL-154-4</t>
        </is>
      </c>
      <c r="B929" s="39" t="n">
        <v>45811</v>
      </c>
      <c r="C929" s="40" t="inlineStr">
        <is>
          <t>进港</t>
        </is>
      </c>
      <c r="D929" s="24" t="inlineStr">
        <is>
          <t>粮食</t>
        </is>
      </c>
      <c r="E929" s="24" t="inlineStr">
        <is>
          <t>国内沿海</t>
        </is>
      </c>
      <c r="F929" s="24" t="inlineStr">
        <is>
          <t>04号泊位</t>
        </is>
      </c>
      <c r="G929" s="25" t="n">
        <v>8345</v>
      </c>
      <c r="H929" s="41" t="n">
        <v>8.75</v>
      </c>
      <c r="I929" s="41" t="n">
        <v>3.05</v>
      </c>
      <c r="J929" s="41" t="n">
        <v>8.18</v>
      </c>
      <c r="K929" s="25" t="n">
        <v>0</v>
      </c>
      <c r="L929" s="26">
        <f>IF(H929&lt;=J929,1,0)</f>
        <v>0</v>
      </c>
    </row>
    <row r="930">
      <c r="A930" s="19" t="inlineStr">
        <is>
          <t>QL-154-5</t>
        </is>
      </c>
      <c r="B930" s="36" t="n">
        <v>45811</v>
      </c>
      <c r="C930" s="37" t="inlineStr">
        <is>
          <t>出港</t>
        </is>
      </c>
      <c r="D930" s="19" t="inlineStr">
        <is>
          <t>液体散货</t>
        </is>
      </c>
      <c r="E930" s="19" t="inlineStr">
        <is>
          <t>东亚</t>
        </is>
      </c>
      <c r="F930" s="19" t="inlineStr">
        <is>
          <t>05号泊位</t>
        </is>
      </c>
      <c r="G930" s="20" t="n">
        <v>9946</v>
      </c>
      <c r="H930" s="38" t="n">
        <v>6.6</v>
      </c>
      <c r="I930" s="38" t="n">
        <v>4.81</v>
      </c>
      <c r="J930" s="38" t="n">
        <v>6.91</v>
      </c>
      <c r="K930" s="20" t="n">
        <v>0</v>
      </c>
      <c r="L930" s="26">
        <f>IF(H930&lt;=J930,1,0)</f>
        <v>1</v>
      </c>
    </row>
    <row r="931">
      <c r="A931" s="24" t="inlineStr">
        <is>
          <t>QL-154-6</t>
        </is>
      </c>
      <c r="B931" s="39" t="n">
        <v>45811</v>
      </c>
      <c r="C931" s="40" t="inlineStr">
        <is>
          <t>进港</t>
        </is>
      </c>
      <c r="D931" s="24" t="inlineStr">
        <is>
          <t>件杂货</t>
        </is>
      </c>
      <c r="E931" s="24" t="inlineStr">
        <is>
          <t>北美</t>
        </is>
      </c>
      <c r="F931" s="24" t="inlineStr">
        <is>
          <t>06号泊位</t>
        </is>
      </c>
      <c r="G931" s="25" t="n">
        <v>4704</v>
      </c>
      <c r="H931" s="41" t="n">
        <v>7.53</v>
      </c>
      <c r="I931" s="41" t="n">
        <v>2.69</v>
      </c>
      <c r="J931" s="41" t="n">
        <v>7.71</v>
      </c>
      <c r="K931" s="25" t="n">
        <v>0</v>
      </c>
      <c r="L931" s="26">
        <f>IF(H931&lt;=J931,1,0)</f>
        <v>1</v>
      </c>
    </row>
    <row r="932">
      <c r="A932" s="19" t="inlineStr">
        <is>
          <t>QL-155-1</t>
        </is>
      </c>
      <c r="B932" s="36" t="n">
        <v>45812</v>
      </c>
      <c r="C932" s="37" t="inlineStr">
        <is>
          <t>出港</t>
        </is>
      </c>
      <c r="D932" s="19" t="inlineStr">
        <is>
          <t>集装箱货物</t>
        </is>
      </c>
      <c r="E932" s="19" t="inlineStr">
        <is>
          <t>北美</t>
        </is>
      </c>
      <c r="F932" s="19" t="inlineStr">
        <is>
          <t>01号泊位</t>
        </is>
      </c>
      <c r="G932" s="20" t="n">
        <v>8090</v>
      </c>
      <c r="H932" s="38" t="n">
        <v>9.720000000000001</v>
      </c>
      <c r="I932" s="38" t="n">
        <v>4.24</v>
      </c>
      <c r="J932" s="38" t="n">
        <v>8.99</v>
      </c>
      <c r="K932" s="20" t="n">
        <v>496</v>
      </c>
      <c r="L932" s="26">
        <f>IF(H932&lt;=J932,1,0)</f>
        <v>0</v>
      </c>
    </row>
    <row r="933">
      <c r="A933" s="24" t="inlineStr">
        <is>
          <t>QL-155-2</t>
        </is>
      </c>
      <c r="B933" s="39" t="n">
        <v>45812</v>
      </c>
      <c r="C933" s="40" t="inlineStr">
        <is>
          <t>进港</t>
        </is>
      </c>
      <c r="D933" s="24" t="inlineStr">
        <is>
          <t>金属矿石</t>
        </is>
      </c>
      <c r="E933" s="24" t="inlineStr">
        <is>
          <t>东南亚</t>
        </is>
      </c>
      <c r="F933" s="24" t="inlineStr">
        <is>
          <t>02号泊位</t>
        </is>
      </c>
      <c r="G933" s="25" t="n">
        <v>9997</v>
      </c>
      <c r="H933" s="41" t="n">
        <v>6.7</v>
      </c>
      <c r="I933" s="41" t="n">
        <v>0.9</v>
      </c>
      <c r="J933" s="41" t="n">
        <v>6.45</v>
      </c>
      <c r="K933" s="25" t="n">
        <v>0</v>
      </c>
      <c r="L933" s="26">
        <f>IF(H933&lt;=J933,1,0)</f>
        <v>0</v>
      </c>
    </row>
    <row r="934">
      <c r="A934" s="19" t="inlineStr">
        <is>
          <t>QL-155-3</t>
        </is>
      </c>
      <c r="B934" s="36" t="n">
        <v>45812</v>
      </c>
      <c r="C934" s="37" t="inlineStr">
        <is>
          <t>出港</t>
        </is>
      </c>
      <c r="D934" s="19" t="inlineStr">
        <is>
          <t>煤炭</t>
        </is>
      </c>
      <c r="E934" s="19" t="inlineStr">
        <is>
          <t>东亚</t>
        </is>
      </c>
      <c r="F934" s="19" t="inlineStr">
        <is>
          <t>03号泊位</t>
        </is>
      </c>
      <c r="G934" s="20" t="n">
        <v>11910</v>
      </c>
      <c r="H934" s="38" t="n">
        <v>8.56</v>
      </c>
      <c r="I934" s="38" t="n">
        <v>0.3</v>
      </c>
      <c r="J934" s="38" t="n">
        <v>9.02</v>
      </c>
      <c r="K934" s="20" t="n">
        <v>0</v>
      </c>
      <c r="L934" s="26">
        <f>IF(H934&lt;=J934,1,0)</f>
        <v>1</v>
      </c>
    </row>
    <row r="935">
      <c r="A935" s="24" t="inlineStr">
        <is>
          <t>QL-155-4</t>
        </is>
      </c>
      <c r="B935" s="39" t="n">
        <v>45812</v>
      </c>
      <c r="C935" s="40" t="inlineStr">
        <is>
          <t>出港</t>
        </is>
      </c>
      <c r="D935" s="24" t="inlineStr">
        <is>
          <t>粮食</t>
        </is>
      </c>
      <c r="E935" s="24" t="inlineStr">
        <is>
          <t>北美</t>
        </is>
      </c>
      <c r="F935" s="24" t="inlineStr">
        <is>
          <t>04号泊位</t>
        </is>
      </c>
      <c r="G935" s="25" t="n">
        <v>11279</v>
      </c>
      <c r="H935" s="41" t="n">
        <v>10.96</v>
      </c>
      <c r="I935" s="41" t="n">
        <v>2.26</v>
      </c>
      <c r="J935" s="41" t="n">
        <v>11.06</v>
      </c>
      <c r="K935" s="25" t="n">
        <v>0</v>
      </c>
      <c r="L935" s="26">
        <f>IF(H935&lt;=J935,1,0)</f>
        <v>1</v>
      </c>
    </row>
    <row r="936">
      <c r="A936" s="19" t="inlineStr">
        <is>
          <t>QL-155-5</t>
        </is>
      </c>
      <c r="B936" s="36" t="n">
        <v>45812</v>
      </c>
      <c r="C936" s="37" t="inlineStr">
        <is>
          <t>进港</t>
        </is>
      </c>
      <c r="D936" s="19" t="inlineStr">
        <is>
          <t>液体散货</t>
        </is>
      </c>
      <c r="E936" s="19" t="inlineStr">
        <is>
          <t>东南亚</t>
        </is>
      </c>
      <c r="F936" s="19" t="inlineStr">
        <is>
          <t>05号泊位</t>
        </is>
      </c>
      <c r="G936" s="20" t="n">
        <v>11791</v>
      </c>
      <c r="H936" s="38" t="n">
        <v>8.08</v>
      </c>
      <c r="I936" s="38" t="n">
        <v>0.3</v>
      </c>
      <c r="J936" s="38" t="n">
        <v>8.19</v>
      </c>
      <c r="K936" s="20" t="n">
        <v>0</v>
      </c>
      <c r="L936" s="26">
        <f>IF(H936&lt;=J936,1,0)</f>
        <v>1</v>
      </c>
    </row>
    <row r="937">
      <c r="A937" s="24" t="inlineStr">
        <is>
          <t>QL-155-6</t>
        </is>
      </c>
      <c r="B937" s="39" t="n">
        <v>45812</v>
      </c>
      <c r="C937" s="40" t="inlineStr">
        <is>
          <t>进港</t>
        </is>
      </c>
      <c r="D937" s="24" t="inlineStr">
        <is>
          <t>件杂货</t>
        </is>
      </c>
      <c r="E937" s="24" t="inlineStr">
        <is>
          <t>国内沿海</t>
        </is>
      </c>
      <c r="F937" s="24" t="inlineStr">
        <is>
          <t>06号泊位</t>
        </is>
      </c>
      <c r="G937" s="25" t="n">
        <v>4208</v>
      </c>
      <c r="H937" s="41" t="n">
        <v>6.97</v>
      </c>
      <c r="I937" s="41" t="n">
        <v>7.38</v>
      </c>
      <c r="J937" s="41" t="n">
        <v>6.9</v>
      </c>
      <c r="K937" s="25" t="n">
        <v>0</v>
      </c>
      <c r="L937" s="26">
        <f>IF(H937&lt;=J937,1,0)</f>
        <v>0</v>
      </c>
    </row>
    <row r="938">
      <c r="A938" s="19" t="inlineStr">
        <is>
          <t>QL-156-1</t>
        </is>
      </c>
      <c r="B938" s="36" t="n">
        <v>45813</v>
      </c>
      <c r="C938" s="37" t="inlineStr">
        <is>
          <t>进港</t>
        </is>
      </c>
      <c r="D938" s="19" t="inlineStr">
        <is>
          <t>集装箱货物</t>
        </is>
      </c>
      <c r="E938" s="19" t="inlineStr">
        <is>
          <t>欧洲</t>
        </is>
      </c>
      <c r="F938" s="19" t="inlineStr">
        <is>
          <t>01号泊位</t>
        </is>
      </c>
      <c r="G938" s="20" t="n">
        <v>6116</v>
      </c>
      <c r="H938" s="38" t="n">
        <v>7.03</v>
      </c>
      <c r="I938" s="38" t="n">
        <v>0.77</v>
      </c>
      <c r="J938" s="38" t="n">
        <v>6.8</v>
      </c>
      <c r="K938" s="20" t="n">
        <v>415</v>
      </c>
      <c r="L938" s="26">
        <f>IF(H938&lt;=J938,1,0)</f>
        <v>0</v>
      </c>
    </row>
    <row r="939">
      <c r="A939" s="24" t="inlineStr">
        <is>
          <t>QL-156-2</t>
        </is>
      </c>
      <c r="B939" s="39" t="n">
        <v>45813</v>
      </c>
      <c r="C939" s="40" t="inlineStr">
        <is>
          <t>进港</t>
        </is>
      </c>
      <c r="D939" s="24" t="inlineStr">
        <is>
          <t>金属矿石</t>
        </is>
      </c>
      <c r="E939" s="24" t="inlineStr">
        <is>
          <t>东亚</t>
        </is>
      </c>
      <c r="F939" s="24" t="inlineStr">
        <is>
          <t>02号泊位</t>
        </is>
      </c>
      <c r="G939" s="25" t="n">
        <v>9900</v>
      </c>
      <c r="H939" s="41" t="n">
        <v>7.31</v>
      </c>
      <c r="I939" s="41" t="n">
        <v>1.79</v>
      </c>
      <c r="J939" s="41" t="n">
        <v>6.39</v>
      </c>
      <c r="K939" s="25" t="n">
        <v>0</v>
      </c>
      <c r="L939" s="26">
        <f>IF(H939&lt;=J939,1,0)</f>
        <v>0</v>
      </c>
    </row>
    <row r="940">
      <c r="A940" s="19" t="inlineStr">
        <is>
          <t>QL-156-3</t>
        </is>
      </c>
      <c r="B940" s="36" t="n">
        <v>45813</v>
      </c>
      <c r="C940" s="37" t="inlineStr">
        <is>
          <t>进港</t>
        </is>
      </c>
      <c r="D940" s="19" t="inlineStr">
        <is>
          <t>煤炭</t>
        </is>
      </c>
      <c r="E940" s="19" t="inlineStr">
        <is>
          <t>东亚</t>
        </is>
      </c>
      <c r="F940" s="19" t="inlineStr">
        <is>
          <t>03号泊位</t>
        </is>
      </c>
      <c r="G940" s="20" t="n">
        <v>7450</v>
      </c>
      <c r="H940" s="38" t="n">
        <v>5.34</v>
      </c>
      <c r="I940" s="38" t="n">
        <v>1.54</v>
      </c>
      <c r="J940" s="38" t="n">
        <v>5.64</v>
      </c>
      <c r="K940" s="20" t="n">
        <v>0</v>
      </c>
      <c r="L940" s="26">
        <f>IF(H940&lt;=J940,1,0)</f>
        <v>1</v>
      </c>
    </row>
    <row r="941">
      <c r="A941" s="24" t="inlineStr">
        <is>
          <t>QL-156-4</t>
        </is>
      </c>
      <c r="B941" s="39" t="n">
        <v>45813</v>
      </c>
      <c r="C941" s="40" t="inlineStr">
        <is>
          <t>进港</t>
        </is>
      </c>
      <c r="D941" s="24" t="inlineStr">
        <is>
          <t>粮食</t>
        </is>
      </c>
      <c r="E941" s="24" t="inlineStr">
        <is>
          <t>国内沿海</t>
        </is>
      </c>
      <c r="F941" s="24" t="inlineStr">
        <is>
          <t>04号泊位</t>
        </is>
      </c>
      <c r="G941" s="25" t="n">
        <v>11806</v>
      </c>
      <c r="H941" s="41" t="n">
        <v>11.82</v>
      </c>
      <c r="I941" s="41" t="n">
        <v>4.09</v>
      </c>
      <c r="J941" s="41" t="n">
        <v>11.57</v>
      </c>
      <c r="K941" s="25" t="n">
        <v>0</v>
      </c>
      <c r="L941" s="26">
        <f>IF(H941&lt;=J941,1,0)</f>
        <v>0</v>
      </c>
    </row>
    <row r="942">
      <c r="A942" s="19" t="inlineStr">
        <is>
          <t>QL-156-5</t>
        </is>
      </c>
      <c r="B942" s="36" t="n">
        <v>45813</v>
      </c>
      <c r="C942" s="37" t="inlineStr">
        <is>
          <t>进港</t>
        </is>
      </c>
      <c r="D942" s="19" t="inlineStr">
        <is>
          <t>液体散货</t>
        </is>
      </c>
      <c r="E942" s="19" t="inlineStr">
        <is>
          <t>国内沿海</t>
        </is>
      </c>
      <c r="F942" s="19" t="inlineStr">
        <is>
          <t>05号泊位</t>
        </is>
      </c>
      <c r="G942" s="20" t="n">
        <v>13252</v>
      </c>
      <c r="H942" s="38" t="n">
        <v>8.49</v>
      </c>
      <c r="I942" s="38" t="n">
        <v>1.75</v>
      </c>
      <c r="J942" s="38" t="n">
        <v>9.199999999999999</v>
      </c>
      <c r="K942" s="20" t="n">
        <v>0</v>
      </c>
      <c r="L942" s="26">
        <f>IF(H942&lt;=J942,1,0)</f>
        <v>1</v>
      </c>
    </row>
    <row r="943">
      <c r="A943" s="24" t="inlineStr">
        <is>
          <t>QL-156-6</t>
        </is>
      </c>
      <c r="B943" s="39" t="n">
        <v>45813</v>
      </c>
      <c r="C943" s="40" t="inlineStr">
        <is>
          <t>出港</t>
        </is>
      </c>
      <c r="D943" s="24" t="inlineStr">
        <is>
          <t>件杂货</t>
        </is>
      </c>
      <c r="E943" s="24" t="inlineStr">
        <is>
          <t>北美</t>
        </is>
      </c>
      <c r="F943" s="24" t="inlineStr">
        <is>
          <t>06号泊位</t>
        </is>
      </c>
      <c r="G943" s="25" t="n">
        <v>7015</v>
      </c>
      <c r="H943" s="41" t="n">
        <v>13.08</v>
      </c>
      <c r="I943" s="41" t="n">
        <v>0.3</v>
      </c>
      <c r="J943" s="41" t="n">
        <v>11.5</v>
      </c>
      <c r="K943" s="25" t="n">
        <v>0</v>
      </c>
      <c r="L943" s="26">
        <f>IF(H943&lt;=J943,1,0)</f>
        <v>0</v>
      </c>
    </row>
    <row r="944">
      <c r="A944" s="19" t="inlineStr">
        <is>
          <t>QL-157-1</t>
        </is>
      </c>
      <c r="B944" s="36" t="n">
        <v>45814</v>
      </c>
      <c r="C944" s="37" t="inlineStr">
        <is>
          <t>出港</t>
        </is>
      </c>
      <c r="D944" s="19" t="inlineStr">
        <is>
          <t>集装箱货物</t>
        </is>
      </c>
      <c r="E944" s="19" t="inlineStr">
        <is>
          <t>东亚</t>
        </is>
      </c>
      <c r="F944" s="19" t="inlineStr">
        <is>
          <t>01号泊位</t>
        </is>
      </c>
      <c r="G944" s="20" t="n">
        <v>8075</v>
      </c>
      <c r="H944" s="38" t="n">
        <v>10.51</v>
      </c>
      <c r="I944" s="38" t="n">
        <v>0.37</v>
      </c>
      <c r="J944" s="38" t="n">
        <v>8.970000000000001</v>
      </c>
      <c r="K944" s="20" t="n">
        <v>639</v>
      </c>
      <c r="L944" s="26">
        <f>IF(H944&lt;=J944,1,0)</f>
        <v>0</v>
      </c>
    </row>
    <row r="945">
      <c r="A945" s="24" t="inlineStr">
        <is>
          <t>QL-157-2</t>
        </is>
      </c>
      <c r="B945" s="39" t="n">
        <v>45814</v>
      </c>
      <c r="C945" s="40" t="inlineStr">
        <is>
          <t>进港</t>
        </is>
      </c>
      <c r="D945" s="24" t="inlineStr">
        <is>
          <t>金属矿石</t>
        </is>
      </c>
      <c r="E945" s="24" t="inlineStr">
        <is>
          <t>东南亚</t>
        </is>
      </c>
      <c r="F945" s="24" t="inlineStr">
        <is>
          <t>02号泊位</t>
        </is>
      </c>
      <c r="G945" s="25" t="n">
        <v>18685</v>
      </c>
      <c r="H945" s="41" t="n">
        <v>13.93</v>
      </c>
      <c r="I945" s="41" t="n">
        <v>5.14</v>
      </c>
      <c r="J945" s="41" t="n">
        <v>12.05</v>
      </c>
      <c r="K945" s="25" t="n">
        <v>0</v>
      </c>
      <c r="L945" s="26">
        <f>IF(H945&lt;=J945,1,0)</f>
        <v>0</v>
      </c>
    </row>
    <row r="946">
      <c r="A946" s="19" t="inlineStr">
        <is>
          <t>QL-157-3</t>
        </is>
      </c>
      <c r="B946" s="36" t="n">
        <v>45814</v>
      </c>
      <c r="C946" s="37" t="inlineStr">
        <is>
          <t>出港</t>
        </is>
      </c>
      <c r="D946" s="19" t="inlineStr">
        <is>
          <t>煤炭</t>
        </is>
      </c>
      <c r="E946" s="19" t="inlineStr">
        <is>
          <t>欧洲</t>
        </is>
      </c>
      <c r="F946" s="19" t="inlineStr">
        <is>
          <t>03号泊位</t>
        </is>
      </c>
      <c r="G946" s="20" t="n">
        <v>16178</v>
      </c>
      <c r="H946" s="38" t="n">
        <v>11.16</v>
      </c>
      <c r="I946" s="38" t="n">
        <v>1.65</v>
      </c>
      <c r="J946" s="38" t="n">
        <v>12.26</v>
      </c>
      <c r="K946" s="20" t="n">
        <v>0</v>
      </c>
      <c r="L946" s="26">
        <f>IF(H946&lt;=J946,1,0)</f>
        <v>1</v>
      </c>
    </row>
    <row r="947">
      <c r="A947" s="24" t="inlineStr">
        <is>
          <t>QL-157-4</t>
        </is>
      </c>
      <c r="B947" s="39" t="n">
        <v>45814</v>
      </c>
      <c r="C947" s="40" t="inlineStr">
        <is>
          <t>进港</t>
        </is>
      </c>
      <c r="D947" s="24" t="inlineStr">
        <is>
          <t>粮食</t>
        </is>
      </c>
      <c r="E947" s="24" t="inlineStr">
        <is>
          <t>欧洲</t>
        </is>
      </c>
      <c r="F947" s="24" t="inlineStr">
        <is>
          <t>04号泊位</t>
        </is>
      </c>
      <c r="G947" s="25" t="n">
        <v>9972</v>
      </c>
      <c r="H947" s="41" t="n">
        <v>9.06</v>
      </c>
      <c r="I947" s="41" t="n">
        <v>2.31</v>
      </c>
      <c r="J947" s="41" t="n">
        <v>9.779999999999999</v>
      </c>
      <c r="K947" s="25" t="n">
        <v>0</v>
      </c>
      <c r="L947" s="26">
        <f>IF(H947&lt;=J947,1,0)</f>
        <v>1</v>
      </c>
    </row>
    <row r="948">
      <c r="A948" s="19" t="inlineStr">
        <is>
          <t>QL-157-5</t>
        </is>
      </c>
      <c r="B948" s="36" t="n">
        <v>45814</v>
      </c>
      <c r="C948" s="37" t="inlineStr">
        <is>
          <t>出港</t>
        </is>
      </c>
      <c r="D948" s="19" t="inlineStr">
        <is>
          <t>液体散货</t>
        </is>
      </c>
      <c r="E948" s="19" t="inlineStr">
        <is>
          <t>东亚</t>
        </is>
      </c>
      <c r="F948" s="19" t="inlineStr">
        <is>
          <t>05号泊位</t>
        </is>
      </c>
      <c r="G948" s="20" t="n">
        <v>8608</v>
      </c>
      <c r="H948" s="38" t="n">
        <v>6.17</v>
      </c>
      <c r="I948" s="38" t="n">
        <v>2.01</v>
      </c>
      <c r="J948" s="38" t="n">
        <v>5.98</v>
      </c>
      <c r="K948" s="20" t="n">
        <v>0</v>
      </c>
      <c r="L948" s="26">
        <f>IF(H948&lt;=J948,1,0)</f>
        <v>0</v>
      </c>
    </row>
    <row r="949">
      <c r="A949" s="24" t="inlineStr">
        <is>
          <t>QL-157-6</t>
        </is>
      </c>
      <c r="B949" s="39" t="n">
        <v>45814</v>
      </c>
      <c r="C949" s="40" t="inlineStr">
        <is>
          <t>出港</t>
        </is>
      </c>
      <c r="D949" s="24" t="inlineStr">
        <is>
          <t>件杂货</t>
        </is>
      </c>
      <c r="E949" s="24" t="inlineStr">
        <is>
          <t>国内沿海</t>
        </is>
      </c>
      <c r="F949" s="24" t="inlineStr">
        <is>
          <t>06号泊位</t>
        </is>
      </c>
      <c r="G949" s="25" t="n">
        <v>6279</v>
      </c>
      <c r="H949" s="41" t="n">
        <v>8.789999999999999</v>
      </c>
      <c r="I949" s="41" t="n">
        <v>2.81</v>
      </c>
      <c r="J949" s="41" t="n">
        <v>10.29</v>
      </c>
      <c r="K949" s="25" t="n">
        <v>0</v>
      </c>
      <c r="L949" s="26">
        <f>IF(H949&lt;=J949,1,0)</f>
        <v>1</v>
      </c>
    </row>
    <row r="950">
      <c r="A950" s="19" t="inlineStr">
        <is>
          <t>QL-158-1</t>
        </is>
      </c>
      <c r="B950" s="36" t="n">
        <v>45815</v>
      </c>
      <c r="C950" s="37" t="inlineStr">
        <is>
          <t>出港</t>
        </is>
      </c>
      <c r="D950" s="19" t="inlineStr">
        <is>
          <t>集装箱货物</t>
        </is>
      </c>
      <c r="E950" s="19" t="inlineStr">
        <is>
          <t>北美</t>
        </is>
      </c>
      <c r="F950" s="19" t="inlineStr">
        <is>
          <t>01号泊位</t>
        </is>
      </c>
      <c r="G950" s="20" t="n">
        <v>9906</v>
      </c>
      <c r="H950" s="38" t="n">
        <v>12.02</v>
      </c>
      <c r="I950" s="38" t="n">
        <v>5.04</v>
      </c>
      <c r="J950" s="38" t="n">
        <v>11.01</v>
      </c>
      <c r="K950" s="20" t="n">
        <v>677</v>
      </c>
      <c r="L950" s="26">
        <f>IF(H950&lt;=J950,1,0)</f>
        <v>0</v>
      </c>
    </row>
    <row r="951">
      <c r="A951" s="24" t="inlineStr">
        <is>
          <t>QL-158-2</t>
        </is>
      </c>
      <c r="B951" s="39" t="n">
        <v>45815</v>
      </c>
      <c r="C951" s="40" t="inlineStr">
        <is>
          <t>进港</t>
        </is>
      </c>
      <c r="D951" s="24" t="inlineStr">
        <is>
          <t>金属矿石</t>
        </is>
      </c>
      <c r="E951" s="24" t="inlineStr">
        <is>
          <t>欧洲</t>
        </is>
      </c>
      <c r="F951" s="24" t="inlineStr">
        <is>
          <t>02号泊位</t>
        </is>
      </c>
      <c r="G951" s="25" t="n">
        <v>19071</v>
      </c>
      <c r="H951" s="41" t="n">
        <v>13.39</v>
      </c>
      <c r="I951" s="41" t="n">
        <v>4.3</v>
      </c>
      <c r="J951" s="41" t="n">
        <v>12.3</v>
      </c>
      <c r="K951" s="25" t="n">
        <v>0</v>
      </c>
      <c r="L951" s="26">
        <f>IF(H951&lt;=J951,1,0)</f>
        <v>0</v>
      </c>
    </row>
    <row r="952">
      <c r="A952" s="19" t="inlineStr">
        <is>
          <t>QL-158-3</t>
        </is>
      </c>
      <c r="B952" s="36" t="n">
        <v>45815</v>
      </c>
      <c r="C952" s="37" t="inlineStr">
        <is>
          <t>出港</t>
        </is>
      </c>
      <c r="D952" s="19" t="inlineStr">
        <is>
          <t>煤炭</t>
        </is>
      </c>
      <c r="E952" s="19" t="inlineStr">
        <is>
          <t>东南亚</t>
        </is>
      </c>
      <c r="F952" s="19" t="inlineStr">
        <is>
          <t>03号泊位</t>
        </is>
      </c>
      <c r="G952" s="20" t="n">
        <v>23036</v>
      </c>
      <c r="H952" s="38" t="n">
        <v>18.74</v>
      </c>
      <c r="I952" s="38" t="n">
        <v>1.41</v>
      </c>
      <c r="J952" s="38" t="n">
        <v>17.45</v>
      </c>
      <c r="K952" s="20" t="n">
        <v>0</v>
      </c>
      <c r="L952" s="26">
        <f>IF(H952&lt;=J952,1,0)</f>
        <v>0</v>
      </c>
    </row>
    <row r="953">
      <c r="A953" s="24" t="inlineStr">
        <is>
          <t>QL-158-4</t>
        </is>
      </c>
      <c r="B953" s="39" t="n">
        <v>45815</v>
      </c>
      <c r="C953" s="40" t="inlineStr">
        <is>
          <t>进港</t>
        </is>
      </c>
      <c r="D953" s="24" t="inlineStr">
        <is>
          <t>粮食</t>
        </is>
      </c>
      <c r="E953" s="24" t="inlineStr">
        <is>
          <t>国内沿海</t>
        </is>
      </c>
      <c r="F953" s="24" t="inlineStr">
        <is>
          <t>04号泊位</t>
        </is>
      </c>
      <c r="G953" s="25" t="n">
        <v>7608</v>
      </c>
      <c r="H953" s="41" t="n">
        <v>8.23</v>
      </c>
      <c r="I953" s="41" t="n">
        <v>8.41</v>
      </c>
      <c r="J953" s="41" t="n">
        <v>7.46</v>
      </c>
      <c r="K953" s="25" t="n">
        <v>0</v>
      </c>
      <c r="L953" s="26">
        <f>IF(H953&lt;=J953,1,0)</f>
        <v>0</v>
      </c>
    </row>
    <row r="954">
      <c r="A954" s="19" t="inlineStr">
        <is>
          <t>QL-158-5</t>
        </is>
      </c>
      <c r="B954" s="36" t="n">
        <v>45815</v>
      </c>
      <c r="C954" s="37" t="inlineStr">
        <is>
          <t>进港</t>
        </is>
      </c>
      <c r="D954" s="19" t="inlineStr">
        <is>
          <t>液体散货</t>
        </is>
      </c>
      <c r="E954" s="19" t="inlineStr">
        <is>
          <t>国内沿海</t>
        </is>
      </c>
      <c r="F954" s="19" t="inlineStr">
        <is>
          <t>05号泊位</t>
        </is>
      </c>
      <c r="G954" s="20" t="n">
        <v>12054</v>
      </c>
      <c r="H954" s="38" t="n">
        <v>7.86</v>
      </c>
      <c r="I954" s="38" t="n">
        <v>1.01</v>
      </c>
      <c r="J954" s="38" t="n">
        <v>8.369999999999999</v>
      </c>
      <c r="K954" s="20" t="n">
        <v>0</v>
      </c>
      <c r="L954" s="26">
        <f>IF(H954&lt;=J954,1,0)</f>
        <v>1</v>
      </c>
    </row>
    <row r="955">
      <c r="A955" s="24" t="inlineStr">
        <is>
          <t>QL-158-6</t>
        </is>
      </c>
      <c r="B955" s="39" t="n">
        <v>45815</v>
      </c>
      <c r="C955" s="40" t="inlineStr">
        <is>
          <t>出港</t>
        </is>
      </c>
      <c r="D955" s="24" t="inlineStr">
        <is>
          <t>件杂货</t>
        </is>
      </c>
      <c r="E955" s="24" t="inlineStr">
        <is>
          <t>欧洲</t>
        </is>
      </c>
      <c r="F955" s="24" t="inlineStr">
        <is>
          <t>06号泊位</t>
        </is>
      </c>
      <c r="G955" s="25" t="n">
        <v>6182</v>
      </c>
      <c r="H955" s="41" t="n">
        <v>11.52</v>
      </c>
      <c r="I955" s="41" t="n">
        <v>1.58</v>
      </c>
      <c r="J955" s="41" t="n">
        <v>10.13</v>
      </c>
      <c r="K955" s="25" t="n">
        <v>0</v>
      </c>
      <c r="L955" s="26">
        <f>IF(H955&lt;=J955,1,0)</f>
        <v>0</v>
      </c>
    </row>
    <row r="956">
      <c r="A956" s="19" t="inlineStr">
        <is>
          <t>QL-159-1</t>
        </is>
      </c>
      <c r="B956" s="36" t="n">
        <v>45816</v>
      </c>
      <c r="C956" s="37" t="inlineStr">
        <is>
          <t>出港</t>
        </is>
      </c>
      <c r="D956" s="19" t="inlineStr">
        <is>
          <t>集装箱货物</t>
        </is>
      </c>
      <c r="E956" s="19" t="inlineStr">
        <is>
          <t>北美</t>
        </is>
      </c>
      <c r="F956" s="19" t="inlineStr">
        <is>
          <t>01号泊位</t>
        </is>
      </c>
      <c r="G956" s="20" t="n">
        <v>17331</v>
      </c>
      <c r="H956" s="38" t="n">
        <v>22.9</v>
      </c>
      <c r="I956" s="38" t="n">
        <v>0.62</v>
      </c>
      <c r="J956" s="38" t="n">
        <v>19.26</v>
      </c>
      <c r="K956" s="20" t="n">
        <v>1033</v>
      </c>
      <c r="L956" s="26">
        <f>IF(H956&lt;=J956,1,0)</f>
        <v>0</v>
      </c>
    </row>
    <row r="957">
      <c r="A957" s="24" t="inlineStr">
        <is>
          <t>QL-159-2</t>
        </is>
      </c>
      <c r="B957" s="39" t="n">
        <v>45816</v>
      </c>
      <c r="C957" s="40" t="inlineStr">
        <is>
          <t>进港</t>
        </is>
      </c>
      <c r="D957" s="24" t="inlineStr">
        <is>
          <t>金属矿石</t>
        </is>
      </c>
      <c r="E957" s="24" t="inlineStr">
        <is>
          <t>国内沿海</t>
        </is>
      </c>
      <c r="F957" s="24" t="inlineStr">
        <is>
          <t>02号泊位</t>
        </is>
      </c>
      <c r="G957" s="25" t="n">
        <v>24389</v>
      </c>
      <c r="H957" s="41" t="n">
        <v>13.04</v>
      </c>
      <c r="I957" s="41" t="n">
        <v>1.62</v>
      </c>
      <c r="J957" s="41" t="n">
        <v>15.73</v>
      </c>
      <c r="K957" s="25" t="n">
        <v>0</v>
      </c>
      <c r="L957" s="26">
        <f>IF(H957&lt;=J957,1,0)</f>
        <v>1</v>
      </c>
    </row>
    <row r="958">
      <c r="A958" s="19" t="inlineStr">
        <is>
          <t>QL-159-3</t>
        </is>
      </c>
      <c r="B958" s="36" t="n">
        <v>45816</v>
      </c>
      <c r="C958" s="37" t="inlineStr">
        <is>
          <t>进港</t>
        </is>
      </c>
      <c r="D958" s="19" t="inlineStr">
        <is>
          <t>煤炭</t>
        </is>
      </c>
      <c r="E958" s="19" t="inlineStr">
        <is>
          <t>东亚</t>
        </is>
      </c>
      <c r="F958" s="19" t="inlineStr">
        <is>
          <t>03号泊位</t>
        </is>
      </c>
      <c r="G958" s="20" t="n">
        <v>18454</v>
      </c>
      <c r="H958" s="38" t="n">
        <v>11.52</v>
      </c>
      <c r="I958" s="38" t="n">
        <v>0.49</v>
      </c>
      <c r="J958" s="38" t="n">
        <v>13.98</v>
      </c>
      <c r="K958" s="20" t="n">
        <v>0</v>
      </c>
      <c r="L958" s="26">
        <f>IF(H958&lt;=J958,1,0)</f>
        <v>1</v>
      </c>
    </row>
    <row r="959">
      <c r="A959" s="24" t="inlineStr">
        <is>
          <t>QL-159-4</t>
        </is>
      </c>
      <c r="B959" s="39" t="n">
        <v>45816</v>
      </c>
      <c r="C959" s="40" t="inlineStr">
        <is>
          <t>进港</t>
        </is>
      </c>
      <c r="D959" s="24" t="inlineStr">
        <is>
          <t>粮食</t>
        </is>
      </c>
      <c r="E959" s="24" t="inlineStr">
        <is>
          <t>东南亚</t>
        </is>
      </c>
      <c r="F959" s="24" t="inlineStr">
        <is>
          <t>04号泊位</t>
        </is>
      </c>
      <c r="G959" s="25" t="n">
        <v>10396</v>
      </c>
      <c r="H959" s="41" t="n">
        <v>11.73</v>
      </c>
      <c r="I959" s="41" t="n">
        <v>1.81</v>
      </c>
      <c r="J959" s="41" t="n">
        <v>10.19</v>
      </c>
      <c r="K959" s="25" t="n">
        <v>0</v>
      </c>
      <c r="L959" s="26">
        <f>IF(H959&lt;=J959,1,0)</f>
        <v>0</v>
      </c>
    </row>
    <row r="960">
      <c r="A960" s="19" t="inlineStr">
        <is>
          <t>QL-159-5</t>
        </is>
      </c>
      <c r="B960" s="36" t="n">
        <v>45816</v>
      </c>
      <c r="C960" s="37" t="inlineStr">
        <is>
          <t>出港</t>
        </is>
      </c>
      <c r="D960" s="19" t="inlineStr">
        <is>
          <t>液体散货</t>
        </is>
      </c>
      <c r="E960" s="19" t="inlineStr">
        <is>
          <t>欧洲</t>
        </is>
      </c>
      <c r="F960" s="19" t="inlineStr">
        <is>
          <t>05号泊位</t>
        </is>
      </c>
      <c r="G960" s="20" t="n">
        <v>20034</v>
      </c>
      <c r="H960" s="38" t="n">
        <v>16</v>
      </c>
      <c r="I960" s="38" t="n">
        <v>3.19</v>
      </c>
      <c r="J960" s="38" t="n">
        <v>13.91</v>
      </c>
      <c r="K960" s="20" t="n">
        <v>0</v>
      </c>
      <c r="L960" s="26">
        <f>IF(H960&lt;=J960,1,0)</f>
        <v>0</v>
      </c>
    </row>
    <row r="961">
      <c r="A961" s="24" t="inlineStr">
        <is>
          <t>QL-159-6</t>
        </is>
      </c>
      <c r="B961" s="39" t="n">
        <v>45816</v>
      </c>
      <c r="C961" s="40" t="inlineStr">
        <is>
          <t>出港</t>
        </is>
      </c>
      <c r="D961" s="24" t="inlineStr">
        <is>
          <t>件杂货</t>
        </is>
      </c>
      <c r="E961" s="24" t="inlineStr">
        <is>
          <t>东亚</t>
        </is>
      </c>
      <c r="F961" s="24" t="inlineStr">
        <is>
          <t>06号泊位</t>
        </is>
      </c>
      <c r="G961" s="25" t="n">
        <v>4432</v>
      </c>
      <c r="H961" s="41" t="n">
        <v>6.75</v>
      </c>
      <c r="I961" s="41" t="n">
        <v>0.47</v>
      </c>
      <c r="J961" s="41" t="n">
        <v>7.27</v>
      </c>
      <c r="K961" s="25" t="n">
        <v>0</v>
      </c>
      <c r="L961" s="26">
        <f>IF(H961&lt;=J961,1,0)</f>
        <v>1</v>
      </c>
    </row>
    <row r="962">
      <c r="A962" s="19" t="inlineStr">
        <is>
          <t>QL-160-1</t>
        </is>
      </c>
      <c r="B962" s="36" t="n">
        <v>45817</v>
      </c>
      <c r="C962" s="37" t="inlineStr">
        <is>
          <t>出港</t>
        </is>
      </c>
      <c r="D962" s="19" t="inlineStr">
        <is>
          <t>集装箱货物</t>
        </is>
      </c>
      <c r="E962" s="19" t="inlineStr">
        <is>
          <t>北美</t>
        </is>
      </c>
      <c r="F962" s="19" t="inlineStr">
        <is>
          <t>01号泊位</t>
        </is>
      </c>
      <c r="G962" s="20" t="n">
        <v>14160</v>
      </c>
      <c r="H962" s="38" t="n">
        <v>17.63</v>
      </c>
      <c r="I962" s="38" t="n">
        <v>0.6899999999999999</v>
      </c>
      <c r="J962" s="38" t="n">
        <v>15.73</v>
      </c>
      <c r="K962" s="20" t="n">
        <v>1117</v>
      </c>
      <c r="L962" s="26">
        <f>IF(H962&lt;=J962,1,0)</f>
        <v>0</v>
      </c>
    </row>
    <row r="963">
      <c r="A963" s="24" t="inlineStr">
        <is>
          <t>QL-160-2</t>
        </is>
      </c>
      <c r="B963" s="39" t="n">
        <v>45817</v>
      </c>
      <c r="C963" s="40" t="inlineStr">
        <is>
          <t>进港</t>
        </is>
      </c>
      <c r="D963" s="24" t="inlineStr">
        <is>
          <t>金属矿石</t>
        </is>
      </c>
      <c r="E963" s="24" t="inlineStr">
        <is>
          <t>北美</t>
        </is>
      </c>
      <c r="F963" s="24" t="inlineStr">
        <is>
          <t>02号泊位</t>
        </is>
      </c>
      <c r="G963" s="25" t="n">
        <v>13376</v>
      </c>
      <c r="H963" s="41" t="n">
        <v>8.92</v>
      </c>
      <c r="I963" s="41" t="n">
        <v>1.29</v>
      </c>
      <c r="J963" s="41" t="n">
        <v>8.630000000000001</v>
      </c>
      <c r="K963" s="25" t="n">
        <v>0</v>
      </c>
      <c r="L963" s="26">
        <f>IF(H963&lt;=J963,1,0)</f>
        <v>0</v>
      </c>
    </row>
    <row r="964">
      <c r="A964" s="19" t="inlineStr">
        <is>
          <t>QL-160-3</t>
        </is>
      </c>
      <c r="B964" s="36" t="n">
        <v>45817</v>
      </c>
      <c r="C964" s="37" t="inlineStr">
        <is>
          <t>出港</t>
        </is>
      </c>
      <c r="D964" s="19" t="inlineStr">
        <is>
          <t>煤炭</t>
        </is>
      </c>
      <c r="E964" s="19" t="inlineStr">
        <is>
          <t>东亚</t>
        </is>
      </c>
      <c r="F964" s="19" t="inlineStr">
        <is>
          <t>03号泊位</t>
        </is>
      </c>
      <c r="G964" s="20" t="n">
        <v>15001</v>
      </c>
      <c r="H964" s="38" t="n">
        <v>9.949999999999999</v>
      </c>
      <c r="I964" s="38" t="n">
        <v>2.99</v>
      </c>
      <c r="J964" s="38" t="n">
        <v>11.36</v>
      </c>
      <c r="K964" s="20" t="n">
        <v>0</v>
      </c>
      <c r="L964" s="26">
        <f>IF(H964&lt;=J964,1,0)</f>
        <v>1</v>
      </c>
    </row>
    <row r="965">
      <c r="A965" s="24" t="inlineStr">
        <is>
          <t>QL-160-4</t>
        </is>
      </c>
      <c r="B965" s="39" t="n">
        <v>45817</v>
      </c>
      <c r="C965" s="40" t="inlineStr">
        <is>
          <t>出港</t>
        </is>
      </c>
      <c r="D965" s="24" t="inlineStr">
        <is>
          <t>粮食</t>
        </is>
      </c>
      <c r="E965" s="24" t="inlineStr">
        <is>
          <t>东南亚</t>
        </is>
      </c>
      <c r="F965" s="24" t="inlineStr">
        <is>
          <t>04号泊位</t>
        </is>
      </c>
      <c r="G965" s="25" t="n">
        <v>11022</v>
      </c>
      <c r="H965" s="41" t="n">
        <v>8.99</v>
      </c>
      <c r="I965" s="41" t="n">
        <v>2.52</v>
      </c>
      <c r="J965" s="41" t="n">
        <v>10.81</v>
      </c>
      <c r="K965" s="25" t="n">
        <v>0</v>
      </c>
      <c r="L965" s="26">
        <f>IF(H965&lt;=J965,1,0)</f>
        <v>1</v>
      </c>
    </row>
    <row r="966">
      <c r="A966" s="19" t="inlineStr">
        <is>
          <t>QL-160-5</t>
        </is>
      </c>
      <c r="B966" s="36" t="n">
        <v>45817</v>
      </c>
      <c r="C966" s="37" t="inlineStr">
        <is>
          <t>出港</t>
        </is>
      </c>
      <c r="D966" s="19" t="inlineStr">
        <is>
          <t>液体散货</t>
        </is>
      </c>
      <c r="E966" s="19" t="inlineStr">
        <is>
          <t>东亚</t>
        </is>
      </c>
      <c r="F966" s="19" t="inlineStr">
        <is>
          <t>05号泊位</t>
        </is>
      </c>
      <c r="G966" s="20" t="n">
        <v>11739</v>
      </c>
      <c r="H966" s="38" t="n">
        <v>7.08</v>
      </c>
      <c r="I966" s="38" t="n">
        <v>9.25</v>
      </c>
      <c r="J966" s="38" t="n">
        <v>8.15</v>
      </c>
      <c r="K966" s="20" t="n">
        <v>0</v>
      </c>
      <c r="L966" s="26">
        <f>IF(H966&lt;=J966,1,0)</f>
        <v>1</v>
      </c>
    </row>
    <row r="967">
      <c r="A967" s="24" t="inlineStr">
        <is>
          <t>QL-160-6</t>
        </is>
      </c>
      <c r="B967" s="39" t="n">
        <v>45817</v>
      </c>
      <c r="C967" s="40" t="inlineStr">
        <is>
          <t>进港</t>
        </is>
      </c>
      <c r="D967" s="24" t="inlineStr">
        <is>
          <t>件杂货</t>
        </is>
      </c>
      <c r="E967" s="24" t="inlineStr">
        <is>
          <t>北美</t>
        </is>
      </c>
      <c r="F967" s="24" t="inlineStr">
        <is>
          <t>06号泊位</t>
        </is>
      </c>
      <c r="G967" s="25" t="n">
        <v>5204</v>
      </c>
      <c r="H967" s="41" t="n">
        <v>8.880000000000001</v>
      </c>
      <c r="I967" s="41" t="n">
        <v>2.92</v>
      </c>
      <c r="J967" s="41" t="n">
        <v>8.529999999999999</v>
      </c>
      <c r="K967" s="25" t="n">
        <v>0</v>
      </c>
      <c r="L967" s="26">
        <f>IF(H967&lt;=J967,1,0)</f>
        <v>0</v>
      </c>
    </row>
    <row r="968">
      <c r="A968" s="19" t="inlineStr">
        <is>
          <t>QL-161-1</t>
        </is>
      </c>
      <c r="B968" s="36" t="n">
        <v>45818</v>
      </c>
      <c r="C968" s="37" t="inlineStr">
        <is>
          <t>进港</t>
        </is>
      </c>
      <c r="D968" s="19" t="inlineStr">
        <is>
          <t>集装箱货物</t>
        </is>
      </c>
      <c r="E968" s="19" t="inlineStr">
        <is>
          <t>国内沿海</t>
        </is>
      </c>
      <c r="F968" s="19" t="inlineStr">
        <is>
          <t>01号泊位</t>
        </is>
      </c>
      <c r="G968" s="20" t="n">
        <v>12167</v>
      </c>
      <c r="H968" s="38" t="n">
        <v>13.34</v>
      </c>
      <c r="I968" s="38" t="n">
        <v>0.54</v>
      </c>
      <c r="J968" s="38" t="n">
        <v>13.52</v>
      </c>
      <c r="K968" s="20" t="n">
        <v>807</v>
      </c>
      <c r="L968" s="26">
        <f>IF(H968&lt;=J968,1,0)</f>
        <v>1</v>
      </c>
    </row>
    <row r="969">
      <c r="A969" s="24" t="inlineStr">
        <is>
          <t>QL-161-2</t>
        </is>
      </c>
      <c r="B969" s="39" t="n">
        <v>45818</v>
      </c>
      <c r="C969" s="40" t="inlineStr">
        <is>
          <t>出港</t>
        </is>
      </c>
      <c r="D969" s="24" t="inlineStr">
        <is>
          <t>金属矿石</t>
        </is>
      </c>
      <c r="E969" s="24" t="inlineStr">
        <is>
          <t>东南亚</t>
        </is>
      </c>
      <c r="F969" s="24" t="inlineStr">
        <is>
          <t>02号泊位</t>
        </is>
      </c>
      <c r="G969" s="25" t="n">
        <v>15223</v>
      </c>
      <c r="H969" s="41" t="n">
        <v>10.29</v>
      </c>
      <c r="I969" s="41" t="n">
        <v>3.06</v>
      </c>
      <c r="J969" s="41" t="n">
        <v>9.82</v>
      </c>
      <c r="K969" s="25" t="n">
        <v>0</v>
      </c>
      <c r="L969" s="26">
        <f>IF(H969&lt;=J969,1,0)</f>
        <v>0</v>
      </c>
    </row>
    <row r="970">
      <c r="A970" s="19" t="inlineStr">
        <is>
          <t>QL-161-3</t>
        </is>
      </c>
      <c r="B970" s="36" t="n">
        <v>45818</v>
      </c>
      <c r="C970" s="37" t="inlineStr">
        <is>
          <t>进港</t>
        </is>
      </c>
      <c r="D970" s="19" t="inlineStr">
        <is>
          <t>煤炭</t>
        </is>
      </c>
      <c r="E970" s="19" t="inlineStr">
        <is>
          <t>国内沿海</t>
        </is>
      </c>
      <c r="F970" s="19" t="inlineStr">
        <is>
          <t>03号泊位</t>
        </is>
      </c>
      <c r="G970" s="20" t="n">
        <v>12609</v>
      </c>
      <c r="H970" s="38" t="n">
        <v>8.119999999999999</v>
      </c>
      <c r="I970" s="38" t="n">
        <v>0.93</v>
      </c>
      <c r="J970" s="38" t="n">
        <v>9.550000000000001</v>
      </c>
      <c r="K970" s="20" t="n">
        <v>0</v>
      </c>
      <c r="L970" s="26">
        <f>IF(H970&lt;=J970,1,0)</f>
        <v>1</v>
      </c>
    </row>
    <row r="971">
      <c r="A971" s="24" t="inlineStr">
        <is>
          <t>QL-161-4</t>
        </is>
      </c>
      <c r="B971" s="39" t="n">
        <v>45818</v>
      </c>
      <c r="C971" s="40" t="inlineStr">
        <is>
          <t>出港</t>
        </is>
      </c>
      <c r="D971" s="24" t="inlineStr">
        <is>
          <t>粮食</t>
        </is>
      </c>
      <c r="E971" s="24" t="inlineStr">
        <is>
          <t>国内沿海</t>
        </is>
      </c>
      <c r="F971" s="24" t="inlineStr">
        <is>
          <t>04号泊位</t>
        </is>
      </c>
      <c r="G971" s="25" t="n">
        <v>11247</v>
      </c>
      <c r="H971" s="41" t="n">
        <v>12.13</v>
      </c>
      <c r="I971" s="41" t="n">
        <v>0.73</v>
      </c>
      <c r="J971" s="41" t="n">
        <v>11.03</v>
      </c>
      <c r="K971" s="25" t="n">
        <v>0</v>
      </c>
      <c r="L971" s="26">
        <f>IF(H971&lt;=J971,1,0)</f>
        <v>0</v>
      </c>
    </row>
    <row r="972">
      <c r="A972" s="19" t="inlineStr">
        <is>
          <t>QL-161-5</t>
        </is>
      </c>
      <c r="B972" s="36" t="n">
        <v>45818</v>
      </c>
      <c r="C972" s="37" t="inlineStr">
        <is>
          <t>出港</t>
        </is>
      </c>
      <c r="D972" s="19" t="inlineStr">
        <is>
          <t>液体散货</t>
        </is>
      </c>
      <c r="E972" s="19" t="inlineStr">
        <is>
          <t>欧洲</t>
        </is>
      </c>
      <c r="F972" s="19" t="inlineStr">
        <is>
          <t>05号泊位</t>
        </is>
      </c>
      <c r="G972" s="20" t="n">
        <v>6344</v>
      </c>
      <c r="H972" s="38" t="n">
        <v>5.07</v>
      </c>
      <c r="I972" s="38" t="n">
        <v>3.04</v>
      </c>
      <c r="J972" s="38" t="n">
        <v>4.41</v>
      </c>
      <c r="K972" s="20" t="n">
        <v>0</v>
      </c>
      <c r="L972" s="26">
        <f>IF(H972&lt;=J972,1,0)</f>
        <v>0</v>
      </c>
    </row>
    <row r="973">
      <c r="A973" s="24" t="inlineStr">
        <is>
          <t>QL-161-6</t>
        </is>
      </c>
      <c r="B973" s="39" t="n">
        <v>45818</v>
      </c>
      <c r="C973" s="40" t="inlineStr">
        <is>
          <t>进港</t>
        </is>
      </c>
      <c r="D973" s="24" t="inlineStr">
        <is>
          <t>件杂货</t>
        </is>
      </c>
      <c r="E973" s="24" t="inlineStr">
        <is>
          <t>东南亚</t>
        </is>
      </c>
      <c r="F973" s="24" t="inlineStr">
        <is>
          <t>06号泊位</t>
        </is>
      </c>
      <c r="G973" s="25" t="n">
        <v>6504</v>
      </c>
      <c r="H973" s="41" t="n">
        <v>12.88</v>
      </c>
      <c r="I973" s="41" t="n">
        <v>5.52</v>
      </c>
      <c r="J973" s="41" t="n">
        <v>10.66</v>
      </c>
      <c r="K973" s="25" t="n">
        <v>0</v>
      </c>
      <c r="L973" s="26">
        <f>IF(H973&lt;=J973,1,0)</f>
        <v>0</v>
      </c>
    </row>
    <row r="974">
      <c r="A974" s="19" t="inlineStr">
        <is>
          <t>QL-162-1</t>
        </is>
      </c>
      <c r="B974" s="36" t="n">
        <v>45819</v>
      </c>
      <c r="C974" s="37" t="inlineStr">
        <is>
          <t>进港</t>
        </is>
      </c>
      <c r="D974" s="19" t="inlineStr">
        <is>
          <t>集装箱货物</t>
        </is>
      </c>
      <c r="E974" s="19" t="inlineStr">
        <is>
          <t>欧洲</t>
        </is>
      </c>
      <c r="F974" s="19" t="inlineStr">
        <is>
          <t>01号泊位</t>
        </is>
      </c>
      <c r="G974" s="20" t="n">
        <v>10833</v>
      </c>
      <c r="H974" s="38" t="n">
        <v>11.86</v>
      </c>
      <c r="I974" s="38" t="n">
        <v>4.34</v>
      </c>
      <c r="J974" s="38" t="n">
        <v>12.04</v>
      </c>
      <c r="K974" s="20" t="n">
        <v>757</v>
      </c>
      <c r="L974" s="26">
        <f>IF(H974&lt;=J974,1,0)</f>
        <v>1</v>
      </c>
    </row>
    <row r="975">
      <c r="A975" s="24" t="inlineStr">
        <is>
          <t>QL-162-2</t>
        </is>
      </c>
      <c r="B975" s="39" t="n">
        <v>45819</v>
      </c>
      <c r="C975" s="40" t="inlineStr">
        <is>
          <t>出港</t>
        </is>
      </c>
      <c r="D975" s="24" t="inlineStr">
        <is>
          <t>金属矿石</t>
        </is>
      </c>
      <c r="E975" s="24" t="inlineStr">
        <is>
          <t>欧洲</t>
        </is>
      </c>
      <c r="F975" s="24" t="inlineStr">
        <is>
          <t>02号泊位</t>
        </is>
      </c>
      <c r="G975" s="25" t="n">
        <v>14697</v>
      </c>
      <c r="H975" s="41" t="n">
        <v>10.56</v>
      </c>
      <c r="I975" s="41" t="n">
        <v>5.67</v>
      </c>
      <c r="J975" s="41" t="n">
        <v>9.48</v>
      </c>
      <c r="K975" s="25" t="n">
        <v>0</v>
      </c>
      <c r="L975" s="26">
        <f>IF(H975&lt;=J975,1,0)</f>
        <v>0</v>
      </c>
    </row>
    <row r="976">
      <c r="A976" s="19" t="inlineStr">
        <is>
          <t>QL-162-3</t>
        </is>
      </c>
      <c r="B976" s="36" t="n">
        <v>45819</v>
      </c>
      <c r="C976" s="37" t="inlineStr">
        <is>
          <t>出港</t>
        </is>
      </c>
      <c r="D976" s="19" t="inlineStr">
        <is>
          <t>煤炭</t>
        </is>
      </c>
      <c r="E976" s="19" t="inlineStr">
        <is>
          <t>欧洲</t>
        </is>
      </c>
      <c r="F976" s="19" t="inlineStr">
        <is>
          <t>03号泊位</t>
        </is>
      </c>
      <c r="G976" s="20" t="n">
        <v>14854</v>
      </c>
      <c r="H976" s="38" t="n">
        <v>9.94</v>
      </c>
      <c r="I976" s="38" t="n">
        <v>3.55</v>
      </c>
      <c r="J976" s="38" t="n">
        <v>11.25</v>
      </c>
      <c r="K976" s="20" t="n">
        <v>0</v>
      </c>
      <c r="L976" s="26">
        <f>IF(H976&lt;=J976,1,0)</f>
        <v>1</v>
      </c>
    </row>
    <row r="977">
      <c r="A977" s="24" t="inlineStr">
        <is>
          <t>QL-162-4</t>
        </is>
      </c>
      <c r="B977" s="39" t="n">
        <v>45819</v>
      </c>
      <c r="C977" s="40" t="inlineStr">
        <is>
          <t>进港</t>
        </is>
      </c>
      <c r="D977" s="24" t="inlineStr">
        <is>
          <t>粮食</t>
        </is>
      </c>
      <c r="E977" s="24" t="inlineStr">
        <is>
          <t>国内沿海</t>
        </is>
      </c>
      <c r="F977" s="24" t="inlineStr">
        <is>
          <t>04号泊位</t>
        </is>
      </c>
      <c r="G977" s="25" t="n">
        <v>12326</v>
      </c>
      <c r="H977" s="41" t="n">
        <v>12.55</v>
      </c>
      <c r="I977" s="41" t="n">
        <v>1.25</v>
      </c>
      <c r="J977" s="41" t="n">
        <v>12.08</v>
      </c>
      <c r="K977" s="25" t="n">
        <v>0</v>
      </c>
      <c r="L977" s="26">
        <f>IF(H977&lt;=J977,1,0)</f>
        <v>0</v>
      </c>
    </row>
    <row r="978">
      <c r="A978" s="19" t="inlineStr">
        <is>
          <t>QL-162-5</t>
        </is>
      </c>
      <c r="B978" s="36" t="n">
        <v>45819</v>
      </c>
      <c r="C978" s="37" t="inlineStr">
        <is>
          <t>进港</t>
        </is>
      </c>
      <c r="D978" s="19" t="inlineStr">
        <is>
          <t>液体散货</t>
        </is>
      </c>
      <c r="E978" s="19" t="inlineStr">
        <is>
          <t>东亚</t>
        </is>
      </c>
      <c r="F978" s="19" t="inlineStr">
        <is>
          <t>05号泊位</t>
        </is>
      </c>
      <c r="G978" s="20" t="n">
        <v>10427</v>
      </c>
      <c r="H978" s="38" t="n">
        <v>6.24</v>
      </c>
      <c r="I978" s="38" t="n">
        <v>1.49</v>
      </c>
      <c r="J978" s="38" t="n">
        <v>7.24</v>
      </c>
      <c r="K978" s="20" t="n">
        <v>0</v>
      </c>
      <c r="L978" s="26">
        <f>IF(H978&lt;=J978,1,0)</f>
        <v>1</v>
      </c>
    </row>
    <row r="979">
      <c r="A979" s="24" t="inlineStr">
        <is>
          <t>QL-162-6</t>
        </is>
      </c>
      <c r="B979" s="39" t="n">
        <v>45819</v>
      </c>
      <c r="C979" s="40" t="inlineStr">
        <is>
          <t>进港</t>
        </is>
      </c>
      <c r="D979" s="24" t="inlineStr">
        <is>
          <t>件杂货</t>
        </is>
      </c>
      <c r="E979" s="24" t="inlineStr">
        <is>
          <t>东南亚</t>
        </is>
      </c>
      <c r="F979" s="24" t="inlineStr">
        <is>
          <t>06号泊位</t>
        </is>
      </c>
      <c r="G979" s="25" t="n">
        <v>4853</v>
      </c>
      <c r="H979" s="41" t="n">
        <v>9.050000000000001</v>
      </c>
      <c r="I979" s="41" t="n">
        <v>9.539999999999999</v>
      </c>
      <c r="J979" s="41" t="n">
        <v>7.96</v>
      </c>
      <c r="K979" s="25" t="n">
        <v>0</v>
      </c>
      <c r="L979" s="26">
        <f>IF(H979&lt;=J979,1,0)</f>
        <v>0</v>
      </c>
    </row>
    <row r="980">
      <c r="A980" s="19" t="inlineStr">
        <is>
          <t>QL-163-1</t>
        </is>
      </c>
      <c r="B980" s="36" t="n">
        <v>45820</v>
      </c>
      <c r="C980" s="37" t="inlineStr">
        <is>
          <t>出港</t>
        </is>
      </c>
      <c r="D980" s="19" t="inlineStr">
        <is>
          <t>集装箱货物</t>
        </is>
      </c>
      <c r="E980" s="19" t="inlineStr">
        <is>
          <t>国内沿海</t>
        </is>
      </c>
      <c r="F980" s="19" t="inlineStr">
        <is>
          <t>01号泊位</t>
        </is>
      </c>
      <c r="G980" s="20" t="n">
        <v>7405</v>
      </c>
      <c r="H980" s="38" t="n">
        <v>8.1</v>
      </c>
      <c r="I980" s="38" t="n">
        <v>1.32</v>
      </c>
      <c r="J980" s="38" t="n">
        <v>8.23</v>
      </c>
      <c r="K980" s="20" t="n">
        <v>585</v>
      </c>
      <c r="L980" s="26">
        <f>IF(H980&lt;=J980,1,0)</f>
        <v>1</v>
      </c>
    </row>
    <row r="981">
      <c r="A981" s="24" t="inlineStr">
        <is>
          <t>QL-163-2</t>
        </is>
      </c>
      <c r="B981" s="39" t="n">
        <v>45820</v>
      </c>
      <c r="C981" s="40" t="inlineStr">
        <is>
          <t>进港</t>
        </is>
      </c>
      <c r="D981" s="24" t="inlineStr">
        <is>
          <t>金属矿石</t>
        </is>
      </c>
      <c r="E981" s="24" t="inlineStr">
        <is>
          <t>东南亚</t>
        </is>
      </c>
      <c r="F981" s="24" t="inlineStr">
        <is>
          <t>02号泊位</t>
        </is>
      </c>
      <c r="G981" s="25" t="n">
        <v>25325</v>
      </c>
      <c r="H981" s="41" t="n">
        <v>14.35</v>
      </c>
      <c r="I981" s="41" t="n">
        <v>4.07</v>
      </c>
      <c r="J981" s="41" t="n">
        <v>16.34</v>
      </c>
      <c r="K981" s="25" t="n">
        <v>0</v>
      </c>
      <c r="L981" s="26">
        <f>IF(H981&lt;=J981,1,0)</f>
        <v>1</v>
      </c>
    </row>
    <row r="982">
      <c r="A982" s="19" t="inlineStr">
        <is>
          <t>QL-163-3</t>
        </is>
      </c>
      <c r="B982" s="36" t="n">
        <v>45820</v>
      </c>
      <c r="C982" s="37" t="inlineStr">
        <is>
          <t>出港</t>
        </is>
      </c>
      <c r="D982" s="19" t="inlineStr">
        <is>
          <t>煤炭</t>
        </is>
      </c>
      <c r="E982" s="19" t="inlineStr">
        <is>
          <t>东亚</t>
        </is>
      </c>
      <c r="F982" s="19" t="inlineStr">
        <is>
          <t>03号泊位</t>
        </is>
      </c>
      <c r="G982" s="20" t="n">
        <v>13106</v>
      </c>
      <c r="H982" s="38" t="n">
        <v>9.94</v>
      </c>
      <c r="I982" s="38" t="n">
        <v>0.58</v>
      </c>
      <c r="J982" s="38" t="n">
        <v>9.93</v>
      </c>
      <c r="K982" s="20" t="n">
        <v>0</v>
      </c>
      <c r="L982" s="26">
        <f>IF(H982&lt;=J982,1,0)</f>
        <v>0</v>
      </c>
    </row>
    <row r="983">
      <c r="A983" s="24" t="inlineStr">
        <is>
          <t>QL-163-4</t>
        </is>
      </c>
      <c r="B983" s="39" t="n">
        <v>45820</v>
      </c>
      <c r="C983" s="40" t="inlineStr">
        <is>
          <t>进港</t>
        </is>
      </c>
      <c r="D983" s="24" t="inlineStr">
        <is>
          <t>粮食</t>
        </is>
      </c>
      <c r="E983" s="24" t="inlineStr">
        <is>
          <t>欧洲</t>
        </is>
      </c>
      <c r="F983" s="24" t="inlineStr">
        <is>
          <t>04号泊位</t>
        </is>
      </c>
      <c r="G983" s="25" t="n">
        <v>5653</v>
      </c>
      <c r="H983" s="41" t="n">
        <v>5.84</v>
      </c>
      <c r="I983" s="41" t="n">
        <v>3.82</v>
      </c>
      <c r="J983" s="41" t="n">
        <v>5.54</v>
      </c>
      <c r="K983" s="25" t="n">
        <v>0</v>
      </c>
      <c r="L983" s="26">
        <f>IF(H983&lt;=J983,1,0)</f>
        <v>0</v>
      </c>
    </row>
    <row r="984">
      <c r="A984" s="19" t="inlineStr">
        <is>
          <t>QL-163-5</t>
        </is>
      </c>
      <c r="B984" s="36" t="n">
        <v>45820</v>
      </c>
      <c r="C984" s="37" t="inlineStr">
        <is>
          <t>进港</t>
        </is>
      </c>
      <c r="D984" s="19" t="inlineStr">
        <is>
          <t>液体散货</t>
        </is>
      </c>
      <c r="E984" s="19" t="inlineStr">
        <is>
          <t>东亚</t>
        </is>
      </c>
      <c r="F984" s="19" t="inlineStr">
        <is>
          <t>05号泊位</t>
        </is>
      </c>
      <c r="G984" s="20" t="n">
        <v>9695</v>
      </c>
      <c r="H984" s="38" t="n">
        <v>7.52</v>
      </c>
      <c r="I984" s="38" t="n">
        <v>0.77</v>
      </c>
      <c r="J984" s="38" t="n">
        <v>6.73</v>
      </c>
      <c r="K984" s="20" t="n">
        <v>0</v>
      </c>
      <c r="L984" s="26">
        <f>IF(H984&lt;=J984,1,0)</f>
        <v>0</v>
      </c>
    </row>
    <row r="985">
      <c r="A985" s="24" t="inlineStr">
        <is>
          <t>QL-163-6</t>
        </is>
      </c>
      <c r="B985" s="39" t="n">
        <v>45820</v>
      </c>
      <c r="C985" s="40" t="inlineStr">
        <is>
          <t>进港</t>
        </is>
      </c>
      <c r="D985" s="24" t="inlineStr">
        <is>
          <t>件杂货</t>
        </is>
      </c>
      <c r="E985" s="24" t="inlineStr">
        <is>
          <t>东亚</t>
        </is>
      </c>
      <c r="F985" s="24" t="inlineStr">
        <is>
          <t>06号泊位</t>
        </is>
      </c>
      <c r="G985" s="25" t="n">
        <v>5176</v>
      </c>
      <c r="H985" s="41" t="n">
        <v>8.789999999999999</v>
      </c>
      <c r="I985" s="41" t="n">
        <v>1.47</v>
      </c>
      <c r="J985" s="41" t="n">
        <v>8.49</v>
      </c>
      <c r="K985" s="25" t="n">
        <v>0</v>
      </c>
      <c r="L985" s="26">
        <f>IF(H985&lt;=J985,1,0)</f>
        <v>0</v>
      </c>
    </row>
    <row r="986">
      <c r="A986" s="19" t="inlineStr">
        <is>
          <t>QL-164-1</t>
        </is>
      </c>
      <c r="B986" s="36" t="n">
        <v>45821</v>
      </c>
      <c r="C986" s="37" t="inlineStr">
        <is>
          <t>进港</t>
        </is>
      </c>
      <c r="D986" s="19" t="inlineStr">
        <is>
          <t>集装箱货物</t>
        </is>
      </c>
      <c r="E986" s="19" t="inlineStr">
        <is>
          <t>北美</t>
        </is>
      </c>
      <c r="F986" s="19" t="inlineStr">
        <is>
          <t>01号泊位</t>
        </is>
      </c>
      <c r="G986" s="20" t="n">
        <v>9427</v>
      </c>
      <c r="H986" s="38" t="n">
        <v>10.2</v>
      </c>
      <c r="I986" s="38" t="n">
        <v>4.41</v>
      </c>
      <c r="J986" s="38" t="n">
        <v>10.47</v>
      </c>
      <c r="K986" s="20" t="n">
        <v>631</v>
      </c>
      <c r="L986" s="26">
        <f>IF(H986&lt;=J986,1,0)</f>
        <v>1</v>
      </c>
    </row>
    <row r="987">
      <c r="A987" s="24" t="inlineStr">
        <is>
          <t>QL-164-2</t>
        </is>
      </c>
      <c r="B987" s="39" t="n">
        <v>45821</v>
      </c>
      <c r="C987" s="40" t="inlineStr">
        <is>
          <t>出港</t>
        </is>
      </c>
      <c r="D987" s="24" t="inlineStr">
        <is>
          <t>金属矿石</t>
        </is>
      </c>
      <c r="E987" s="24" t="inlineStr">
        <is>
          <t>国内沿海</t>
        </is>
      </c>
      <c r="F987" s="24" t="inlineStr">
        <is>
          <t>02号泊位</t>
        </is>
      </c>
      <c r="G987" s="25" t="n">
        <v>28600</v>
      </c>
      <c r="H987" s="41" t="n">
        <v>19.94</v>
      </c>
      <c r="I987" s="41" t="n">
        <v>1.59</v>
      </c>
      <c r="J987" s="41" t="n">
        <v>18.45</v>
      </c>
      <c r="K987" s="25" t="n">
        <v>0</v>
      </c>
      <c r="L987" s="26">
        <f>IF(H987&lt;=J987,1,0)</f>
        <v>0</v>
      </c>
    </row>
    <row r="988">
      <c r="A988" s="19" t="inlineStr">
        <is>
          <t>QL-164-3</t>
        </is>
      </c>
      <c r="B988" s="36" t="n">
        <v>45821</v>
      </c>
      <c r="C988" s="37" t="inlineStr">
        <is>
          <t>进港</t>
        </is>
      </c>
      <c r="D988" s="19" t="inlineStr">
        <is>
          <t>煤炭</t>
        </is>
      </c>
      <c r="E988" s="19" t="inlineStr">
        <is>
          <t>东亚</t>
        </is>
      </c>
      <c r="F988" s="19" t="inlineStr">
        <is>
          <t>03号泊位</t>
        </is>
      </c>
      <c r="G988" s="20" t="n">
        <v>10786</v>
      </c>
      <c r="H988" s="38" t="n">
        <v>9.109999999999999</v>
      </c>
      <c r="I988" s="38" t="n">
        <v>2.22</v>
      </c>
      <c r="J988" s="38" t="n">
        <v>8.17</v>
      </c>
      <c r="K988" s="20" t="n">
        <v>0</v>
      </c>
      <c r="L988" s="26">
        <f>IF(H988&lt;=J988,1,0)</f>
        <v>0</v>
      </c>
    </row>
    <row r="989">
      <c r="A989" s="24" t="inlineStr">
        <is>
          <t>QL-164-4</t>
        </is>
      </c>
      <c r="B989" s="39" t="n">
        <v>45821</v>
      </c>
      <c r="C989" s="40" t="inlineStr">
        <is>
          <t>出港</t>
        </is>
      </c>
      <c r="D989" s="24" t="inlineStr">
        <is>
          <t>粮食</t>
        </is>
      </c>
      <c r="E989" s="24" t="inlineStr">
        <is>
          <t>国内沿海</t>
        </is>
      </c>
      <c r="F989" s="24" t="inlineStr">
        <is>
          <t>04号泊位</t>
        </is>
      </c>
      <c r="G989" s="25" t="n">
        <v>6269</v>
      </c>
      <c r="H989" s="41" t="n">
        <v>5.26</v>
      </c>
      <c r="I989" s="41" t="n">
        <v>3.02</v>
      </c>
      <c r="J989" s="41" t="n">
        <v>6.15</v>
      </c>
      <c r="K989" s="25" t="n">
        <v>0</v>
      </c>
      <c r="L989" s="26">
        <f>IF(H989&lt;=J989,1,0)</f>
        <v>1</v>
      </c>
    </row>
    <row r="990">
      <c r="A990" s="19" t="inlineStr">
        <is>
          <t>QL-164-5</t>
        </is>
      </c>
      <c r="B990" s="36" t="n">
        <v>45821</v>
      </c>
      <c r="C990" s="37" t="inlineStr">
        <is>
          <t>出港</t>
        </is>
      </c>
      <c r="D990" s="19" t="inlineStr">
        <is>
          <t>液体散货</t>
        </is>
      </c>
      <c r="E990" s="19" t="inlineStr">
        <is>
          <t>国内沿海</t>
        </is>
      </c>
      <c r="F990" s="19" t="inlineStr">
        <is>
          <t>05号泊位</t>
        </is>
      </c>
      <c r="G990" s="20" t="n">
        <v>13911</v>
      </c>
      <c r="H990" s="38" t="n">
        <v>7.93</v>
      </c>
      <c r="I990" s="38" t="n">
        <v>1.91</v>
      </c>
      <c r="J990" s="38" t="n">
        <v>9.66</v>
      </c>
      <c r="K990" s="20" t="n">
        <v>0</v>
      </c>
      <c r="L990" s="26">
        <f>IF(H990&lt;=J990,1,0)</f>
        <v>1</v>
      </c>
    </row>
    <row r="991">
      <c r="A991" s="24" t="inlineStr">
        <is>
          <t>QL-164-6</t>
        </is>
      </c>
      <c r="B991" s="39" t="n">
        <v>45821</v>
      </c>
      <c r="C991" s="40" t="inlineStr">
        <is>
          <t>进港</t>
        </is>
      </c>
      <c r="D991" s="24" t="inlineStr">
        <is>
          <t>件杂货</t>
        </is>
      </c>
      <c r="E991" s="24" t="inlineStr">
        <is>
          <t>东亚</t>
        </is>
      </c>
      <c r="F991" s="24" t="inlineStr">
        <is>
          <t>06号泊位</t>
        </is>
      </c>
      <c r="G991" s="25" t="n">
        <v>6173</v>
      </c>
      <c r="H991" s="41" t="n">
        <v>11.97</v>
      </c>
      <c r="I991" s="41" t="n">
        <v>0.92</v>
      </c>
      <c r="J991" s="41" t="n">
        <v>10.12</v>
      </c>
      <c r="K991" s="25" t="n">
        <v>0</v>
      </c>
      <c r="L991" s="26">
        <f>IF(H991&lt;=J991,1,0)</f>
        <v>0</v>
      </c>
    </row>
    <row r="992">
      <c r="A992" s="19" t="inlineStr">
        <is>
          <t>QL-165-1</t>
        </is>
      </c>
      <c r="B992" s="36" t="n">
        <v>45822</v>
      </c>
      <c r="C992" s="37" t="inlineStr">
        <is>
          <t>进港</t>
        </is>
      </c>
      <c r="D992" s="19" t="inlineStr">
        <is>
          <t>集装箱货物</t>
        </is>
      </c>
      <c r="E992" s="19" t="inlineStr">
        <is>
          <t>东亚</t>
        </is>
      </c>
      <c r="F992" s="19" t="inlineStr">
        <is>
          <t>01号泊位</t>
        </is>
      </c>
      <c r="G992" s="20" t="n">
        <v>10930</v>
      </c>
      <c r="H992" s="38" t="n">
        <v>10.79</v>
      </c>
      <c r="I992" s="38" t="n">
        <v>0.74</v>
      </c>
      <c r="J992" s="38" t="n">
        <v>12.14</v>
      </c>
      <c r="K992" s="20" t="n">
        <v>701</v>
      </c>
      <c r="L992" s="26">
        <f>IF(H992&lt;=J992,1,0)</f>
        <v>1</v>
      </c>
    </row>
    <row r="993">
      <c r="A993" s="24" t="inlineStr">
        <is>
          <t>QL-165-2</t>
        </is>
      </c>
      <c r="B993" s="39" t="n">
        <v>45822</v>
      </c>
      <c r="C993" s="40" t="inlineStr">
        <is>
          <t>进港</t>
        </is>
      </c>
      <c r="D993" s="24" t="inlineStr">
        <is>
          <t>金属矿石</t>
        </is>
      </c>
      <c r="E993" s="24" t="inlineStr">
        <is>
          <t>东南亚</t>
        </is>
      </c>
      <c r="F993" s="24" t="inlineStr">
        <is>
          <t>02号泊位</t>
        </is>
      </c>
      <c r="G993" s="25" t="n">
        <v>16728</v>
      </c>
      <c r="H993" s="41" t="n">
        <v>12.26</v>
      </c>
      <c r="I993" s="41" t="n">
        <v>1.87</v>
      </c>
      <c r="J993" s="41" t="n">
        <v>10.79</v>
      </c>
      <c r="K993" s="25" t="n">
        <v>0</v>
      </c>
      <c r="L993" s="26">
        <f>IF(H993&lt;=J993,1,0)</f>
        <v>0</v>
      </c>
    </row>
    <row r="994">
      <c r="A994" s="19" t="inlineStr">
        <is>
          <t>QL-165-3</t>
        </is>
      </c>
      <c r="B994" s="36" t="n">
        <v>45822</v>
      </c>
      <c r="C994" s="37" t="inlineStr">
        <is>
          <t>进港</t>
        </is>
      </c>
      <c r="D994" s="19" t="inlineStr">
        <is>
          <t>煤炭</t>
        </is>
      </c>
      <c r="E994" s="19" t="inlineStr">
        <is>
          <t>欧洲</t>
        </is>
      </c>
      <c r="F994" s="19" t="inlineStr">
        <is>
          <t>03号泊位</t>
        </is>
      </c>
      <c r="G994" s="20" t="n">
        <v>15147</v>
      </c>
      <c r="H994" s="38" t="n">
        <v>9.69</v>
      </c>
      <c r="I994" s="38" t="n">
        <v>2.24</v>
      </c>
      <c r="J994" s="38" t="n">
        <v>11.47</v>
      </c>
      <c r="K994" s="20" t="n">
        <v>0</v>
      </c>
      <c r="L994" s="26">
        <f>IF(H994&lt;=J994,1,0)</f>
        <v>1</v>
      </c>
    </row>
    <row r="995">
      <c r="A995" s="24" t="inlineStr">
        <is>
          <t>QL-165-4</t>
        </is>
      </c>
      <c r="B995" s="39" t="n">
        <v>45822</v>
      </c>
      <c r="C995" s="40" t="inlineStr">
        <is>
          <t>进港</t>
        </is>
      </c>
      <c r="D995" s="24" t="inlineStr">
        <is>
          <t>粮食</t>
        </is>
      </c>
      <c r="E995" s="24" t="inlineStr">
        <is>
          <t>国内沿海</t>
        </is>
      </c>
      <c r="F995" s="24" t="inlineStr">
        <is>
          <t>04号泊位</t>
        </is>
      </c>
      <c r="G995" s="25" t="n">
        <v>7563</v>
      </c>
      <c r="H995" s="41" t="n">
        <v>7.97</v>
      </c>
      <c r="I995" s="41" t="n">
        <v>4.03</v>
      </c>
      <c r="J995" s="41" t="n">
        <v>7.41</v>
      </c>
      <c r="K995" s="25" t="n">
        <v>0</v>
      </c>
      <c r="L995" s="26">
        <f>IF(H995&lt;=J995,1,0)</f>
        <v>0</v>
      </c>
    </row>
    <row r="996">
      <c r="A996" s="19" t="inlineStr">
        <is>
          <t>QL-165-5</t>
        </is>
      </c>
      <c r="B996" s="36" t="n">
        <v>45822</v>
      </c>
      <c r="C996" s="37" t="inlineStr">
        <is>
          <t>出港</t>
        </is>
      </c>
      <c r="D996" s="19" t="inlineStr">
        <is>
          <t>液体散货</t>
        </is>
      </c>
      <c r="E996" s="19" t="inlineStr">
        <is>
          <t>欧洲</t>
        </is>
      </c>
      <c r="F996" s="19" t="inlineStr">
        <is>
          <t>05号泊位</t>
        </is>
      </c>
      <c r="G996" s="20" t="n">
        <v>8648</v>
      </c>
      <c r="H996" s="38" t="n">
        <v>5.22</v>
      </c>
      <c r="I996" s="38" t="n">
        <v>3.19</v>
      </c>
      <c r="J996" s="38" t="n">
        <v>6.01</v>
      </c>
      <c r="K996" s="20" t="n">
        <v>0</v>
      </c>
      <c r="L996" s="26">
        <f>IF(H996&lt;=J996,1,0)</f>
        <v>1</v>
      </c>
    </row>
    <row r="997">
      <c r="A997" s="24" t="inlineStr">
        <is>
          <t>QL-165-6</t>
        </is>
      </c>
      <c r="B997" s="39" t="n">
        <v>45822</v>
      </c>
      <c r="C997" s="40" t="inlineStr">
        <is>
          <t>进港</t>
        </is>
      </c>
      <c r="D997" s="24" t="inlineStr">
        <is>
          <t>件杂货</t>
        </is>
      </c>
      <c r="E997" s="24" t="inlineStr">
        <is>
          <t>东南亚</t>
        </is>
      </c>
      <c r="F997" s="24" t="inlineStr">
        <is>
          <t>06号泊位</t>
        </is>
      </c>
      <c r="G997" s="25" t="n">
        <v>5684</v>
      </c>
      <c r="H997" s="41" t="n">
        <v>8.289999999999999</v>
      </c>
      <c r="I997" s="41" t="n">
        <v>5.83</v>
      </c>
      <c r="J997" s="41" t="n">
        <v>9.32</v>
      </c>
      <c r="K997" s="25" t="n">
        <v>0</v>
      </c>
      <c r="L997" s="26">
        <f>IF(H997&lt;=J997,1,0)</f>
        <v>1</v>
      </c>
    </row>
    <row r="998">
      <c r="A998" s="19" t="inlineStr">
        <is>
          <t>QL-166-1</t>
        </is>
      </c>
      <c r="B998" s="36" t="n">
        <v>45823</v>
      </c>
      <c r="C998" s="37" t="inlineStr">
        <is>
          <t>进港</t>
        </is>
      </c>
      <c r="D998" s="19" t="inlineStr">
        <is>
          <t>集装箱货物</t>
        </is>
      </c>
      <c r="E998" s="19" t="inlineStr">
        <is>
          <t>北美</t>
        </is>
      </c>
      <c r="F998" s="19" t="inlineStr">
        <is>
          <t>01号泊位</t>
        </is>
      </c>
      <c r="G998" s="20" t="n">
        <v>16750</v>
      </c>
      <c r="H998" s="38" t="n">
        <v>22.74</v>
      </c>
      <c r="I998" s="38" t="n">
        <v>7.47</v>
      </c>
      <c r="J998" s="38" t="n">
        <v>18.61</v>
      </c>
      <c r="K998" s="20" t="n">
        <v>1374</v>
      </c>
      <c r="L998" s="26">
        <f>IF(H998&lt;=J998,1,0)</f>
        <v>0</v>
      </c>
    </row>
    <row r="999">
      <c r="A999" s="24" t="inlineStr">
        <is>
          <t>QL-166-2</t>
        </is>
      </c>
      <c r="B999" s="39" t="n">
        <v>45823</v>
      </c>
      <c r="C999" s="40" t="inlineStr">
        <is>
          <t>进港</t>
        </is>
      </c>
      <c r="D999" s="24" t="inlineStr">
        <is>
          <t>金属矿石</t>
        </is>
      </c>
      <c r="E999" s="24" t="inlineStr">
        <is>
          <t>欧洲</t>
        </is>
      </c>
      <c r="F999" s="24" t="inlineStr">
        <is>
          <t>02号泊位</t>
        </is>
      </c>
      <c r="G999" s="25" t="n">
        <v>15442</v>
      </c>
      <c r="H999" s="41" t="n">
        <v>8.960000000000001</v>
      </c>
      <c r="I999" s="41" t="n">
        <v>2.06</v>
      </c>
      <c r="J999" s="41" t="n">
        <v>9.960000000000001</v>
      </c>
      <c r="K999" s="25" t="n">
        <v>0</v>
      </c>
      <c r="L999" s="26">
        <f>IF(H999&lt;=J999,1,0)</f>
        <v>1</v>
      </c>
    </row>
    <row r="1000">
      <c r="A1000" s="19" t="inlineStr">
        <is>
          <t>QL-166-3</t>
        </is>
      </c>
      <c r="B1000" s="36" t="n">
        <v>45823</v>
      </c>
      <c r="C1000" s="37" t="inlineStr">
        <is>
          <t>进港</t>
        </is>
      </c>
      <c r="D1000" s="19" t="inlineStr">
        <is>
          <t>煤炭</t>
        </is>
      </c>
      <c r="E1000" s="19" t="inlineStr">
        <is>
          <t>北美</t>
        </is>
      </c>
      <c r="F1000" s="19" t="inlineStr">
        <is>
          <t>03号泊位</t>
        </is>
      </c>
      <c r="G1000" s="20" t="n">
        <v>10825</v>
      </c>
      <c r="H1000" s="38" t="n">
        <v>6.89</v>
      </c>
      <c r="I1000" s="38" t="n">
        <v>1.99</v>
      </c>
      <c r="J1000" s="38" t="n">
        <v>8.199999999999999</v>
      </c>
      <c r="K1000" s="20" t="n">
        <v>0</v>
      </c>
      <c r="L1000" s="26">
        <f>IF(H1000&lt;=J1000,1,0)</f>
        <v>1</v>
      </c>
    </row>
    <row r="1001">
      <c r="A1001" s="24" t="inlineStr">
        <is>
          <t>QL-166-4</t>
        </is>
      </c>
      <c r="B1001" s="39" t="n">
        <v>45823</v>
      </c>
      <c r="C1001" s="40" t="inlineStr">
        <is>
          <t>进港</t>
        </is>
      </c>
      <c r="D1001" s="24" t="inlineStr">
        <is>
          <t>粮食</t>
        </is>
      </c>
      <c r="E1001" s="24" t="inlineStr">
        <is>
          <t>欧洲</t>
        </is>
      </c>
      <c r="F1001" s="24" t="inlineStr">
        <is>
          <t>04号泊位</t>
        </is>
      </c>
      <c r="G1001" s="25" t="n">
        <v>8622</v>
      </c>
      <c r="H1001" s="41" t="n">
        <v>8.470000000000001</v>
      </c>
      <c r="I1001" s="41" t="n">
        <v>7.33</v>
      </c>
      <c r="J1001" s="41" t="n">
        <v>8.449999999999999</v>
      </c>
      <c r="K1001" s="25" t="n">
        <v>0</v>
      </c>
      <c r="L1001" s="26">
        <f>IF(H1001&lt;=J1001,1,0)</f>
        <v>0</v>
      </c>
    </row>
    <row r="1002">
      <c r="A1002" s="19" t="inlineStr">
        <is>
          <t>QL-166-5</t>
        </is>
      </c>
      <c r="B1002" s="36" t="n">
        <v>45823</v>
      </c>
      <c r="C1002" s="37" t="inlineStr">
        <is>
          <t>出港</t>
        </is>
      </c>
      <c r="D1002" s="19" t="inlineStr">
        <is>
          <t>液体散货</t>
        </is>
      </c>
      <c r="E1002" s="19" t="inlineStr">
        <is>
          <t>国内沿海</t>
        </is>
      </c>
      <c r="F1002" s="19" t="inlineStr">
        <is>
          <t>05号泊位</t>
        </is>
      </c>
      <c r="G1002" s="20" t="n">
        <v>14795</v>
      </c>
      <c r="H1002" s="38" t="n">
        <v>11.37</v>
      </c>
      <c r="I1002" s="38" t="n">
        <v>2.24</v>
      </c>
      <c r="J1002" s="38" t="n">
        <v>10.27</v>
      </c>
      <c r="K1002" s="20" t="n">
        <v>0</v>
      </c>
      <c r="L1002" s="26">
        <f>IF(H1002&lt;=J1002,1,0)</f>
        <v>0</v>
      </c>
    </row>
    <row r="1003">
      <c r="A1003" s="24" t="inlineStr">
        <is>
          <t>QL-166-6</t>
        </is>
      </c>
      <c r="B1003" s="39" t="n">
        <v>45823</v>
      </c>
      <c r="C1003" s="40" t="inlineStr">
        <is>
          <t>出港</t>
        </is>
      </c>
      <c r="D1003" s="24" t="inlineStr">
        <is>
          <t>件杂货</t>
        </is>
      </c>
      <c r="E1003" s="24" t="inlineStr">
        <is>
          <t>欧洲</t>
        </is>
      </c>
      <c r="F1003" s="24" t="inlineStr">
        <is>
          <t>06号泊位</t>
        </is>
      </c>
      <c r="G1003" s="25" t="n">
        <v>5772</v>
      </c>
      <c r="H1003" s="41" t="n">
        <v>8.449999999999999</v>
      </c>
      <c r="I1003" s="41" t="n">
        <v>0.97</v>
      </c>
      <c r="J1003" s="41" t="n">
        <v>9.460000000000001</v>
      </c>
      <c r="K1003" s="25" t="n">
        <v>0</v>
      </c>
      <c r="L1003" s="26">
        <f>IF(H1003&lt;=J1003,1,0)</f>
        <v>1</v>
      </c>
    </row>
    <row r="1004">
      <c r="A1004" s="19" t="inlineStr">
        <is>
          <t>QL-167-1</t>
        </is>
      </c>
      <c r="B1004" s="36" t="n">
        <v>45824</v>
      </c>
      <c r="C1004" s="37" t="inlineStr">
        <is>
          <t>出港</t>
        </is>
      </c>
      <c r="D1004" s="19" t="inlineStr">
        <is>
          <t>集装箱货物</t>
        </is>
      </c>
      <c r="E1004" s="19" t="inlineStr">
        <is>
          <t>东亚</t>
        </is>
      </c>
      <c r="F1004" s="19" t="inlineStr">
        <is>
          <t>01号泊位</t>
        </is>
      </c>
      <c r="G1004" s="20" t="n">
        <v>10490</v>
      </c>
      <c r="H1004" s="38" t="n">
        <v>10.71</v>
      </c>
      <c r="I1004" s="38" t="n">
        <v>6.01</v>
      </c>
      <c r="J1004" s="38" t="n">
        <v>11.66</v>
      </c>
      <c r="K1004" s="20" t="n">
        <v>805</v>
      </c>
      <c r="L1004" s="26">
        <f>IF(H1004&lt;=J1004,1,0)</f>
        <v>1</v>
      </c>
    </row>
    <row r="1005">
      <c r="A1005" s="24" t="inlineStr">
        <is>
          <t>QL-167-2</t>
        </is>
      </c>
      <c r="B1005" s="39" t="n">
        <v>45824</v>
      </c>
      <c r="C1005" s="40" t="inlineStr">
        <is>
          <t>进港</t>
        </is>
      </c>
      <c r="D1005" s="24" t="inlineStr">
        <is>
          <t>金属矿石</t>
        </is>
      </c>
      <c r="E1005" s="24" t="inlineStr">
        <is>
          <t>国内沿海</t>
        </is>
      </c>
      <c r="F1005" s="24" t="inlineStr">
        <is>
          <t>02号泊位</t>
        </is>
      </c>
      <c r="G1005" s="25" t="n">
        <v>16488</v>
      </c>
      <c r="H1005" s="41" t="n">
        <v>9.23</v>
      </c>
      <c r="I1005" s="41" t="n">
        <v>1.11</v>
      </c>
      <c r="J1005" s="41" t="n">
        <v>10.64</v>
      </c>
      <c r="K1005" s="25" t="n">
        <v>0</v>
      </c>
      <c r="L1005" s="26">
        <f>IF(H1005&lt;=J1005,1,0)</f>
        <v>1</v>
      </c>
    </row>
    <row r="1006">
      <c r="A1006" s="19" t="inlineStr">
        <is>
          <t>QL-167-3</t>
        </is>
      </c>
      <c r="B1006" s="36" t="n">
        <v>45824</v>
      </c>
      <c r="C1006" s="37" t="inlineStr">
        <is>
          <t>进港</t>
        </is>
      </c>
      <c r="D1006" s="19" t="inlineStr">
        <is>
          <t>煤炭</t>
        </is>
      </c>
      <c r="E1006" s="19" t="inlineStr">
        <is>
          <t>欧洲</t>
        </is>
      </c>
      <c r="F1006" s="19" t="inlineStr">
        <is>
          <t>03号泊位</t>
        </is>
      </c>
      <c r="G1006" s="20" t="n">
        <v>14287</v>
      </c>
      <c r="H1006" s="38" t="n">
        <v>11.59</v>
      </c>
      <c r="I1006" s="38" t="n">
        <v>1.08</v>
      </c>
      <c r="J1006" s="38" t="n">
        <v>10.82</v>
      </c>
      <c r="K1006" s="20" t="n">
        <v>0</v>
      </c>
      <c r="L1006" s="26">
        <f>IF(H1006&lt;=J1006,1,0)</f>
        <v>0</v>
      </c>
    </row>
    <row r="1007">
      <c r="A1007" s="24" t="inlineStr">
        <is>
          <t>QL-167-4</t>
        </is>
      </c>
      <c r="B1007" s="39" t="n">
        <v>45824</v>
      </c>
      <c r="C1007" s="40" t="inlineStr">
        <is>
          <t>进港</t>
        </is>
      </c>
      <c r="D1007" s="24" t="inlineStr">
        <is>
          <t>粮食</t>
        </is>
      </c>
      <c r="E1007" s="24" t="inlineStr">
        <is>
          <t>东亚</t>
        </is>
      </c>
      <c r="F1007" s="24" t="inlineStr">
        <is>
          <t>04号泊位</t>
        </is>
      </c>
      <c r="G1007" s="25" t="n">
        <v>6304</v>
      </c>
      <c r="H1007" s="41" t="n">
        <v>6.69</v>
      </c>
      <c r="I1007" s="41" t="n">
        <v>6.3</v>
      </c>
      <c r="J1007" s="41" t="n">
        <v>6.18</v>
      </c>
      <c r="K1007" s="25" t="n">
        <v>0</v>
      </c>
      <c r="L1007" s="26">
        <f>IF(H1007&lt;=J1007,1,0)</f>
        <v>0</v>
      </c>
    </row>
    <row r="1008">
      <c r="A1008" s="19" t="inlineStr">
        <is>
          <t>QL-167-5</t>
        </is>
      </c>
      <c r="B1008" s="36" t="n">
        <v>45824</v>
      </c>
      <c r="C1008" s="37" t="inlineStr">
        <is>
          <t>进港</t>
        </is>
      </c>
      <c r="D1008" s="19" t="inlineStr">
        <is>
          <t>液体散货</t>
        </is>
      </c>
      <c r="E1008" s="19" t="inlineStr">
        <is>
          <t>北美</t>
        </is>
      </c>
      <c r="F1008" s="19" t="inlineStr">
        <is>
          <t>05号泊位</t>
        </is>
      </c>
      <c r="G1008" s="20" t="n">
        <v>9443</v>
      </c>
      <c r="H1008" s="38" t="n">
        <v>6.67</v>
      </c>
      <c r="I1008" s="38" t="n">
        <v>5.92</v>
      </c>
      <c r="J1008" s="38" t="n">
        <v>6.56</v>
      </c>
      <c r="K1008" s="20" t="n">
        <v>0</v>
      </c>
      <c r="L1008" s="26">
        <f>IF(H1008&lt;=J1008,1,0)</f>
        <v>0</v>
      </c>
    </row>
    <row r="1009">
      <c r="A1009" s="24" t="inlineStr">
        <is>
          <t>QL-167-6</t>
        </is>
      </c>
      <c r="B1009" s="39" t="n">
        <v>45824</v>
      </c>
      <c r="C1009" s="40" t="inlineStr">
        <is>
          <t>出港</t>
        </is>
      </c>
      <c r="D1009" s="24" t="inlineStr">
        <is>
          <t>件杂货</t>
        </is>
      </c>
      <c r="E1009" s="24" t="inlineStr">
        <is>
          <t>欧洲</t>
        </is>
      </c>
      <c r="F1009" s="24" t="inlineStr">
        <is>
          <t>06号泊位</t>
        </is>
      </c>
      <c r="G1009" s="25" t="n">
        <v>4291</v>
      </c>
      <c r="H1009" s="41" t="n">
        <v>8.49</v>
      </c>
      <c r="I1009" s="41" t="n">
        <v>1.38</v>
      </c>
      <c r="J1009" s="41" t="n">
        <v>7.03</v>
      </c>
      <c r="K1009" s="25" t="n">
        <v>0</v>
      </c>
      <c r="L1009" s="26">
        <f>IF(H1009&lt;=J1009,1,0)</f>
        <v>0</v>
      </c>
    </row>
    <row r="1010">
      <c r="A1010" s="19" t="inlineStr">
        <is>
          <t>QL-168-1</t>
        </is>
      </c>
      <c r="B1010" s="36" t="n">
        <v>45825</v>
      </c>
      <c r="C1010" s="37" t="inlineStr">
        <is>
          <t>出港</t>
        </is>
      </c>
      <c r="D1010" s="19" t="inlineStr">
        <is>
          <t>集装箱货物</t>
        </is>
      </c>
      <c r="E1010" s="19" t="inlineStr">
        <is>
          <t>欧洲</t>
        </is>
      </c>
      <c r="F1010" s="19" t="inlineStr">
        <is>
          <t>01号泊位</t>
        </is>
      </c>
      <c r="G1010" s="20" t="n">
        <v>10104</v>
      </c>
      <c r="H1010" s="38" t="n">
        <v>11.04</v>
      </c>
      <c r="I1010" s="38" t="n">
        <v>0.73</v>
      </c>
      <c r="J1010" s="38" t="n">
        <v>11.23</v>
      </c>
      <c r="K1010" s="20" t="n">
        <v>600</v>
      </c>
      <c r="L1010" s="26">
        <f>IF(H1010&lt;=J1010,1,0)</f>
        <v>1</v>
      </c>
    </row>
    <row r="1011">
      <c r="A1011" s="24" t="inlineStr">
        <is>
          <t>QL-168-2</t>
        </is>
      </c>
      <c r="B1011" s="39" t="n">
        <v>45825</v>
      </c>
      <c r="C1011" s="40" t="inlineStr">
        <is>
          <t>进港</t>
        </is>
      </c>
      <c r="D1011" s="24" t="inlineStr">
        <is>
          <t>金属矿石</t>
        </is>
      </c>
      <c r="E1011" s="24" t="inlineStr">
        <is>
          <t>东亚</t>
        </is>
      </c>
      <c r="F1011" s="24" t="inlineStr">
        <is>
          <t>02号泊位</t>
        </is>
      </c>
      <c r="G1011" s="25" t="n">
        <v>19113</v>
      </c>
      <c r="H1011" s="41" t="n">
        <v>10.93</v>
      </c>
      <c r="I1011" s="41" t="n">
        <v>1.08</v>
      </c>
      <c r="J1011" s="41" t="n">
        <v>12.33</v>
      </c>
      <c r="K1011" s="25" t="n">
        <v>0</v>
      </c>
      <c r="L1011" s="26">
        <f>IF(H1011&lt;=J1011,1,0)</f>
        <v>1</v>
      </c>
    </row>
    <row r="1012">
      <c r="A1012" s="19" t="inlineStr">
        <is>
          <t>QL-168-3</t>
        </is>
      </c>
      <c r="B1012" s="36" t="n">
        <v>45825</v>
      </c>
      <c r="C1012" s="37" t="inlineStr">
        <is>
          <t>进港</t>
        </is>
      </c>
      <c r="D1012" s="19" t="inlineStr">
        <is>
          <t>煤炭</t>
        </is>
      </c>
      <c r="E1012" s="19" t="inlineStr">
        <is>
          <t>北美</t>
        </is>
      </c>
      <c r="F1012" s="19" t="inlineStr">
        <is>
          <t>03号泊位</t>
        </is>
      </c>
      <c r="G1012" s="20" t="n">
        <v>14968</v>
      </c>
      <c r="H1012" s="38" t="n">
        <v>10.53</v>
      </c>
      <c r="I1012" s="38" t="n">
        <v>0.3</v>
      </c>
      <c r="J1012" s="38" t="n">
        <v>11.34</v>
      </c>
      <c r="K1012" s="20" t="n">
        <v>0</v>
      </c>
      <c r="L1012" s="26">
        <f>IF(H1012&lt;=J1012,1,0)</f>
        <v>1</v>
      </c>
    </row>
    <row r="1013">
      <c r="A1013" s="24" t="inlineStr">
        <is>
          <t>QL-168-4</t>
        </is>
      </c>
      <c r="B1013" s="39" t="n">
        <v>45825</v>
      </c>
      <c r="C1013" s="40" t="inlineStr">
        <is>
          <t>进港</t>
        </is>
      </c>
      <c r="D1013" s="24" t="inlineStr">
        <is>
          <t>粮食</t>
        </is>
      </c>
      <c r="E1013" s="24" t="inlineStr">
        <is>
          <t>东亚</t>
        </is>
      </c>
      <c r="F1013" s="24" t="inlineStr">
        <is>
          <t>04号泊位</t>
        </is>
      </c>
      <c r="G1013" s="25" t="n">
        <v>9624</v>
      </c>
      <c r="H1013" s="41" t="n">
        <v>10.71</v>
      </c>
      <c r="I1013" s="41" t="n">
        <v>1.32</v>
      </c>
      <c r="J1013" s="41" t="n">
        <v>9.44</v>
      </c>
      <c r="K1013" s="25" t="n">
        <v>0</v>
      </c>
      <c r="L1013" s="26">
        <f>IF(H1013&lt;=J1013,1,0)</f>
        <v>0</v>
      </c>
    </row>
    <row r="1014">
      <c r="A1014" s="19" t="inlineStr">
        <is>
          <t>QL-168-5</t>
        </is>
      </c>
      <c r="B1014" s="36" t="n">
        <v>45825</v>
      </c>
      <c r="C1014" s="37" t="inlineStr">
        <is>
          <t>出港</t>
        </is>
      </c>
      <c r="D1014" s="19" t="inlineStr">
        <is>
          <t>液体散货</t>
        </is>
      </c>
      <c r="E1014" s="19" t="inlineStr">
        <is>
          <t>东南亚</t>
        </is>
      </c>
      <c r="F1014" s="19" t="inlineStr">
        <is>
          <t>05号泊位</t>
        </is>
      </c>
      <c r="G1014" s="20" t="n">
        <v>13702</v>
      </c>
      <c r="H1014" s="38" t="n">
        <v>10.73</v>
      </c>
      <c r="I1014" s="38" t="n">
        <v>4.71</v>
      </c>
      <c r="J1014" s="38" t="n">
        <v>9.52</v>
      </c>
      <c r="K1014" s="20" t="n">
        <v>0</v>
      </c>
      <c r="L1014" s="26">
        <f>IF(H1014&lt;=J1014,1,0)</f>
        <v>0</v>
      </c>
    </row>
    <row r="1015">
      <c r="A1015" s="24" t="inlineStr">
        <is>
          <t>QL-168-6</t>
        </is>
      </c>
      <c r="B1015" s="39" t="n">
        <v>45825</v>
      </c>
      <c r="C1015" s="40" t="inlineStr">
        <is>
          <t>进港</t>
        </is>
      </c>
      <c r="D1015" s="24" t="inlineStr">
        <is>
          <t>件杂货</t>
        </is>
      </c>
      <c r="E1015" s="24" t="inlineStr">
        <is>
          <t>北美</t>
        </is>
      </c>
      <c r="F1015" s="24" t="inlineStr">
        <is>
          <t>06号泊位</t>
        </is>
      </c>
      <c r="G1015" s="25" t="n">
        <v>6853</v>
      </c>
      <c r="H1015" s="41" t="n">
        <v>10.83</v>
      </c>
      <c r="I1015" s="41" t="n">
        <v>1.22</v>
      </c>
      <c r="J1015" s="41" t="n">
        <v>11.23</v>
      </c>
      <c r="K1015" s="25" t="n">
        <v>0</v>
      </c>
      <c r="L1015" s="26">
        <f>IF(H1015&lt;=J1015,1,0)</f>
        <v>1</v>
      </c>
    </row>
    <row r="1016">
      <c r="A1016" s="19" t="inlineStr">
        <is>
          <t>QL-169-1</t>
        </is>
      </c>
      <c r="B1016" s="36" t="n">
        <v>45826</v>
      </c>
      <c r="C1016" s="37" t="inlineStr">
        <is>
          <t>进港</t>
        </is>
      </c>
      <c r="D1016" s="19" t="inlineStr">
        <is>
          <t>集装箱货物</t>
        </is>
      </c>
      <c r="E1016" s="19" t="inlineStr">
        <is>
          <t>国内沿海</t>
        </is>
      </c>
      <c r="F1016" s="19" t="inlineStr">
        <is>
          <t>01号泊位</t>
        </is>
      </c>
      <c r="G1016" s="20" t="n">
        <v>8263</v>
      </c>
      <c r="H1016" s="38" t="n">
        <v>8.52</v>
      </c>
      <c r="I1016" s="38" t="n">
        <v>3.88</v>
      </c>
      <c r="J1016" s="38" t="n">
        <v>9.18</v>
      </c>
      <c r="K1016" s="20" t="n">
        <v>561</v>
      </c>
      <c r="L1016" s="26">
        <f>IF(H1016&lt;=J1016,1,0)</f>
        <v>1</v>
      </c>
    </row>
    <row r="1017">
      <c r="A1017" s="24" t="inlineStr">
        <is>
          <t>QL-169-2</t>
        </is>
      </c>
      <c r="B1017" s="39" t="n">
        <v>45826</v>
      </c>
      <c r="C1017" s="40" t="inlineStr">
        <is>
          <t>进港</t>
        </is>
      </c>
      <c r="D1017" s="24" t="inlineStr">
        <is>
          <t>金属矿石</t>
        </is>
      </c>
      <c r="E1017" s="24" t="inlineStr">
        <is>
          <t>东南亚</t>
        </is>
      </c>
      <c r="F1017" s="24" t="inlineStr">
        <is>
          <t>02号泊位</t>
        </is>
      </c>
      <c r="G1017" s="25" t="n">
        <v>18343</v>
      </c>
      <c r="H1017" s="41" t="n">
        <v>13.38</v>
      </c>
      <c r="I1017" s="41" t="n">
        <v>4.77</v>
      </c>
      <c r="J1017" s="41" t="n">
        <v>11.83</v>
      </c>
      <c r="K1017" s="25" t="n">
        <v>0</v>
      </c>
      <c r="L1017" s="26">
        <f>IF(H1017&lt;=J1017,1,0)</f>
        <v>0</v>
      </c>
    </row>
    <row r="1018">
      <c r="A1018" s="19" t="inlineStr">
        <is>
          <t>QL-169-3</t>
        </is>
      </c>
      <c r="B1018" s="36" t="n">
        <v>45826</v>
      </c>
      <c r="C1018" s="37" t="inlineStr">
        <is>
          <t>进港</t>
        </is>
      </c>
      <c r="D1018" s="19" t="inlineStr">
        <is>
          <t>煤炭</t>
        </is>
      </c>
      <c r="E1018" s="19" t="inlineStr">
        <is>
          <t>东南亚</t>
        </is>
      </c>
      <c r="F1018" s="19" t="inlineStr">
        <is>
          <t>03号泊位</t>
        </is>
      </c>
      <c r="G1018" s="20" t="n">
        <v>19150</v>
      </c>
      <c r="H1018" s="38" t="n">
        <v>13.73</v>
      </c>
      <c r="I1018" s="38" t="n">
        <v>5.43</v>
      </c>
      <c r="J1018" s="38" t="n">
        <v>14.51</v>
      </c>
      <c r="K1018" s="20" t="n">
        <v>0</v>
      </c>
      <c r="L1018" s="26">
        <f>IF(H1018&lt;=J1018,1,0)</f>
        <v>1</v>
      </c>
    </row>
    <row r="1019">
      <c r="A1019" s="24" t="inlineStr">
        <is>
          <t>QL-169-4</t>
        </is>
      </c>
      <c r="B1019" s="39" t="n">
        <v>45826</v>
      </c>
      <c r="C1019" s="40" t="inlineStr">
        <is>
          <t>进港</t>
        </is>
      </c>
      <c r="D1019" s="24" t="inlineStr">
        <is>
          <t>粮食</t>
        </is>
      </c>
      <c r="E1019" s="24" t="inlineStr">
        <is>
          <t>欧洲</t>
        </is>
      </c>
      <c r="F1019" s="24" t="inlineStr">
        <is>
          <t>04号泊位</t>
        </is>
      </c>
      <c r="G1019" s="25" t="n">
        <v>9756</v>
      </c>
      <c r="H1019" s="41" t="n">
        <v>9.84</v>
      </c>
      <c r="I1019" s="41" t="n">
        <v>0.5600000000000001</v>
      </c>
      <c r="J1019" s="41" t="n">
        <v>9.56</v>
      </c>
      <c r="K1019" s="25" t="n">
        <v>0</v>
      </c>
      <c r="L1019" s="26">
        <f>IF(H1019&lt;=J1019,1,0)</f>
        <v>0</v>
      </c>
    </row>
    <row r="1020">
      <c r="A1020" s="19" t="inlineStr">
        <is>
          <t>QL-169-5</t>
        </is>
      </c>
      <c r="B1020" s="36" t="n">
        <v>45826</v>
      </c>
      <c r="C1020" s="37" t="inlineStr">
        <is>
          <t>出港</t>
        </is>
      </c>
      <c r="D1020" s="19" t="inlineStr">
        <is>
          <t>液体散货</t>
        </is>
      </c>
      <c r="E1020" s="19" t="inlineStr">
        <is>
          <t>东南亚</t>
        </is>
      </c>
      <c r="F1020" s="19" t="inlineStr">
        <is>
          <t>05号泊位</t>
        </is>
      </c>
      <c r="G1020" s="20" t="n">
        <v>11802</v>
      </c>
      <c r="H1020" s="38" t="n">
        <v>9.5</v>
      </c>
      <c r="I1020" s="38" t="n">
        <v>0.65</v>
      </c>
      <c r="J1020" s="38" t="n">
        <v>8.199999999999999</v>
      </c>
      <c r="K1020" s="20" t="n">
        <v>0</v>
      </c>
      <c r="L1020" s="26">
        <f>IF(H1020&lt;=J1020,1,0)</f>
        <v>0</v>
      </c>
    </row>
    <row r="1021">
      <c r="A1021" s="24" t="inlineStr">
        <is>
          <t>QL-169-6</t>
        </is>
      </c>
      <c r="B1021" s="39" t="n">
        <v>45826</v>
      </c>
      <c r="C1021" s="40" t="inlineStr">
        <is>
          <t>进港</t>
        </is>
      </c>
      <c r="D1021" s="24" t="inlineStr">
        <is>
          <t>件杂货</t>
        </is>
      </c>
      <c r="E1021" s="24" t="inlineStr">
        <is>
          <t>国内沿海</t>
        </is>
      </c>
      <c r="F1021" s="24" t="inlineStr">
        <is>
          <t>06号泊位</t>
        </is>
      </c>
      <c r="G1021" s="25" t="n">
        <v>4345</v>
      </c>
      <c r="H1021" s="41" t="n">
        <v>7.55</v>
      </c>
      <c r="I1021" s="41" t="n">
        <v>3.32</v>
      </c>
      <c r="J1021" s="41" t="n">
        <v>7.12</v>
      </c>
      <c r="K1021" s="25" t="n">
        <v>0</v>
      </c>
      <c r="L1021" s="26">
        <f>IF(H1021&lt;=J1021,1,0)</f>
        <v>0</v>
      </c>
    </row>
    <row r="1022">
      <c r="A1022" s="19" t="inlineStr">
        <is>
          <t>QL-170-1</t>
        </is>
      </c>
      <c r="B1022" s="36" t="n">
        <v>45827</v>
      </c>
      <c r="C1022" s="37" t="inlineStr">
        <is>
          <t>出港</t>
        </is>
      </c>
      <c r="D1022" s="19" t="inlineStr">
        <is>
          <t>集装箱货物</t>
        </is>
      </c>
      <c r="E1022" s="19" t="inlineStr">
        <is>
          <t>欧洲</t>
        </is>
      </c>
      <c r="F1022" s="19" t="inlineStr">
        <is>
          <t>01号泊位</t>
        </is>
      </c>
      <c r="G1022" s="20" t="n">
        <v>13970</v>
      </c>
      <c r="H1022" s="38" t="n">
        <v>14.53</v>
      </c>
      <c r="I1022" s="38" t="n">
        <v>3.2</v>
      </c>
      <c r="J1022" s="38" t="n">
        <v>15.52</v>
      </c>
      <c r="K1022" s="20" t="n">
        <v>984</v>
      </c>
      <c r="L1022" s="26">
        <f>IF(H1022&lt;=J1022,1,0)</f>
        <v>1</v>
      </c>
    </row>
    <row r="1023">
      <c r="A1023" s="24" t="inlineStr">
        <is>
          <t>QL-170-2</t>
        </is>
      </c>
      <c r="B1023" s="39" t="n">
        <v>45827</v>
      </c>
      <c r="C1023" s="40" t="inlineStr">
        <is>
          <t>进港</t>
        </is>
      </c>
      <c r="D1023" s="24" t="inlineStr">
        <is>
          <t>金属矿石</t>
        </is>
      </c>
      <c r="E1023" s="24" t="inlineStr">
        <is>
          <t>国内沿海</t>
        </is>
      </c>
      <c r="F1023" s="24" t="inlineStr">
        <is>
          <t>02号泊位</t>
        </is>
      </c>
      <c r="G1023" s="25" t="n">
        <v>17891</v>
      </c>
      <c r="H1023" s="41" t="n">
        <v>12.09</v>
      </c>
      <c r="I1023" s="41" t="n">
        <v>0.93</v>
      </c>
      <c r="J1023" s="41" t="n">
        <v>11.54</v>
      </c>
      <c r="K1023" s="25" t="n">
        <v>0</v>
      </c>
      <c r="L1023" s="26">
        <f>IF(H1023&lt;=J1023,1,0)</f>
        <v>0</v>
      </c>
    </row>
    <row r="1024">
      <c r="A1024" s="19" t="inlineStr">
        <is>
          <t>QL-170-3</t>
        </is>
      </c>
      <c r="B1024" s="36" t="n">
        <v>45827</v>
      </c>
      <c r="C1024" s="37" t="inlineStr">
        <is>
          <t>进港</t>
        </is>
      </c>
      <c r="D1024" s="19" t="inlineStr">
        <is>
          <t>煤炭</t>
        </is>
      </c>
      <c r="E1024" s="19" t="inlineStr">
        <is>
          <t>北美</t>
        </is>
      </c>
      <c r="F1024" s="19" t="inlineStr">
        <is>
          <t>03号泊位</t>
        </is>
      </c>
      <c r="G1024" s="20" t="n">
        <v>26045</v>
      </c>
      <c r="H1024" s="38" t="n">
        <v>22.16</v>
      </c>
      <c r="I1024" s="38" t="n">
        <v>1.23</v>
      </c>
      <c r="J1024" s="38" t="n">
        <v>19.73</v>
      </c>
      <c r="K1024" s="20" t="n">
        <v>0</v>
      </c>
      <c r="L1024" s="26">
        <f>IF(H1024&lt;=J1024,1,0)</f>
        <v>0</v>
      </c>
    </row>
    <row r="1025">
      <c r="A1025" s="24" t="inlineStr">
        <is>
          <t>QL-170-4</t>
        </is>
      </c>
      <c r="B1025" s="39" t="n">
        <v>45827</v>
      </c>
      <c r="C1025" s="40" t="inlineStr">
        <is>
          <t>进港</t>
        </is>
      </c>
      <c r="D1025" s="24" t="inlineStr">
        <is>
          <t>粮食</t>
        </is>
      </c>
      <c r="E1025" s="24" t="inlineStr">
        <is>
          <t>欧洲</t>
        </is>
      </c>
      <c r="F1025" s="24" t="inlineStr">
        <is>
          <t>04号泊位</t>
        </is>
      </c>
      <c r="G1025" s="25" t="n">
        <v>10800</v>
      </c>
      <c r="H1025" s="41" t="n">
        <v>8.800000000000001</v>
      </c>
      <c r="I1025" s="41" t="n">
        <v>4.61</v>
      </c>
      <c r="J1025" s="41" t="n">
        <v>10.59</v>
      </c>
      <c r="K1025" s="25" t="n">
        <v>0</v>
      </c>
      <c r="L1025" s="26">
        <f>IF(H1025&lt;=J1025,1,0)</f>
        <v>1</v>
      </c>
    </row>
    <row r="1026">
      <c r="A1026" s="19" t="inlineStr">
        <is>
          <t>QL-170-5</t>
        </is>
      </c>
      <c r="B1026" s="36" t="n">
        <v>45827</v>
      </c>
      <c r="C1026" s="37" t="inlineStr">
        <is>
          <t>进港</t>
        </is>
      </c>
      <c r="D1026" s="19" t="inlineStr">
        <is>
          <t>液体散货</t>
        </is>
      </c>
      <c r="E1026" s="19" t="inlineStr">
        <is>
          <t>国内沿海</t>
        </is>
      </c>
      <c r="F1026" s="19" t="inlineStr">
        <is>
          <t>05号泊位</t>
        </is>
      </c>
      <c r="G1026" s="20" t="n">
        <v>9823</v>
      </c>
      <c r="H1026" s="38" t="n">
        <v>6.21</v>
      </c>
      <c r="I1026" s="38" t="n">
        <v>1.88</v>
      </c>
      <c r="J1026" s="38" t="n">
        <v>6.82</v>
      </c>
      <c r="K1026" s="20" t="n">
        <v>0</v>
      </c>
      <c r="L1026" s="26">
        <f>IF(H1026&lt;=J1026,1,0)</f>
        <v>1</v>
      </c>
    </row>
    <row r="1027">
      <c r="A1027" s="24" t="inlineStr">
        <is>
          <t>QL-170-6</t>
        </is>
      </c>
      <c r="B1027" s="39" t="n">
        <v>45827</v>
      </c>
      <c r="C1027" s="40" t="inlineStr">
        <is>
          <t>出港</t>
        </is>
      </c>
      <c r="D1027" s="24" t="inlineStr">
        <is>
          <t>件杂货</t>
        </is>
      </c>
      <c r="E1027" s="24" t="inlineStr">
        <is>
          <t>欧洲</t>
        </is>
      </c>
      <c r="F1027" s="24" t="inlineStr">
        <is>
          <t>06号泊位</t>
        </is>
      </c>
      <c r="G1027" s="25" t="n">
        <v>6701</v>
      </c>
      <c r="H1027" s="41" t="n">
        <v>9.880000000000001</v>
      </c>
      <c r="I1027" s="41" t="n">
        <v>2.58</v>
      </c>
      <c r="J1027" s="41" t="n">
        <v>10.99</v>
      </c>
      <c r="K1027" s="25" t="n">
        <v>0</v>
      </c>
      <c r="L1027" s="26">
        <f>IF(H1027&lt;=J1027,1,0)</f>
        <v>1</v>
      </c>
    </row>
    <row r="1028">
      <c r="A1028" s="19" t="inlineStr">
        <is>
          <t>QL-171-1</t>
        </is>
      </c>
      <c r="B1028" s="36" t="n">
        <v>45828</v>
      </c>
      <c r="C1028" s="37" t="inlineStr">
        <is>
          <t>出港</t>
        </is>
      </c>
      <c r="D1028" s="19" t="inlineStr">
        <is>
          <t>集装箱货物</t>
        </is>
      </c>
      <c r="E1028" s="19" t="inlineStr">
        <is>
          <t>国内沿海</t>
        </is>
      </c>
      <c r="F1028" s="19" t="inlineStr">
        <is>
          <t>01号泊位</t>
        </is>
      </c>
      <c r="G1028" s="20" t="n">
        <v>11901</v>
      </c>
      <c r="H1028" s="38" t="n">
        <v>13.64</v>
      </c>
      <c r="I1028" s="38" t="n">
        <v>1.43</v>
      </c>
      <c r="J1028" s="38" t="n">
        <v>13.22</v>
      </c>
      <c r="K1028" s="20" t="n">
        <v>973</v>
      </c>
      <c r="L1028" s="26">
        <f>IF(H1028&lt;=J1028,1,0)</f>
        <v>0</v>
      </c>
    </row>
    <row r="1029">
      <c r="A1029" s="24" t="inlineStr">
        <is>
          <t>QL-171-2</t>
        </is>
      </c>
      <c r="B1029" s="39" t="n">
        <v>45828</v>
      </c>
      <c r="C1029" s="40" t="inlineStr">
        <is>
          <t>进港</t>
        </is>
      </c>
      <c r="D1029" s="24" t="inlineStr">
        <is>
          <t>金属矿石</t>
        </is>
      </c>
      <c r="E1029" s="24" t="inlineStr">
        <is>
          <t>东南亚</t>
        </is>
      </c>
      <c r="F1029" s="24" t="inlineStr">
        <is>
          <t>02号泊位</t>
        </is>
      </c>
      <c r="G1029" s="25" t="n">
        <v>17879</v>
      </c>
      <c r="H1029" s="41" t="n">
        <v>11.73</v>
      </c>
      <c r="I1029" s="41" t="n">
        <v>5.31</v>
      </c>
      <c r="J1029" s="41" t="n">
        <v>11.53</v>
      </c>
      <c r="K1029" s="25" t="n">
        <v>0</v>
      </c>
      <c r="L1029" s="26">
        <f>IF(H1029&lt;=J1029,1,0)</f>
        <v>0</v>
      </c>
    </row>
    <row r="1030">
      <c r="A1030" s="19" t="inlineStr">
        <is>
          <t>QL-171-3</t>
        </is>
      </c>
      <c r="B1030" s="36" t="n">
        <v>45828</v>
      </c>
      <c r="C1030" s="37" t="inlineStr">
        <is>
          <t>出港</t>
        </is>
      </c>
      <c r="D1030" s="19" t="inlineStr">
        <is>
          <t>煤炭</t>
        </is>
      </c>
      <c r="E1030" s="19" t="inlineStr">
        <is>
          <t>国内沿海</t>
        </is>
      </c>
      <c r="F1030" s="19" t="inlineStr">
        <is>
          <t>03号泊位</t>
        </is>
      </c>
      <c r="G1030" s="20" t="n">
        <v>16421</v>
      </c>
      <c r="H1030" s="38" t="n">
        <v>10.42</v>
      </c>
      <c r="I1030" s="38" t="n">
        <v>1.84</v>
      </c>
      <c r="J1030" s="38" t="n">
        <v>12.44</v>
      </c>
      <c r="K1030" s="20" t="n">
        <v>0</v>
      </c>
      <c r="L1030" s="26">
        <f>IF(H1030&lt;=J1030,1,0)</f>
        <v>1</v>
      </c>
    </row>
    <row r="1031">
      <c r="A1031" s="24" t="inlineStr">
        <is>
          <t>QL-171-4</t>
        </is>
      </c>
      <c r="B1031" s="39" t="n">
        <v>45828</v>
      </c>
      <c r="C1031" s="40" t="inlineStr">
        <is>
          <t>进港</t>
        </is>
      </c>
      <c r="D1031" s="24" t="inlineStr">
        <is>
          <t>粮食</t>
        </is>
      </c>
      <c r="E1031" s="24" t="inlineStr">
        <is>
          <t>国内沿海</t>
        </is>
      </c>
      <c r="F1031" s="24" t="inlineStr">
        <is>
          <t>04号泊位</t>
        </is>
      </c>
      <c r="G1031" s="25" t="n">
        <v>7475</v>
      </c>
      <c r="H1031" s="41" t="n">
        <v>6.14</v>
      </c>
      <c r="I1031" s="41" t="n">
        <v>1.12</v>
      </c>
      <c r="J1031" s="41" t="n">
        <v>7.33</v>
      </c>
      <c r="K1031" s="25" t="n">
        <v>0</v>
      </c>
      <c r="L1031" s="26">
        <f>IF(H1031&lt;=J1031,1,0)</f>
        <v>1</v>
      </c>
    </row>
    <row r="1032">
      <c r="A1032" s="19" t="inlineStr">
        <is>
          <t>QL-171-5</t>
        </is>
      </c>
      <c r="B1032" s="36" t="n">
        <v>45828</v>
      </c>
      <c r="C1032" s="37" t="inlineStr">
        <is>
          <t>进港</t>
        </is>
      </c>
      <c r="D1032" s="19" t="inlineStr">
        <is>
          <t>液体散货</t>
        </is>
      </c>
      <c r="E1032" s="19" t="inlineStr">
        <is>
          <t>北美</t>
        </is>
      </c>
      <c r="F1032" s="19" t="inlineStr">
        <is>
          <t>05号泊位</t>
        </is>
      </c>
      <c r="G1032" s="20" t="n">
        <v>14023</v>
      </c>
      <c r="H1032" s="38" t="n">
        <v>10.63</v>
      </c>
      <c r="I1032" s="38" t="n">
        <v>2</v>
      </c>
      <c r="J1032" s="38" t="n">
        <v>9.74</v>
      </c>
      <c r="K1032" s="20" t="n">
        <v>0</v>
      </c>
      <c r="L1032" s="26">
        <f>IF(H1032&lt;=J1032,1,0)</f>
        <v>0</v>
      </c>
    </row>
    <row r="1033">
      <c r="A1033" s="24" t="inlineStr">
        <is>
          <t>QL-171-6</t>
        </is>
      </c>
      <c r="B1033" s="39" t="n">
        <v>45828</v>
      </c>
      <c r="C1033" s="40" t="inlineStr">
        <is>
          <t>出港</t>
        </is>
      </c>
      <c r="D1033" s="24" t="inlineStr">
        <is>
          <t>件杂货</t>
        </is>
      </c>
      <c r="E1033" s="24" t="inlineStr">
        <is>
          <t>东亚</t>
        </is>
      </c>
      <c r="F1033" s="24" t="inlineStr">
        <is>
          <t>06号泊位</t>
        </is>
      </c>
      <c r="G1033" s="25" t="n">
        <v>5901</v>
      </c>
      <c r="H1033" s="41" t="n">
        <v>9.85</v>
      </c>
      <c r="I1033" s="41" t="n">
        <v>1.76</v>
      </c>
      <c r="J1033" s="41" t="n">
        <v>9.67</v>
      </c>
      <c r="K1033" s="25" t="n">
        <v>0</v>
      </c>
      <c r="L1033" s="26">
        <f>IF(H1033&lt;=J1033,1,0)</f>
        <v>0</v>
      </c>
    </row>
    <row r="1034">
      <c r="A1034" s="19" t="inlineStr">
        <is>
          <t>QL-172-1</t>
        </is>
      </c>
      <c r="B1034" s="36" t="n">
        <v>45829</v>
      </c>
      <c r="C1034" s="37" t="inlineStr">
        <is>
          <t>出港</t>
        </is>
      </c>
      <c r="D1034" s="19" t="inlineStr">
        <is>
          <t>集装箱货物</t>
        </is>
      </c>
      <c r="E1034" s="19" t="inlineStr">
        <is>
          <t>东南亚</t>
        </is>
      </c>
      <c r="F1034" s="19" t="inlineStr">
        <is>
          <t>01号泊位</t>
        </is>
      </c>
      <c r="G1034" s="20" t="n">
        <v>10361</v>
      </c>
      <c r="H1034" s="38" t="n">
        <v>10.72</v>
      </c>
      <c r="I1034" s="38" t="n">
        <v>0.3</v>
      </c>
      <c r="J1034" s="38" t="n">
        <v>11.51</v>
      </c>
      <c r="K1034" s="20" t="n">
        <v>671</v>
      </c>
      <c r="L1034" s="26">
        <f>IF(H1034&lt;=J1034,1,0)</f>
        <v>1</v>
      </c>
    </row>
    <row r="1035">
      <c r="A1035" s="24" t="inlineStr">
        <is>
          <t>QL-172-2</t>
        </is>
      </c>
      <c r="B1035" s="39" t="n">
        <v>45829</v>
      </c>
      <c r="C1035" s="40" t="inlineStr">
        <is>
          <t>进港</t>
        </is>
      </c>
      <c r="D1035" s="24" t="inlineStr">
        <is>
          <t>金属矿石</t>
        </is>
      </c>
      <c r="E1035" s="24" t="inlineStr">
        <is>
          <t>东南亚</t>
        </is>
      </c>
      <c r="F1035" s="24" t="inlineStr">
        <is>
          <t>02号泊位</t>
        </is>
      </c>
      <c r="G1035" s="25" t="n">
        <v>24596</v>
      </c>
      <c r="H1035" s="41" t="n">
        <v>15.29</v>
      </c>
      <c r="I1035" s="41" t="n">
        <v>3.54</v>
      </c>
      <c r="J1035" s="41" t="n">
        <v>15.87</v>
      </c>
      <c r="K1035" s="25" t="n">
        <v>0</v>
      </c>
      <c r="L1035" s="26">
        <f>IF(H1035&lt;=J1035,1,0)</f>
        <v>1</v>
      </c>
    </row>
    <row r="1036">
      <c r="A1036" s="19" t="inlineStr">
        <is>
          <t>QL-172-3</t>
        </is>
      </c>
      <c r="B1036" s="36" t="n">
        <v>45829</v>
      </c>
      <c r="C1036" s="37" t="inlineStr">
        <is>
          <t>出港</t>
        </is>
      </c>
      <c r="D1036" s="19" t="inlineStr">
        <is>
          <t>煤炭</t>
        </is>
      </c>
      <c r="E1036" s="19" t="inlineStr">
        <is>
          <t>东亚</t>
        </is>
      </c>
      <c r="F1036" s="19" t="inlineStr">
        <is>
          <t>03号泊位</t>
        </is>
      </c>
      <c r="G1036" s="20" t="n">
        <v>16898</v>
      </c>
      <c r="H1036" s="38" t="n">
        <v>12.56</v>
      </c>
      <c r="I1036" s="38" t="n">
        <v>5</v>
      </c>
      <c r="J1036" s="38" t="n">
        <v>12.8</v>
      </c>
      <c r="K1036" s="20" t="n">
        <v>0</v>
      </c>
      <c r="L1036" s="26">
        <f>IF(H1036&lt;=J1036,1,0)</f>
        <v>1</v>
      </c>
    </row>
    <row r="1037">
      <c r="A1037" s="24" t="inlineStr">
        <is>
          <t>QL-172-4</t>
        </is>
      </c>
      <c r="B1037" s="39" t="n">
        <v>45829</v>
      </c>
      <c r="C1037" s="40" t="inlineStr">
        <is>
          <t>出港</t>
        </is>
      </c>
      <c r="D1037" s="24" t="inlineStr">
        <is>
          <t>粮食</t>
        </is>
      </c>
      <c r="E1037" s="24" t="inlineStr">
        <is>
          <t>欧洲</t>
        </is>
      </c>
      <c r="F1037" s="24" t="inlineStr">
        <is>
          <t>04号泊位</t>
        </is>
      </c>
      <c r="G1037" s="25" t="n">
        <v>14931</v>
      </c>
      <c r="H1037" s="41" t="n">
        <v>13.67</v>
      </c>
      <c r="I1037" s="41" t="n">
        <v>0.49</v>
      </c>
      <c r="J1037" s="41" t="n">
        <v>14.64</v>
      </c>
      <c r="K1037" s="25" t="n">
        <v>0</v>
      </c>
      <c r="L1037" s="26">
        <f>IF(H1037&lt;=J1037,1,0)</f>
        <v>1</v>
      </c>
    </row>
    <row r="1038">
      <c r="A1038" s="19" t="inlineStr">
        <is>
          <t>QL-172-5</t>
        </is>
      </c>
      <c r="B1038" s="36" t="n">
        <v>45829</v>
      </c>
      <c r="C1038" s="37" t="inlineStr">
        <is>
          <t>进港</t>
        </is>
      </c>
      <c r="D1038" s="19" t="inlineStr">
        <is>
          <t>液体散货</t>
        </is>
      </c>
      <c r="E1038" s="19" t="inlineStr">
        <is>
          <t>北美</t>
        </is>
      </c>
      <c r="F1038" s="19" t="inlineStr">
        <is>
          <t>05号泊位</t>
        </is>
      </c>
      <c r="G1038" s="20" t="n">
        <v>9854</v>
      </c>
      <c r="H1038" s="38" t="n">
        <v>5.64</v>
      </c>
      <c r="I1038" s="38" t="n">
        <v>4.6</v>
      </c>
      <c r="J1038" s="38" t="n">
        <v>6.84</v>
      </c>
      <c r="K1038" s="20" t="n">
        <v>0</v>
      </c>
      <c r="L1038" s="26">
        <f>IF(H1038&lt;=J1038,1,0)</f>
        <v>1</v>
      </c>
    </row>
    <row r="1039">
      <c r="A1039" s="24" t="inlineStr">
        <is>
          <t>QL-172-6</t>
        </is>
      </c>
      <c r="B1039" s="39" t="n">
        <v>45829</v>
      </c>
      <c r="C1039" s="40" t="inlineStr">
        <is>
          <t>出港</t>
        </is>
      </c>
      <c r="D1039" s="24" t="inlineStr">
        <is>
          <t>件杂货</t>
        </is>
      </c>
      <c r="E1039" s="24" t="inlineStr">
        <is>
          <t>东南亚</t>
        </is>
      </c>
      <c r="F1039" s="24" t="inlineStr">
        <is>
          <t>06号泊位</t>
        </is>
      </c>
      <c r="G1039" s="25" t="n">
        <v>4783</v>
      </c>
      <c r="H1039" s="41" t="n">
        <v>7.16</v>
      </c>
      <c r="I1039" s="41" t="n">
        <v>2.2</v>
      </c>
      <c r="J1039" s="41" t="n">
        <v>7.84</v>
      </c>
      <c r="K1039" s="25" t="n">
        <v>0</v>
      </c>
      <c r="L1039" s="26">
        <f>IF(H1039&lt;=J1039,1,0)</f>
        <v>1</v>
      </c>
    </row>
    <row r="1040">
      <c r="A1040" s="19" t="inlineStr">
        <is>
          <t>QL-173-1</t>
        </is>
      </c>
      <c r="B1040" s="36" t="n">
        <v>45830</v>
      </c>
      <c r="C1040" s="37" t="inlineStr">
        <is>
          <t>进港</t>
        </is>
      </c>
      <c r="D1040" s="19" t="inlineStr">
        <is>
          <t>集装箱货物</t>
        </is>
      </c>
      <c r="E1040" s="19" t="inlineStr">
        <is>
          <t>北美</t>
        </is>
      </c>
      <c r="F1040" s="19" t="inlineStr">
        <is>
          <t>01号泊位</t>
        </is>
      </c>
      <c r="G1040" s="20" t="n">
        <v>7626</v>
      </c>
      <c r="H1040" s="38" t="n">
        <v>9.44</v>
      </c>
      <c r="I1040" s="38" t="n">
        <v>0.73</v>
      </c>
      <c r="J1040" s="38" t="n">
        <v>8.470000000000001</v>
      </c>
      <c r="K1040" s="20" t="n">
        <v>629</v>
      </c>
      <c r="L1040" s="26">
        <f>IF(H1040&lt;=J1040,1,0)</f>
        <v>0</v>
      </c>
    </row>
    <row r="1041">
      <c r="A1041" s="24" t="inlineStr">
        <is>
          <t>QL-173-2</t>
        </is>
      </c>
      <c r="B1041" s="39" t="n">
        <v>45830</v>
      </c>
      <c r="C1041" s="40" t="inlineStr">
        <is>
          <t>出港</t>
        </is>
      </c>
      <c r="D1041" s="24" t="inlineStr">
        <is>
          <t>金属矿石</t>
        </is>
      </c>
      <c r="E1041" s="24" t="inlineStr">
        <is>
          <t>国内沿海</t>
        </is>
      </c>
      <c r="F1041" s="24" t="inlineStr">
        <is>
          <t>02号泊位</t>
        </is>
      </c>
      <c r="G1041" s="25" t="n">
        <v>37599</v>
      </c>
      <c r="H1041" s="41" t="n">
        <v>27.41</v>
      </c>
      <c r="I1041" s="41" t="n">
        <v>2.97</v>
      </c>
      <c r="J1041" s="41" t="n">
        <v>24.26</v>
      </c>
      <c r="K1041" s="25" t="n">
        <v>0</v>
      </c>
      <c r="L1041" s="26">
        <f>IF(H1041&lt;=J1041,1,0)</f>
        <v>0</v>
      </c>
    </row>
    <row r="1042">
      <c r="A1042" s="19" t="inlineStr">
        <is>
          <t>QL-173-3</t>
        </is>
      </c>
      <c r="B1042" s="36" t="n">
        <v>45830</v>
      </c>
      <c r="C1042" s="37" t="inlineStr">
        <is>
          <t>进港</t>
        </is>
      </c>
      <c r="D1042" s="19" t="inlineStr">
        <is>
          <t>煤炭</t>
        </is>
      </c>
      <c r="E1042" s="19" t="inlineStr">
        <is>
          <t>欧洲</t>
        </is>
      </c>
      <c r="F1042" s="19" t="inlineStr">
        <is>
          <t>03号泊位</t>
        </is>
      </c>
      <c r="G1042" s="20" t="n">
        <v>15575</v>
      </c>
      <c r="H1042" s="38" t="n">
        <v>12.83</v>
      </c>
      <c r="I1042" s="38" t="n">
        <v>1.16</v>
      </c>
      <c r="J1042" s="38" t="n">
        <v>11.8</v>
      </c>
      <c r="K1042" s="20" t="n">
        <v>0</v>
      </c>
      <c r="L1042" s="26">
        <f>IF(H1042&lt;=J1042,1,0)</f>
        <v>0</v>
      </c>
    </row>
    <row r="1043">
      <c r="A1043" s="24" t="inlineStr">
        <is>
          <t>QL-173-4</t>
        </is>
      </c>
      <c r="B1043" s="39" t="n">
        <v>45830</v>
      </c>
      <c r="C1043" s="40" t="inlineStr">
        <is>
          <t>进港</t>
        </is>
      </c>
      <c r="D1043" s="24" t="inlineStr">
        <is>
          <t>粮食</t>
        </is>
      </c>
      <c r="E1043" s="24" t="inlineStr">
        <is>
          <t>欧洲</t>
        </is>
      </c>
      <c r="F1043" s="24" t="inlineStr">
        <is>
          <t>04号泊位</t>
        </is>
      </c>
      <c r="G1043" s="25" t="n">
        <v>10688</v>
      </c>
      <c r="H1043" s="41" t="n">
        <v>9.85</v>
      </c>
      <c r="I1043" s="41" t="n">
        <v>2.32</v>
      </c>
      <c r="J1043" s="41" t="n">
        <v>10.48</v>
      </c>
      <c r="K1043" s="25" t="n">
        <v>0</v>
      </c>
      <c r="L1043" s="26">
        <f>IF(H1043&lt;=J1043,1,0)</f>
        <v>1</v>
      </c>
    </row>
    <row r="1044">
      <c r="A1044" s="19" t="inlineStr">
        <is>
          <t>QL-173-5</t>
        </is>
      </c>
      <c r="B1044" s="36" t="n">
        <v>45830</v>
      </c>
      <c r="C1044" s="37" t="inlineStr">
        <is>
          <t>进港</t>
        </is>
      </c>
      <c r="D1044" s="19" t="inlineStr">
        <is>
          <t>液体散货</t>
        </is>
      </c>
      <c r="E1044" s="19" t="inlineStr">
        <is>
          <t>东亚</t>
        </is>
      </c>
      <c r="F1044" s="19" t="inlineStr">
        <is>
          <t>05号泊位</t>
        </is>
      </c>
      <c r="G1044" s="20" t="n">
        <v>15411</v>
      </c>
      <c r="H1044" s="38" t="n">
        <v>12.19</v>
      </c>
      <c r="I1044" s="38" t="n">
        <v>2.74</v>
      </c>
      <c r="J1044" s="38" t="n">
        <v>10.7</v>
      </c>
      <c r="K1044" s="20" t="n">
        <v>0</v>
      </c>
      <c r="L1044" s="26">
        <f>IF(H1044&lt;=J1044,1,0)</f>
        <v>0</v>
      </c>
    </row>
    <row r="1045">
      <c r="A1045" s="24" t="inlineStr">
        <is>
          <t>QL-173-6</t>
        </is>
      </c>
      <c r="B1045" s="39" t="n">
        <v>45830</v>
      </c>
      <c r="C1045" s="40" t="inlineStr">
        <is>
          <t>进港</t>
        </is>
      </c>
      <c r="D1045" s="24" t="inlineStr">
        <is>
          <t>件杂货</t>
        </is>
      </c>
      <c r="E1045" s="24" t="inlineStr">
        <is>
          <t>东亚</t>
        </is>
      </c>
      <c r="F1045" s="24" t="inlineStr">
        <is>
          <t>06号泊位</t>
        </is>
      </c>
      <c r="G1045" s="25" t="n">
        <v>7783</v>
      </c>
      <c r="H1045" s="41" t="n">
        <v>11.33</v>
      </c>
      <c r="I1045" s="41" t="n">
        <v>3.24</v>
      </c>
      <c r="J1045" s="41" t="n">
        <v>12.76</v>
      </c>
      <c r="K1045" s="25" t="n">
        <v>0</v>
      </c>
      <c r="L1045" s="26">
        <f>IF(H1045&lt;=J1045,1,0)</f>
        <v>1</v>
      </c>
    </row>
    <row r="1046">
      <c r="A1046" s="19" t="inlineStr">
        <is>
          <t>QL-174-1</t>
        </is>
      </c>
      <c r="B1046" s="36" t="n">
        <v>45831</v>
      </c>
      <c r="C1046" s="37" t="inlineStr">
        <is>
          <t>出港</t>
        </is>
      </c>
      <c r="D1046" s="19" t="inlineStr">
        <is>
          <t>集装箱货物</t>
        </is>
      </c>
      <c r="E1046" s="19" t="inlineStr">
        <is>
          <t>东亚</t>
        </is>
      </c>
      <c r="F1046" s="19" t="inlineStr">
        <is>
          <t>01号泊位</t>
        </is>
      </c>
      <c r="G1046" s="20" t="n">
        <v>8268</v>
      </c>
      <c r="H1046" s="38" t="n">
        <v>10.28</v>
      </c>
      <c r="I1046" s="38" t="n">
        <v>0.36</v>
      </c>
      <c r="J1046" s="38" t="n">
        <v>9.19</v>
      </c>
      <c r="K1046" s="20" t="n">
        <v>632</v>
      </c>
      <c r="L1046" s="26">
        <f>IF(H1046&lt;=J1046,1,0)</f>
        <v>0</v>
      </c>
    </row>
    <row r="1047">
      <c r="A1047" s="24" t="inlineStr">
        <is>
          <t>QL-174-2</t>
        </is>
      </c>
      <c r="B1047" s="39" t="n">
        <v>45831</v>
      </c>
      <c r="C1047" s="40" t="inlineStr">
        <is>
          <t>进港</t>
        </is>
      </c>
      <c r="D1047" s="24" t="inlineStr">
        <is>
          <t>金属矿石</t>
        </is>
      </c>
      <c r="E1047" s="24" t="inlineStr">
        <is>
          <t>东亚</t>
        </is>
      </c>
      <c r="F1047" s="24" t="inlineStr">
        <is>
          <t>02号泊位</t>
        </is>
      </c>
      <c r="G1047" s="25" t="n">
        <v>30962</v>
      </c>
      <c r="H1047" s="41" t="n">
        <v>19.42</v>
      </c>
      <c r="I1047" s="41" t="n">
        <v>2.34</v>
      </c>
      <c r="J1047" s="41" t="n">
        <v>19.98</v>
      </c>
      <c r="K1047" s="25" t="n">
        <v>0</v>
      </c>
      <c r="L1047" s="26">
        <f>IF(H1047&lt;=J1047,1,0)</f>
        <v>1</v>
      </c>
    </row>
    <row r="1048">
      <c r="A1048" s="19" t="inlineStr">
        <is>
          <t>QL-174-3</t>
        </is>
      </c>
      <c r="B1048" s="36" t="n">
        <v>45831</v>
      </c>
      <c r="C1048" s="37" t="inlineStr">
        <is>
          <t>进港</t>
        </is>
      </c>
      <c r="D1048" s="19" t="inlineStr">
        <is>
          <t>煤炭</t>
        </is>
      </c>
      <c r="E1048" s="19" t="inlineStr">
        <is>
          <t>北美</t>
        </is>
      </c>
      <c r="F1048" s="19" t="inlineStr">
        <is>
          <t>03号泊位</t>
        </is>
      </c>
      <c r="G1048" s="20" t="n">
        <v>17423</v>
      </c>
      <c r="H1048" s="38" t="n">
        <v>11.19</v>
      </c>
      <c r="I1048" s="38" t="n">
        <v>4.04</v>
      </c>
      <c r="J1048" s="38" t="n">
        <v>13.2</v>
      </c>
      <c r="K1048" s="20" t="n">
        <v>0</v>
      </c>
      <c r="L1048" s="26">
        <f>IF(H1048&lt;=J1048,1,0)</f>
        <v>1</v>
      </c>
    </row>
    <row r="1049">
      <c r="A1049" s="24" t="inlineStr">
        <is>
          <t>QL-174-4</t>
        </is>
      </c>
      <c r="B1049" s="39" t="n">
        <v>45831</v>
      </c>
      <c r="C1049" s="40" t="inlineStr">
        <is>
          <t>进港</t>
        </is>
      </c>
      <c r="D1049" s="24" t="inlineStr">
        <is>
          <t>粮食</t>
        </is>
      </c>
      <c r="E1049" s="24" t="inlineStr">
        <is>
          <t>东亚</t>
        </is>
      </c>
      <c r="F1049" s="24" t="inlineStr">
        <is>
          <t>04号泊位</t>
        </is>
      </c>
      <c r="G1049" s="25" t="n">
        <v>8037</v>
      </c>
      <c r="H1049" s="41" t="n">
        <v>7.79</v>
      </c>
      <c r="I1049" s="41" t="n">
        <v>2.44</v>
      </c>
      <c r="J1049" s="41" t="n">
        <v>7.88</v>
      </c>
      <c r="K1049" s="25" t="n">
        <v>0</v>
      </c>
      <c r="L1049" s="26">
        <f>IF(H1049&lt;=J1049,1,0)</f>
        <v>1</v>
      </c>
    </row>
    <row r="1050">
      <c r="A1050" s="19" t="inlineStr">
        <is>
          <t>QL-174-5</t>
        </is>
      </c>
      <c r="B1050" s="36" t="n">
        <v>45831</v>
      </c>
      <c r="C1050" s="37" t="inlineStr">
        <is>
          <t>进港</t>
        </is>
      </c>
      <c r="D1050" s="19" t="inlineStr">
        <is>
          <t>液体散货</t>
        </is>
      </c>
      <c r="E1050" s="19" t="inlineStr">
        <is>
          <t>东南亚</t>
        </is>
      </c>
      <c r="F1050" s="19" t="inlineStr">
        <is>
          <t>05号泊位</t>
        </is>
      </c>
      <c r="G1050" s="20" t="n">
        <v>9425</v>
      </c>
      <c r="H1050" s="38" t="n">
        <v>7.16</v>
      </c>
      <c r="I1050" s="38" t="n">
        <v>4.42</v>
      </c>
      <c r="J1050" s="38" t="n">
        <v>6.55</v>
      </c>
      <c r="K1050" s="20" t="n">
        <v>0</v>
      </c>
      <c r="L1050" s="26">
        <f>IF(H1050&lt;=J1050,1,0)</f>
        <v>0</v>
      </c>
    </row>
    <row r="1051">
      <c r="A1051" s="24" t="inlineStr">
        <is>
          <t>QL-174-6</t>
        </is>
      </c>
      <c r="B1051" s="39" t="n">
        <v>45831</v>
      </c>
      <c r="C1051" s="40" t="inlineStr">
        <is>
          <t>出港</t>
        </is>
      </c>
      <c r="D1051" s="24" t="inlineStr">
        <is>
          <t>件杂货</t>
        </is>
      </c>
      <c r="E1051" s="24" t="inlineStr">
        <is>
          <t>东南亚</t>
        </is>
      </c>
      <c r="F1051" s="24" t="inlineStr">
        <is>
          <t>06号泊位</t>
        </is>
      </c>
      <c r="G1051" s="25" t="n">
        <v>7034</v>
      </c>
      <c r="H1051" s="41" t="n">
        <v>11.88</v>
      </c>
      <c r="I1051" s="41" t="n">
        <v>6.52</v>
      </c>
      <c r="J1051" s="41" t="n">
        <v>11.53</v>
      </c>
      <c r="K1051" s="25" t="n">
        <v>0</v>
      </c>
      <c r="L1051" s="26">
        <f>IF(H1051&lt;=J1051,1,0)</f>
        <v>0</v>
      </c>
    </row>
    <row r="1052">
      <c r="A1052" s="19" t="inlineStr">
        <is>
          <t>QL-175-1</t>
        </is>
      </c>
      <c r="B1052" s="36" t="n">
        <v>45832</v>
      </c>
      <c r="C1052" s="37" t="inlineStr">
        <is>
          <t>出港</t>
        </is>
      </c>
      <c r="D1052" s="19" t="inlineStr">
        <is>
          <t>集装箱货物</t>
        </is>
      </c>
      <c r="E1052" s="19" t="inlineStr">
        <is>
          <t>北美</t>
        </is>
      </c>
      <c r="F1052" s="19" t="inlineStr">
        <is>
          <t>01号泊位</t>
        </is>
      </c>
      <c r="G1052" s="20" t="n">
        <v>8489</v>
      </c>
      <c r="H1052" s="38" t="n">
        <v>8.289999999999999</v>
      </c>
      <c r="I1052" s="38" t="n">
        <v>2.8</v>
      </c>
      <c r="J1052" s="38" t="n">
        <v>9.43</v>
      </c>
      <c r="K1052" s="20" t="n">
        <v>652</v>
      </c>
      <c r="L1052" s="26">
        <f>IF(H1052&lt;=J1052,1,0)</f>
        <v>1</v>
      </c>
    </row>
    <row r="1053">
      <c r="A1053" s="24" t="inlineStr">
        <is>
          <t>QL-175-2</t>
        </is>
      </c>
      <c r="B1053" s="39" t="n">
        <v>45832</v>
      </c>
      <c r="C1053" s="40" t="inlineStr">
        <is>
          <t>出港</t>
        </is>
      </c>
      <c r="D1053" s="24" t="inlineStr">
        <is>
          <t>金属矿石</t>
        </is>
      </c>
      <c r="E1053" s="24" t="inlineStr">
        <is>
          <t>东南亚</t>
        </is>
      </c>
      <c r="F1053" s="24" t="inlineStr">
        <is>
          <t>02号泊位</t>
        </is>
      </c>
      <c r="G1053" s="25" t="n">
        <v>22010</v>
      </c>
      <c r="H1053" s="41" t="n">
        <v>12.13</v>
      </c>
      <c r="I1053" s="41" t="n">
        <v>6.02</v>
      </c>
      <c r="J1053" s="41" t="n">
        <v>14.2</v>
      </c>
      <c r="K1053" s="25" t="n">
        <v>0</v>
      </c>
      <c r="L1053" s="26">
        <f>IF(H1053&lt;=J1053,1,0)</f>
        <v>1</v>
      </c>
    </row>
    <row r="1054">
      <c r="A1054" s="19" t="inlineStr">
        <is>
          <t>QL-175-3</t>
        </is>
      </c>
      <c r="B1054" s="36" t="n">
        <v>45832</v>
      </c>
      <c r="C1054" s="37" t="inlineStr">
        <is>
          <t>出港</t>
        </is>
      </c>
      <c r="D1054" s="19" t="inlineStr">
        <is>
          <t>煤炭</t>
        </is>
      </c>
      <c r="E1054" s="19" t="inlineStr">
        <is>
          <t>国内沿海</t>
        </is>
      </c>
      <c r="F1054" s="19" t="inlineStr">
        <is>
          <t>03号泊位</t>
        </is>
      </c>
      <c r="G1054" s="20" t="n">
        <v>16695</v>
      </c>
      <c r="H1054" s="38" t="n">
        <v>13.57</v>
      </c>
      <c r="I1054" s="38" t="n">
        <v>2.65</v>
      </c>
      <c r="J1054" s="38" t="n">
        <v>12.65</v>
      </c>
      <c r="K1054" s="20" t="n">
        <v>0</v>
      </c>
      <c r="L1054" s="26">
        <f>IF(H1054&lt;=J1054,1,0)</f>
        <v>0</v>
      </c>
    </row>
    <row r="1055">
      <c r="A1055" s="24" t="inlineStr">
        <is>
          <t>QL-175-4</t>
        </is>
      </c>
      <c r="B1055" s="39" t="n">
        <v>45832</v>
      </c>
      <c r="C1055" s="40" t="inlineStr">
        <is>
          <t>进港</t>
        </is>
      </c>
      <c r="D1055" s="24" t="inlineStr">
        <is>
          <t>粮食</t>
        </is>
      </c>
      <c r="E1055" s="24" t="inlineStr">
        <is>
          <t>欧洲</t>
        </is>
      </c>
      <c r="F1055" s="24" t="inlineStr">
        <is>
          <t>04号泊位</t>
        </is>
      </c>
      <c r="G1055" s="25" t="n">
        <v>8380</v>
      </c>
      <c r="H1055" s="41" t="n">
        <v>7.64</v>
      </c>
      <c r="I1055" s="41" t="n">
        <v>1.46</v>
      </c>
      <c r="J1055" s="41" t="n">
        <v>8.220000000000001</v>
      </c>
      <c r="K1055" s="25" t="n">
        <v>0</v>
      </c>
      <c r="L1055" s="26">
        <f>IF(H1055&lt;=J1055,1,0)</f>
        <v>1</v>
      </c>
    </row>
    <row r="1056">
      <c r="A1056" s="19" t="inlineStr">
        <is>
          <t>QL-175-5</t>
        </is>
      </c>
      <c r="B1056" s="36" t="n">
        <v>45832</v>
      </c>
      <c r="C1056" s="37" t="inlineStr">
        <is>
          <t>出港</t>
        </is>
      </c>
      <c r="D1056" s="19" t="inlineStr">
        <is>
          <t>液体散货</t>
        </is>
      </c>
      <c r="E1056" s="19" t="inlineStr">
        <is>
          <t>东亚</t>
        </is>
      </c>
      <c r="F1056" s="19" t="inlineStr">
        <is>
          <t>05号泊位</t>
        </is>
      </c>
      <c r="G1056" s="20" t="n">
        <v>18277</v>
      </c>
      <c r="H1056" s="38" t="n">
        <v>11.63</v>
      </c>
      <c r="I1056" s="38" t="n">
        <v>0.5600000000000001</v>
      </c>
      <c r="J1056" s="38" t="n">
        <v>12.69</v>
      </c>
      <c r="K1056" s="20" t="n">
        <v>0</v>
      </c>
      <c r="L1056" s="26">
        <f>IF(H1056&lt;=J1056,1,0)</f>
        <v>1</v>
      </c>
    </row>
    <row r="1057">
      <c r="A1057" s="24" t="inlineStr">
        <is>
          <t>QL-175-6</t>
        </is>
      </c>
      <c r="B1057" s="39" t="n">
        <v>45832</v>
      </c>
      <c r="C1057" s="40" t="inlineStr">
        <is>
          <t>进港</t>
        </is>
      </c>
      <c r="D1057" s="24" t="inlineStr">
        <is>
          <t>件杂货</t>
        </is>
      </c>
      <c r="E1057" s="24" t="inlineStr">
        <is>
          <t>国内沿海</t>
        </is>
      </c>
      <c r="F1057" s="24" t="inlineStr">
        <is>
          <t>06号泊位</t>
        </is>
      </c>
      <c r="G1057" s="25" t="n">
        <v>6107</v>
      </c>
      <c r="H1057" s="41" t="n">
        <v>10.48</v>
      </c>
      <c r="I1057" s="41" t="n">
        <v>1.16</v>
      </c>
      <c r="J1057" s="41" t="n">
        <v>10.01</v>
      </c>
      <c r="K1057" s="25" t="n">
        <v>0</v>
      </c>
      <c r="L1057" s="26">
        <f>IF(H1057&lt;=J1057,1,0)</f>
        <v>0</v>
      </c>
    </row>
    <row r="1058">
      <c r="A1058" s="19" t="inlineStr">
        <is>
          <t>QL-176-1</t>
        </is>
      </c>
      <c r="B1058" s="36" t="n">
        <v>45833</v>
      </c>
      <c r="C1058" s="37" t="inlineStr">
        <is>
          <t>进港</t>
        </is>
      </c>
      <c r="D1058" s="19" t="inlineStr">
        <is>
          <t>集装箱货物</t>
        </is>
      </c>
      <c r="E1058" s="19" t="inlineStr">
        <is>
          <t>东南亚</t>
        </is>
      </c>
      <c r="F1058" s="19" t="inlineStr">
        <is>
          <t>01号泊位</t>
        </is>
      </c>
      <c r="G1058" s="20" t="n">
        <v>16741</v>
      </c>
      <c r="H1058" s="38" t="n">
        <v>20.09</v>
      </c>
      <c r="I1058" s="38" t="n">
        <v>1.69</v>
      </c>
      <c r="J1058" s="38" t="n">
        <v>18.6</v>
      </c>
      <c r="K1058" s="20" t="n">
        <v>1040</v>
      </c>
      <c r="L1058" s="26">
        <f>IF(H1058&lt;=J1058,1,0)</f>
        <v>0</v>
      </c>
    </row>
    <row r="1059">
      <c r="A1059" s="24" t="inlineStr">
        <is>
          <t>QL-176-2</t>
        </is>
      </c>
      <c r="B1059" s="39" t="n">
        <v>45833</v>
      </c>
      <c r="C1059" s="40" t="inlineStr">
        <is>
          <t>进港</t>
        </is>
      </c>
      <c r="D1059" s="24" t="inlineStr">
        <is>
          <t>金属矿石</t>
        </is>
      </c>
      <c r="E1059" s="24" t="inlineStr">
        <is>
          <t>东南亚</t>
        </is>
      </c>
      <c r="F1059" s="24" t="inlineStr">
        <is>
          <t>02号泊位</t>
        </is>
      </c>
      <c r="G1059" s="25" t="n">
        <v>24198</v>
      </c>
      <c r="H1059" s="41" t="n">
        <v>15</v>
      </c>
      <c r="I1059" s="41" t="n">
        <v>1.11</v>
      </c>
      <c r="J1059" s="41" t="n">
        <v>15.61</v>
      </c>
      <c r="K1059" s="25" t="n">
        <v>0</v>
      </c>
      <c r="L1059" s="26">
        <f>IF(H1059&lt;=J1059,1,0)</f>
        <v>1</v>
      </c>
    </row>
    <row r="1060">
      <c r="A1060" s="19" t="inlineStr">
        <is>
          <t>QL-176-3</t>
        </is>
      </c>
      <c r="B1060" s="36" t="n">
        <v>45833</v>
      </c>
      <c r="C1060" s="37" t="inlineStr">
        <is>
          <t>出港</t>
        </is>
      </c>
      <c r="D1060" s="19" t="inlineStr">
        <is>
          <t>煤炭</t>
        </is>
      </c>
      <c r="E1060" s="19" t="inlineStr">
        <is>
          <t>国内沿海</t>
        </is>
      </c>
      <c r="F1060" s="19" t="inlineStr">
        <is>
          <t>03号泊位</t>
        </is>
      </c>
      <c r="G1060" s="20" t="n">
        <v>17267</v>
      </c>
      <c r="H1060" s="38" t="n">
        <v>11.66</v>
      </c>
      <c r="I1060" s="38" t="n">
        <v>2.09</v>
      </c>
      <c r="J1060" s="38" t="n">
        <v>13.08</v>
      </c>
      <c r="K1060" s="20" t="n">
        <v>0</v>
      </c>
      <c r="L1060" s="26">
        <f>IF(H1060&lt;=J1060,1,0)</f>
        <v>1</v>
      </c>
    </row>
    <row r="1061">
      <c r="A1061" s="24" t="inlineStr">
        <is>
          <t>QL-176-4</t>
        </is>
      </c>
      <c r="B1061" s="39" t="n">
        <v>45833</v>
      </c>
      <c r="C1061" s="40" t="inlineStr">
        <is>
          <t>进港</t>
        </is>
      </c>
      <c r="D1061" s="24" t="inlineStr">
        <is>
          <t>粮食</t>
        </is>
      </c>
      <c r="E1061" s="24" t="inlineStr">
        <is>
          <t>国内沿海</t>
        </is>
      </c>
      <c r="F1061" s="24" t="inlineStr">
        <is>
          <t>04号泊位</t>
        </is>
      </c>
      <c r="G1061" s="25" t="n">
        <v>10770</v>
      </c>
      <c r="H1061" s="41" t="n">
        <v>10.9</v>
      </c>
      <c r="I1061" s="41" t="n">
        <v>0.3</v>
      </c>
      <c r="J1061" s="41" t="n">
        <v>10.56</v>
      </c>
      <c r="K1061" s="25" t="n">
        <v>0</v>
      </c>
      <c r="L1061" s="26">
        <f>IF(H1061&lt;=J1061,1,0)</f>
        <v>0</v>
      </c>
    </row>
    <row r="1062">
      <c r="A1062" s="19" t="inlineStr">
        <is>
          <t>QL-176-5</t>
        </is>
      </c>
      <c r="B1062" s="36" t="n">
        <v>45833</v>
      </c>
      <c r="C1062" s="37" t="inlineStr">
        <is>
          <t>进港</t>
        </is>
      </c>
      <c r="D1062" s="19" t="inlineStr">
        <is>
          <t>液体散货</t>
        </is>
      </c>
      <c r="E1062" s="19" t="inlineStr">
        <is>
          <t>东南亚</t>
        </is>
      </c>
      <c r="F1062" s="19" t="inlineStr">
        <is>
          <t>05号泊位</t>
        </is>
      </c>
      <c r="G1062" s="20" t="n">
        <v>9398</v>
      </c>
      <c r="H1062" s="38" t="n">
        <v>6.41</v>
      </c>
      <c r="I1062" s="38" t="n">
        <v>1.05</v>
      </c>
      <c r="J1062" s="38" t="n">
        <v>6.53</v>
      </c>
      <c r="K1062" s="20" t="n">
        <v>0</v>
      </c>
      <c r="L1062" s="26">
        <f>IF(H1062&lt;=J1062,1,0)</f>
        <v>1</v>
      </c>
    </row>
    <row r="1063">
      <c r="A1063" s="24" t="inlineStr">
        <is>
          <t>QL-176-6</t>
        </is>
      </c>
      <c r="B1063" s="39" t="n">
        <v>45833</v>
      </c>
      <c r="C1063" s="40" t="inlineStr">
        <is>
          <t>出港</t>
        </is>
      </c>
      <c r="D1063" s="24" t="inlineStr">
        <is>
          <t>件杂货</t>
        </is>
      </c>
      <c r="E1063" s="24" t="inlineStr">
        <is>
          <t>国内沿海</t>
        </is>
      </c>
      <c r="F1063" s="24" t="inlineStr">
        <is>
          <t>06号泊位</t>
        </is>
      </c>
      <c r="G1063" s="25" t="n">
        <v>10034</v>
      </c>
      <c r="H1063" s="41" t="n">
        <v>15.56</v>
      </c>
      <c r="I1063" s="41" t="n">
        <v>0.77</v>
      </c>
      <c r="J1063" s="41" t="n">
        <v>16.45</v>
      </c>
      <c r="K1063" s="25" t="n">
        <v>0</v>
      </c>
      <c r="L1063" s="26">
        <f>IF(H1063&lt;=J1063,1,0)</f>
        <v>1</v>
      </c>
    </row>
    <row r="1064">
      <c r="A1064" s="19" t="inlineStr">
        <is>
          <t>QL-177-1</t>
        </is>
      </c>
      <c r="B1064" s="36" t="n">
        <v>45834</v>
      </c>
      <c r="C1064" s="37" t="inlineStr">
        <is>
          <t>进港</t>
        </is>
      </c>
      <c r="D1064" s="19" t="inlineStr">
        <is>
          <t>集装箱货物</t>
        </is>
      </c>
      <c r="E1064" s="19" t="inlineStr">
        <is>
          <t>欧洲</t>
        </is>
      </c>
      <c r="F1064" s="19" t="inlineStr">
        <is>
          <t>01号泊位</t>
        </is>
      </c>
      <c r="G1064" s="20" t="n">
        <v>10802</v>
      </c>
      <c r="H1064" s="38" t="n">
        <v>14.21</v>
      </c>
      <c r="I1064" s="38" t="n">
        <v>3.55</v>
      </c>
      <c r="J1064" s="38" t="n">
        <v>12</v>
      </c>
      <c r="K1064" s="20" t="n">
        <v>678</v>
      </c>
      <c r="L1064" s="26">
        <f>IF(H1064&lt;=J1064,1,0)</f>
        <v>0</v>
      </c>
    </row>
    <row r="1065">
      <c r="A1065" s="24" t="inlineStr">
        <is>
          <t>QL-177-2</t>
        </is>
      </c>
      <c r="B1065" s="39" t="n">
        <v>45834</v>
      </c>
      <c r="C1065" s="40" t="inlineStr">
        <is>
          <t>进港</t>
        </is>
      </c>
      <c r="D1065" s="24" t="inlineStr">
        <is>
          <t>金属矿石</t>
        </is>
      </c>
      <c r="E1065" s="24" t="inlineStr">
        <is>
          <t>国内沿海</t>
        </is>
      </c>
      <c r="F1065" s="24" t="inlineStr">
        <is>
          <t>02号泊位</t>
        </is>
      </c>
      <c r="G1065" s="25" t="n">
        <v>17723</v>
      </c>
      <c r="H1065" s="41" t="n">
        <v>13.15</v>
      </c>
      <c r="I1065" s="41" t="n">
        <v>0.96</v>
      </c>
      <c r="J1065" s="41" t="n">
        <v>11.43</v>
      </c>
      <c r="K1065" s="25" t="n">
        <v>0</v>
      </c>
      <c r="L1065" s="26">
        <f>IF(H1065&lt;=J1065,1,0)</f>
        <v>0</v>
      </c>
    </row>
    <row r="1066">
      <c r="A1066" s="19" t="inlineStr">
        <is>
          <t>QL-177-3</t>
        </is>
      </c>
      <c r="B1066" s="36" t="n">
        <v>45834</v>
      </c>
      <c r="C1066" s="37" t="inlineStr">
        <is>
          <t>进港</t>
        </is>
      </c>
      <c r="D1066" s="19" t="inlineStr">
        <is>
          <t>煤炭</t>
        </is>
      </c>
      <c r="E1066" s="19" t="inlineStr">
        <is>
          <t>东亚</t>
        </is>
      </c>
      <c r="F1066" s="19" t="inlineStr">
        <is>
          <t>03号泊位</t>
        </is>
      </c>
      <c r="G1066" s="20" t="n">
        <v>14121</v>
      </c>
      <c r="H1066" s="38" t="n">
        <v>12.23</v>
      </c>
      <c r="I1066" s="38" t="n">
        <v>3.46</v>
      </c>
      <c r="J1066" s="38" t="n">
        <v>10.7</v>
      </c>
      <c r="K1066" s="20" t="n">
        <v>0</v>
      </c>
      <c r="L1066" s="26">
        <f>IF(H1066&lt;=J1066,1,0)</f>
        <v>0</v>
      </c>
    </row>
    <row r="1067">
      <c r="A1067" s="24" t="inlineStr">
        <is>
          <t>QL-177-4</t>
        </is>
      </c>
      <c r="B1067" s="39" t="n">
        <v>45834</v>
      </c>
      <c r="C1067" s="40" t="inlineStr">
        <is>
          <t>进港</t>
        </is>
      </c>
      <c r="D1067" s="24" t="inlineStr">
        <is>
          <t>粮食</t>
        </is>
      </c>
      <c r="E1067" s="24" t="inlineStr">
        <is>
          <t>欧洲</t>
        </is>
      </c>
      <c r="F1067" s="24" t="inlineStr">
        <is>
          <t>04号泊位</t>
        </is>
      </c>
      <c r="G1067" s="25" t="n">
        <v>9561</v>
      </c>
      <c r="H1067" s="41" t="n">
        <v>8.449999999999999</v>
      </c>
      <c r="I1067" s="41" t="n">
        <v>1.87</v>
      </c>
      <c r="J1067" s="41" t="n">
        <v>9.369999999999999</v>
      </c>
      <c r="K1067" s="25" t="n">
        <v>0</v>
      </c>
      <c r="L1067" s="26">
        <f>IF(H1067&lt;=J1067,1,0)</f>
        <v>1</v>
      </c>
    </row>
    <row r="1068">
      <c r="A1068" s="19" t="inlineStr">
        <is>
          <t>QL-177-5</t>
        </is>
      </c>
      <c r="B1068" s="36" t="n">
        <v>45834</v>
      </c>
      <c r="C1068" s="37" t="inlineStr">
        <is>
          <t>进港</t>
        </is>
      </c>
      <c r="D1068" s="19" t="inlineStr">
        <is>
          <t>液体散货</t>
        </is>
      </c>
      <c r="E1068" s="19" t="inlineStr">
        <is>
          <t>国内沿海</t>
        </is>
      </c>
      <c r="F1068" s="19" t="inlineStr">
        <is>
          <t>05号泊位</t>
        </is>
      </c>
      <c r="G1068" s="20" t="n">
        <v>18360</v>
      </c>
      <c r="H1068" s="38" t="n">
        <v>13.42</v>
      </c>
      <c r="I1068" s="38" t="n">
        <v>3.04</v>
      </c>
      <c r="J1068" s="38" t="n">
        <v>12.75</v>
      </c>
      <c r="K1068" s="20" t="n">
        <v>0</v>
      </c>
      <c r="L1068" s="26">
        <f>IF(H1068&lt;=J1068,1,0)</f>
        <v>0</v>
      </c>
    </row>
    <row r="1069">
      <c r="A1069" s="24" t="inlineStr">
        <is>
          <t>QL-177-6</t>
        </is>
      </c>
      <c r="B1069" s="39" t="n">
        <v>45834</v>
      </c>
      <c r="C1069" s="40" t="inlineStr">
        <is>
          <t>进港</t>
        </is>
      </c>
      <c r="D1069" s="24" t="inlineStr">
        <is>
          <t>件杂货</t>
        </is>
      </c>
      <c r="E1069" s="24" t="inlineStr">
        <is>
          <t>欧洲</t>
        </is>
      </c>
      <c r="F1069" s="24" t="inlineStr">
        <is>
          <t>06号泊位</t>
        </is>
      </c>
      <c r="G1069" s="25" t="n">
        <v>2508</v>
      </c>
      <c r="H1069" s="41" t="n">
        <v>3.96</v>
      </c>
      <c r="I1069" s="41" t="n">
        <v>3.38</v>
      </c>
      <c r="J1069" s="41" t="n">
        <v>4.11</v>
      </c>
      <c r="K1069" s="25" t="n">
        <v>0</v>
      </c>
      <c r="L1069" s="26">
        <f>IF(H1069&lt;=J1069,1,0)</f>
        <v>1</v>
      </c>
    </row>
    <row r="1070">
      <c r="A1070" s="19" t="inlineStr">
        <is>
          <t>QL-178-1</t>
        </is>
      </c>
      <c r="B1070" s="36" t="n">
        <v>45835</v>
      </c>
      <c r="C1070" s="37" t="inlineStr">
        <is>
          <t>进港</t>
        </is>
      </c>
      <c r="D1070" s="19" t="inlineStr">
        <is>
          <t>集装箱货物</t>
        </is>
      </c>
      <c r="E1070" s="19" t="inlineStr">
        <is>
          <t>欧洲</t>
        </is>
      </c>
      <c r="F1070" s="19" t="inlineStr">
        <is>
          <t>01号泊位</t>
        </is>
      </c>
      <c r="G1070" s="20" t="n">
        <v>7255</v>
      </c>
      <c r="H1070" s="38" t="n">
        <v>9</v>
      </c>
      <c r="I1070" s="38" t="n">
        <v>4.58</v>
      </c>
      <c r="J1070" s="38" t="n">
        <v>8.06</v>
      </c>
      <c r="K1070" s="20" t="n">
        <v>473</v>
      </c>
      <c r="L1070" s="26">
        <f>IF(H1070&lt;=J1070,1,0)</f>
        <v>0</v>
      </c>
    </row>
    <row r="1071">
      <c r="A1071" s="24" t="inlineStr">
        <is>
          <t>QL-178-2</t>
        </is>
      </c>
      <c r="B1071" s="39" t="n">
        <v>45835</v>
      </c>
      <c r="C1071" s="40" t="inlineStr">
        <is>
          <t>出港</t>
        </is>
      </c>
      <c r="D1071" s="24" t="inlineStr">
        <is>
          <t>金属矿石</t>
        </is>
      </c>
      <c r="E1071" s="24" t="inlineStr">
        <is>
          <t>东亚</t>
        </is>
      </c>
      <c r="F1071" s="24" t="inlineStr">
        <is>
          <t>02号泊位</t>
        </is>
      </c>
      <c r="G1071" s="25" t="n">
        <v>27913</v>
      </c>
      <c r="H1071" s="41" t="n">
        <v>16.05</v>
      </c>
      <c r="I1071" s="41" t="n">
        <v>0.58</v>
      </c>
      <c r="J1071" s="41" t="n">
        <v>18.01</v>
      </c>
      <c r="K1071" s="25" t="n">
        <v>0</v>
      </c>
      <c r="L1071" s="26">
        <f>IF(H1071&lt;=J1071,1,0)</f>
        <v>1</v>
      </c>
    </row>
    <row r="1072">
      <c r="A1072" s="19" t="inlineStr">
        <is>
          <t>QL-178-3</t>
        </is>
      </c>
      <c r="B1072" s="36" t="n">
        <v>45835</v>
      </c>
      <c r="C1072" s="37" t="inlineStr">
        <is>
          <t>进港</t>
        </is>
      </c>
      <c r="D1072" s="19" t="inlineStr">
        <is>
          <t>煤炭</t>
        </is>
      </c>
      <c r="E1072" s="19" t="inlineStr">
        <is>
          <t>欧洲</t>
        </is>
      </c>
      <c r="F1072" s="19" t="inlineStr">
        <is>
          <t>03号泊位</t>
        </is>
      </c>
      <c r="G1072" s="20" t="n">
        <v>11390</v>
      </c>
      <c r="H1072" s="38" t="n">
        <v>9.77</v>
      </c>
      <c r="I1072" s="38" t="n">
        <v>5.32</v>
      </c>
      <c r="J1072" s="38" t="n">
        <v>8.630000000000001</v>
      </c>
      <c r="K1072" s="20" t="n">
        <v>0</v>
      </c>
      <c r="L1072" s="26">
        <f>IF(H1072&lt;=J1072,1,0)</f>
        <v>0</v>
      </c>
    </row>
    <row r="1073">
      <c r="A1073" s="24" t="inlineStr">
        <is>
          <t>QL-178-4</t>
        </is>
      </c>
      <c r="B1073" s="39" t="n">
        <v>45835</v>
      </c>
      <c r="C1073" s="40" t="inlineStr">
        <is>
          <t>进港</t>
        </is>
      </c>
      <c r="D1073" s="24" t="inlineStr">
        <is>
          <t>粮食</t>
        </is>
      </c>
      <c r="E1073" s="24" t="inlineStr">
        <is>
          <t>东亚</t>
        </is>
      </c>
      <c r="F1073" s="24" t="inlineStr">
        <is>
          <t>04号泊位</t>
        </is>
      </c>
      <c r="G1073" s="25" t="n">
        <v>7217</v>
      </c>
      <c r="H1073" s="41" t="n">
        <v>7.32</v>
      </c>
      <c r="I1073" s="41" t="n">
        <v>5.22</v>
      </c>
      <c r="J1073" s="41" t="n">
        <v>7.08</v>
      </c>
      <c r="K1073" s="25" t="n">
        <v>0</v>
      </c>
      <c r="L1073" s="26">
        <f>IF(H1073&lt;=J1073,1,0)</f>
        <v>0</v>
      </c>
    </row>
    <row r="1074">
      <c r="A1074" s="19" t="inlineStr">
        <is>
          <t>QL-178-5</t>
        </is>
      </c>
      <c r="B1074" s="36" t="n">
        <v>45835</v>
      </c>
      <c r="C1074" s="37" t="inlineStr">
        <is>
          <t>出港</t>
        </is>
      </c>
      <c r="D1074" s="19" t="inlineStr">
        <is>
          <t>液体散货</t>
        </is>
      </c>
      <c r="E1074" s="19" t="inlineStr">
        <is>
          <t>国内沿海</t>
        </is>
      </c>
      <c r="F1074" s="19" t="inlineStr">
        <is>
          <t>05号泊位</t>
        </is>
      </c>
      <c r="G1074" s="20" t="n">
        <v>12167</v>
      </c>
      <c r="H1074" s="38" t="n">
        <v>7.31</v>
      </c>
      <c r="I1074" s="38" t="n">
        <v>0.3</v>
      </c>
      <c r="J1074" s="38" t="n">
        <v>8.449999999999999</v>
      </c>
      <c r="K1074" s="20" t="n">
        <v>0</v>
      </c>
      <c r="L1074" s="26">
        <f>IF(H1074&lt;=J1074,1,0)</f>
        <v>1</v>
      </c>
    </row>
    <row r="1075">
      <c r="A1075" s="24" t="inlineStr">
        <is>
          <t>QL-178-6</t>
        </is>
      </c>
      <c r="B1075" s="39" t="n">
        <v>45835</v>
      </c>
      <c r="C1075" s="40" t="inlineStr">
        <is>
          <t>出港</t>
        </is>
      </c>
      <c r="D1075" s="24" t="inlineStr">
        <is>
          <t>件杂货</t>
        </is>
      </c>
      <c r="E1075" s="24" t="inlineStr">
        <is>
          <t>东亚</t>
        </is>
      </c>
      <c r="F1075" s="24" t="inlineStr">
        <is>
          <t>06号泊位</t>
        </is>
      </c>
      <c r="G1075" s="25" t="n">
        <v>4415</v>
      </c>
      <c r="H1075" s="41" t="n">
        <v>6.9</v>
      </c>
      <c r="I1075" s="41" t="n">
        <v>4.98</v>
      </c>
      <c r="J1075" s="41" t="n">
        <v>7.24</v>
      </c>
      <c r="K1075" s="25" t="n">
        <v>0</v>
      </c>
      <c r="L1075" s="26">
        <f>IF(H1075&lt;=J1075,1,0)</f>
        <v>1</v>
      </c>
    </row>
    <row r="1076">
      <c r="A1076" s="19" t="inlineStr">
        <is>
          <t>QL-179-1</t>
        </is>
      </c>
      <c r="B1076" s="36" t="n">
        <v>45836</v>
      </c>
      <c r="C1076" s="37" t="inlineStr">
        <is>
          <t>进港</t>
        </is>
      </c>
      <c r="D1076" s="19" t="inlineStr">
        <is>
          <t>集装箱货物</t>
        </is>
      </c>
      <c r="E1076" s="19" t="inlineStr">
        <is>
          <t>国内沿海</t>
        </is>
      </c>
      <c r="F1076" s="19" t="inlineStr">
        <is>
          <t>01号泊位</t>
        </is>
      </c>
      <c r="G1076" s="20" t="n">
        <v>8543</v>
      </c>
      <c r="H1076" s="38" t="n">
        <v>8.42</v>
      </c>
      <c r="I1076" s="38" t="n">
        <v>3.29</v>
      </c>
      <c r="J1076" s="38" t="n">
        <v>9.49</v>
      </c>
      <c r="K1076" s="20" t="n">
        <v>712</v>
      </c>
      <c r="L1076" s="26">
        <f>IF(H1076&lt;=J1076,1,0)</f>
        <v>1</v>
      </c>
    </row>
    <row r="1077">
      <c r="A1077" s="24" t="inlineStr">
        <is>
          <t>QL-179-2</t>
        </is>
      </c>
      <c r="B1077" s="39" t="n">
        <v>45836</v>
      </c>
      <c r="C1077" s="40" t="inlineStr">
        <is>
          <t>进港</t>
        </is>
      </c>
      <c r="D1077" s="24" t="inlineStr">
        <is>
          <t>金属矿石</t>
        </is>
      </c>
      <c r="E1077" s="24" t="inlineStr">
        <is>
          <t>东亚</t>
        </is>
      </c>
      <c r="F1077" s="24" t="inlineStr">
        <is>
          <t>02号泊位</t>
        </is>
      </c>
      <c r="G1077" s="25" t="n">
        <v>16794</v>
      </c>
      <c r="H1077" s="41" t="n">
        <v>11.31</v>
      </c>
      <c r="I1077" s="41" t="n">
        <v>1.41</v>
      </c>
      <c r="J1077" s="41" t="n">
        <v>10.83</v>
      </c>
      <c r="K1077" s="25" t="n">
        <v>0</v>
      </c>
      <c r="L1077" s="26">
        <f>IF(H1077&lt;=J1077,1,0)</f>
        <v>0</v>
      </c>
    </row>
    <row r="1078">
      <c r="A1078" s="19" t="inlineStr">
        <is>
          <t>QL-179-3</t>
        </is>
      </c>
      <c r="B1078" s="36" t="n">
        <v>45836</v>
      </c>
      <c r="C1078" s="37" t="inlineStr">
        <is>
          <t>进港</t>
        </is>
      </c>
      <c r="D1078" s="19" t="inlineStr">
        <is>
          <t>煤炭</t>
        </is>
      </c>
      <c r="E1078" s="19" t="inlineStr">
        <is>
          <t>东南亚</t>
        </is>
      </c>
      <c r="F1078" s="19" t="inlineStr">
        <is>
          <t>03号泊位</t>
        </is>
      </c>
      <c r="G1078" s="20" t="n">
        <v>14327</v>
      </c>
      <c r="H1078" s="38" t="n">
        <v>10.18</v>
      </c>
      <c r="I1078" s="38" t="n">
        <v>2.92</v>
      </c>
      <c r="J1078" s="38" t="n">
        <v>10.85</v>
      </c>
      <c r="K1078" s="20" t="n">
        <v>0</v>
      </c>
      <c r="L1078" s="26">
        <f>IF(H1078&lt;=J1078,1,0)</f>
        <v>1</v>
      </c>
    </row>
    <row r="1079">
      <c r="A1079" s="24" t="inlineStr">
        <is>
          <t>QL-179-4</t>
        </is>
      </c>
      <c r="B1079" s="39" t="n">
        <v>45836</v>
      </c>
      <c r="C1079" s="40" t="inlineStr">
        <is>
          <t>出港</t>
        </is>
      </c>
      <c r="D1079" s="24" t="inlineStr">
        <is>
          <t>粮食</t>
        </is>
      </c>
      <c r="E1079" s="24" t="inlineStr">
        <is>
          <t>欧洲</t>
        </is>
      </c>
      <c r="F1079" s="24" t="inlineStr">
        <is>
          <t>04号泊位</t>
        </is>
      </c>
      <c r="G1079" s="25" t="n">
        <v>6743</v>
      </c>
      <c r="H1079" s="41" t="n">
        <v>5.62</v>
      </c>
      <c r="I1079" s="41" t="n">
        <v>0.41</v>
      </c>
      <c r="J1079" s="41" t="n">
        <v>6.61</v>
      </c>
      <c r="K1079" s="25" t="n">
        <v>0</v>
      </c>
      <c r="L1079" s="26">
        <f>IF(H1079&lt;=J1079,1,0)</f>
        <v>1</v>
      </c>
    </row>
    <row r="1080">
      <c r="A1080" s="19" t="inlineStr">
        <is>
          <t>QL-179-5</t>
        </is>
      </c>
      <c r="B1080" s="36" t="n">
        <v>45836</v>
      </c>
      <c r="C1080" s="37" t="inlineStr">
        <is>
          <t>进港</t>
        </is>
      </c>
      <c r="D1080" s="19" t="inlineStr">
        <is>
          <t>液体散货</t>
        </is>
      </c>
      <c r="E1080" s="19" t="inlineStr">
        <is>
          <t>东南亚</t>
        </is>
      </c>
      <c r="F1080" s="19" t="inlineStr">
        <is>
          <t>05号泊位</t>
        </is>
      </c>
      <c r="G1080" s="20" t="n">
        <v>10333</v>
      </c>
      <c r="H1080" s="38" t="n">
        <v>6.05</v>
      </c>
      <c r="I1080" s="38" t="n">
        <v>4.91</v>
      </c>
      <c r="J1080" s="38" t="n">
        <v>7.18</v>
      </c>
      <c r="K1080" s="20" t="n">
        <v>0</v>
      </c>
      <c r="L1080" s="26">
        <f>IF(H1080&lt;=J1080,1,0)</f>
        <v>1</v>
      </c>
    </row>
    <row r="1081">
      <c r="A1081" s="24" t="inlineStr">
        <is>
          <t>QL-179-6</t>
        </is>
      </c>
      <c r="B1081" s="39" t="n">
        <v>45836</v>
      </c>
      <c r="C1081" s="40" t="inlineStr">
        <is>
          <t>出港</t>
        </is>
      </c>
      <c r="D1081" s="24" t="inlineStr">
        <is>
          <t>件杂货</t>
        </is>
      </c>
      <c r="E1081" s="24" t="inlineStr">
        <is>
          <t>东南亚</t>
        </is>
      </c>
      <c r="F1081" s="24" t="inlineStr">
        <is>
          <t>06号泊位</t>
        </is>
      </c>
      <c r="G1081" s="25" t="n">
        <v>4222</v>
      </c>
      <c r="H1081" s="41" t="n">
        <v>8.08</v>
      </c>
      <c r="I1081" s="41" t="n">
        <v>2.53</v>
      </c>
      <c r="J1081" s="41" t="n">
        <v>6.92</v>
      </c>
      <c r="K1081" s="25" t="n">
        <v>0</v>
      </c>
      <c r="L1081" s="26">
        <f>IF(H1081&lt;=J1081,1,0)</f>
        <v>0</v>
      </c>
    </row>
    <row r="1082">
      <c r="A1082" s="19" t="inlineStr">
        <is>
          <t>QL-180-1</t>
        </is>
      </c>
      <c r="B1082" s="36" t="n">
        <v>45837</v>
      </c>
      <c r="C1082" s="37" t="inlineStr">
        <is>
          <t>出港</t>
        </is>
      </c>
      <c r="D1082" s="19" t="inlineStr">
        <is>
          <t>集装箱货物</t>
        </is>
      </c>
      <c r="E1082" s="19" t="inlineStr">
        <is>
          <t>东亚</t>
        </is>
      </c>
      <c r="F1082" s="19" t="inlineStr">
        <is>
          <t>01号泊位</t>
        </is>
      </c>
      <c r="G1082" s="20" t="n">
        <v>8823</v>
      </c>
      <c r="H1082" s="38" t="n">
        <v>9.460000000000001</v>
      </c>
      <c r="I1082" s="38" t="n">
        <v>1.55</v>
      </c>
      <c r="J1082" s="38" t="n">
        <v>9.800000000000001</v>
      </c>
      <c r="K1082" s="20" t="n">
        <v>649</v>
      </c>
      <c r="L1082" s="26">
        <f>IF(H1082&lt;=J1082,1,0)</f>
        <v>1</v>
      </c>
    </row>
    <row r="1083">
      <c r="A1083" s="24" t="inlineStr">
        <is>
          <t>QL-180-2</t>
        </is>
      </c>
      <c r="B1083" s="39" t="n">
        <v>45837</v>
      </c>
      <c r="C1083" s="40" t="inlineStr">
        <is>
          <t>进港</t>
        </is>
      </c>
      <c r="D1083" s="24" t="inlineStr">
        <is>
          <t>金属矿石</t>
        </is>
      </c>
      <c r="E1083" s="24" t="inlineStr">
        <is>
          <t>欧洲</t>
        </is>
      </c>
      <c r="F1083" s="24" t="inlineStr">
        <is>
          <t>02号泊位</t>
        </is>
      </c>
      <c r="G1083" s="25" t="n">
        <v>21337</v>
      </c>
      <c r="H1083" s="41" t="n">
        <v>15.73</v>
      </c>
      <c r="I1083" s="41" t="n">
        <v>1.42</v>
      </c>
      <c r="J1083" s="41" t="n">
        <v>13.77</v>
      </c>
      <c r="K1083" s="25" t="n">
        <v>0</v>
      </c>
      <c r="L1083" s="26">
        <f>IF(H1083&lt;=J1083,1,0)</f>
        <v>0</v>
      </c>
    </row>
    <row r="1084">
      <c r="A1084" s="19" t="inlineStr">
        <is>
          <t>QL-180-3</t>
        </is>
      </c>
      <c r="B1084" s="36" t="n">
        <v>45837</v>
      </c>
      <c r="C1084" s="37" t="inlineStr">
        <is>
          <t>进港</t>
        </is>
      </c>
      <c r="D1084" s="19" t="inlineStr">
        <is>
          <t>煤炭</t>
        </is>
      </c>
      <c r="E1084" s="19" t="inlineStr">
        <is>
          <t>东南亚</t>
        </is>
      </c>
      <c r="F1084" s="19" t="inlineStr">
        <is>
          <t>03号泊位</t>
        </is>
      </c>
      <c r="G1084" s="20" t="n">
        <v>16464</v>
      </c>
      <c r="H1084" s="38" t="n">
        <v>12.85</v>
      </c>
      <c r="I1084" s="38" t="n">
        <v>1.93</v>
      </c>
      <c r="J1084" s="38" t="n">
        <v>12.47</v>
      </c>
      <c r="K1084" s="20" t="n">
        <v>0</v>
      </c>
      <c r="L1084" s="26">
        <f>IF(H1084&lt;=J1084,1,0)</f>
        <v>0</v>
      </c>
    </row>
    <row r="1085">
      <c r="A1085" s="24" t="inlineStr">
        <is>
          <t>QL-180-4</t>
        </is>
      </c>
      <c r="B1085" s="39" t="n">
        <v>45837</v>
      </c>
      <c r="C1085" s="40" t="inlineStr">
        <is>
          <t>进港</t>
        </is>
      </c>
      <c r="D1085" s="24" t="inlineStr">
        <is>
          <t>粮食</t>
        </is>
      </c>
      <c r="E1085" s="24" t="inlineStr">
        <is>
          <t>国内沿海</t>
        </is>
      </c>
      <c r="F1085" s="24" t="inlineStr">
        <is>
          <t>04号泊位</t>
        </is>
      </c>
      <c r="G1085" s="25" t="n">
        <v>8525</v>
      </c>
      <c r="H1085" s="41" t="n">
        <v>8.550000000000001</v>
      </c>
      <c r="I1085" s="41" t="n">
        <v>0.48</v>
      </c>
      <c r="J1085" s="41" t="n">
        <v>8.359999999999999</v>
      </c>
      <c r="K1085" s="25" t="n">
        <v>0</v>
      </c>
      <c r="L1085" s="26">
        <f>IF(H1085&lt;=J1085,1,0)</f>
        <v>0</v>
      </c>
    </row>
    <row r="1086">
      <c r="A1086" s="19" t="inlineStr">
        <is>
          <t>QL-180-5</t>
        </is>
      </c>
      <c r="B1086" s="36" t="n">
        <v>45837</v>
      </c>
      <c r="C1086" s="37" t="inlineStr">
        <is>
          <t>进港</t>
        </is>
      </c>
      <c r="D1086" s="19" t="inlineStr">
        <is>
          <t>液体散货</t>
        </is>
      </c>
      <c r="E1086" s="19" t="inlineStr">
        <is>
          <t>国内沿海</t>
        </is>
      </c>
      <c r="F1086" s="19" t="inlineStr">
        <is>
          <t>05号泊位</t>
        </is>
      </c>
      <c r="G1086" s="20" t="n">
        <v>17717</v>
      </c>
      <c r="H1086" s="38" t="n">
        <v>12.74</v>
      </c>
      <c r="I1086" s="38" t="n">
        <v>1.56</v>
      </c>
      <c r="J1086" s="38" t="n">
        <v>12.3</v>
      </c>
      <c r="K1086" s="20" t="n">
        <v>0</v>
      </c>
      <c r="L1086" s="26">
        <f>IF(H1086&lt;=J1086,1,0)</f>
        <v>0</v>
      </c>
    </row>
    <row r="1087">
      <c r="A1087" s="24" t="inlineStr">
        <is>
          <t>QL-180-6</t>
        </is>
      </c>
      <c r="B1087" s="39" t="n">
        <v>45837</v>
      </c>
      <c r="C1087" s="40" t="inlineStr">
        <is>
          <t>出港</t>
        </is>
      </c>
      <c r="D1087" s="24" t="inlineStr">
        <is>
          <t>件杂货</t>
        </is>
      </c>
      <c r="E1087" s="24" t="inlineStr">
        <is>
          <t>欧洲</t>
        </is>
      </c>
      <c r="F1087" s="24" t="inlineStr">
        <is>
          <t>06号泊位</t>
        </is>
      </c>
      <c r="G1087" s="25" t="n">
        <v>5624</v>
      </c>
      <c r="H1087" s="41" t="n">
        <v>10.82</v>
      </c>
      <c r="I1087" s="41" t="n">
        <v>4.72</v>
      </c>
      <c r="J1087" s="41" t="n">
        <v>9.220000000000001</v>
      </c>
      <c r="K1087" s="25" t="n">
        <v>0</v>
      </c>
      <c r="L1087" s="26">
        <f>IF(H1087&lt;=J1087,1,0)</f>
        <v>0</v>
      </c>
    </row>
    <row r="1088">
      <c r="A1088" s="19" t="inlineStr">
        <is>
          <t>QL-181-1</t>
        </is>
      </c>
      <c r="B1088" s="36" t="n">
        <v>45838</v>
      </c>
      <c r="C1088" s="37" t="inlineStr">
        <is>
          <t>进港</t>
        </is>
      </c>
      <c r="D1088" s="19" t="inlineStr">
        <is>
          <t>集装箱货物</t>
        </is>
      </c>
      <c r="E1088" s="19" t="inlineStr">
        <is>
          <t>东亚</t>
        </is>
      </c>
      <c r="F1088" s="19" t="inlineStr">
        <is>
          <t>01号泊位</t>
        </is>
      </c>
      <c r="G1088" s="20" t="n">
        <v>7619</v>
      </c>
      <c r="H1088" s="38" t="n">
        <v>9.16</v>
      </c>
      <c r="I1088" s="38" t="n">
        <v>1.61</v>
      </c>
      <c r="J1088" s="38" t="n">
        <v>8.470000000000001</v>
      </c>
      <c r="K1088" s="20" t="n">
        <v>483</v>
      </c>
      <c r="L1088" s="26">
        <f>IF(H1088&lt;=J1088,1,0)</f>
        <v>0</v>
      </c>
    </row>
    <row r="1089">
      <c r="A1089" s="24" t="inlineStr">
        <is>
          <t>QL-181-2</t>
        </is>
      </c>
      <c r="B1089" s="39" t="n">
        <v>45838</v>
      </c>
      <c r="C1089" s="40" t="inlineStr">
        <is>
          <t>进港</t>
        </is>
      </c>
      <c r="D1089" s="24" t="inlineStr">
        <is>
          <t>金属矿石</t>
        </is>
      </c>
      <c r="E1089" s="24" t="inlineStr">
        <is>
          <t>东亚</t>
        </is>
      </c>
      <c r="F1089" s="24" t="inlineStr">
        <is>
          <t>02号泊位</t>
        </is>
      </c>
      <c r="G1089" s="25" t="n">
        <v>28868</v>
      </c>
      <c r="H1089" s="41" t="n">
        <v>21.29</v>
      </c>
      <c r="I1089" s="41" t="n">
        <v>1.35</v>
      </c>
      <c r="J1089" s="41" t="n">
        <v>18.62</v>
      </c>
      <c r="K1089" s="25" t="n">
        <v>0</v>
      </c>
      <c r="L1089" s="26">
        <f>IF(H1089&lt;=J1089,1,0)</f>
        <v>0</v>
      </c>
    </row>
    <row r="1090">
      <c r="A1090" s="19" t="inlineStr">
        <is>
          <t>QL-181-3</t>
        </is>
      </c>
      <c r="B1090" s="36" t="n">
        <v>45838</v>
      </c>
      <c r="C1090" s="37" t="inlineStr">
        <is>
          <t>进港</t>
        </is>
      </c>
      <c r="D1090" s="19" t="inlineStr">
        <is>
          <t>煤炭</t>
        </is>
      </c>
      <c r="E1090" s="19" t="inlineStr">
        <is>
          <t>东南亚</t>
        </is>
      </c>
      <c r="F1090" s="19" t="inlineStr">
        <is>
          <t>03号泊位</t>
        </is>
      </c>
      <c r="G1090" s="20" t="n">
        <v>20130</v>
      </c>
      <c r="H1090" s="38" t="n">
        <v>16.01</v>
      </c>
      <c r="I1090" s="38" t="n">
        <v>5.67</v>
      </c>
      <c r="J1090" s="38" t="n">
        <v>15.25</v>
      </c>
      <c r="K1090" s="20" t="n">
        <v>0</v>
      </c>
      <c r="L1090" s="26">
        <f>IF(H1090&lt;=J1090,1,0)</f>
        <v>0</v>
      </c>
    </row>
    <row r="1091">
      <c r="A1091" s="24" t="inlineStr">
        <is>
          <t>QL-181-4</t>
        </is>
      </c>
      <c r="B1091" s="39" t="n">
        <v>45838</v>
      </c>
      <c r="C1091" s="40" t="inlineStr">
        <is>
          <t>进港</t>
        </is>
      </c>
      <c r="D1091" s="24" t="inlineStr">
        <is>
          <t>粮食</t>
        </is>
      </c>
      <c r="E1091" s="24" t="inlineStr">
        <is>
          <t>东亚</t>
        </is>
      </c>
      <c r="F1091" s="24" t="inlineStr">
        <is>
          <t>04号泊位</t>
        </is>
      </c>
      <c r="G1091" s="25" t="n">
        <v>7209</v>
      </c>
      <c r="H1091" s="41" t="n">
        <v>7.68</v>
      </c>
      <c r="I1091" s="41" t="n">
        <v>2.75</v>
      </c>
      <c r="J1091" s="41" t="n">
        <v>7.07</v>
      </c>
      <c r="K1091" s="25" t="n">
        <v>0</v>
      </c>
      <c r="L1091" s="26">
        <f>IF(H1091&lt;=J1091,1,0)</f>
        <v>0</v>
      </c>
    </row>
    <row r="1092">
      <c r="A1092" s="19" t="inlineStr">
        <is>
          <t>QL-181-5</t>
        </is>
      </c>
      <c r="B1092" s="36" t="n">
        <v>45838</v>
      </c>
      <c r="C1092" s="37" t="inlineStr">
        <is>
          <t>进港</t>
        </is>
      </c>
      <c r="D1092" s="19" t="inlineStr">
        <is>
          <t>液体散货</t>
        </is>
      </c>
      <c r="E1092" s="19" t="inlineStr">
        <is>
          <t>北美</t>
        </is>
      </c>
      <c r="F1092" s="19" t="inlineStr">
        <is>
          <t>05号泊位</t>
        </is>
      </c>
      <c r="G1092" s="20" t="n">
        <v>9616</v>
      </c>
      <c r="H1092" s="38" t="n">
        <v>6.78</v>
      </c>
      <c r="I1092" s="38" t="n">
        <v>4.5</v>
      </c>
      <c r="J1092" s="38" t="n">
        <v>6.68</v>
      </c>
      <c r="K1092" s="20" t="n">
        <v>0</v>
      </c>
      <c r="L1092" s="26">
        <f>IF(H1092&lt;=J1092,1,0)</f>
        <v>0</v>
      </c>
    </row>
    <row r="1093">
      <c r="A1093" s="24" t="inlineStr">
        <is>
          <t>QL-181-6</t>
        </is>
      </c>
      <c r="B1093" s="39" t="n">
        <v>45838</v>
      </c>
      <c r="C1093" s="40" t="inlineStr">
        <is>
          <t>出港</t>
        </is>
      </c>
      <c r="D1093" s="24" t="inlineStr">
        <is>
          <t>件杂货</t>
        </is>
      </c>
      <c r="E1093" s="24" t="inlineStr">
        <is>
          <t>北美</t>
        </is>
      </c>
      <c r="F1093" s="24" t="inlineStr">
        <is>
          <t>06号泊位</t>
        </is>
      </c>
      <c r="G1093" s="25" t="n">
        <v>5339</v>
      </c>
      <c r="H1093" s="41" t="n">
        <v>7.48</v>
      </c>
      <c r="I1093" s="41" t="n">
        <v>3.26</v>
      </c>
      <c r="J1093" s="41" t="n">
        <v>8.75</v>
      </c>
      <c r="K1093" s="25" t="n">
        <v>0</v>
      </c>
      <c r="L1093" s="26">
        <f>IF(H1093&lt;=J1093,1,0)</f>
        <v>1</v>
      </c>
    </row>
    <row r="1094">
      <c r="A1094" s="19" t="inlineStr">
        <is>
          <t>QL-182-1</t>
        </is>
      </c>
      <c r="B1094" s="36" t="n">
        <v>45839</v>
      </c>
      <c r="C1094" s="37" t="inlineStr">
        <is>
          <t>进港</t>
        </is>
      </c>
      <c r="D1094" s="19" t="inlineStr">
        <is>
          <t>集装箱货物</t>
        </is>
      </c>
      <c r="E1094" s="19" t="inlineStr">
        <is>
          <t>国内沿海</t>
        </is>
      </c>
      <c r="F1094" s="19" t="inlineStr">
        <is>
          <t>01号泊位</t>
        </is>
      </c>
      <c r="G1094" s="20" t="n">
        <v>8591</v>
      </c>
      <c r="H1094" s="38" t="n">
        <v>9.35</v>
      </c>
      <c r="I1094" s="38" t="n">
        <v>0.86</v>
      </c>
      <c r="J1094" s="38" t="n">
        <v>9.550000000000001</v>
      </c>
      <c r="K1094" s="20" t="n">
        <v>552</v>
      </c>
      <c r="L1094" s="26">
        <f>IF(H1094&lt;=J1094,1,0)</f>
        <v>1</v>
      </c>
    </row>
    <row r="1095">
      <c r="A1095" s="24" t="inlineStr">
        <is>
          <t>QL-182-2</t>
        </is>
      </c>
      <c r="B1095" s="39" t="n">
        <v>45839</v>
      </c>
      <c r="C1095" s="40" t="inlineStr">
        <is>
          <t>出港</t>
        </is>
      </c>
      <c r="D1095" s="24" t="inlineStr">
        <is>
          <t>金属矿石</t>
        </is>
      </c>
      <c r="E1095" s="24" t="inlineStr">
        <is>
          <t>东亚</t>
        </is>
      </c>
      <c r="F1095" s="24" t="inlineStr">
        <is>
          <t>02号泊位</t>
        </is>
      </c>
      <c r="G1095" s="25" t="n">
        <v>19721</v>
      </c>
      <c r="H1095" s="41" t="n">
        <v>11.32</v>
      </c>
      <c r="I1095" s="41" t="n">
        <v>0.36</v>
      </c>
      <c r="J1095" s="41" t="n">
        <v>12.72</v>
      </c>
      <c r="K1095" s="25" t="n">
        <v>0</v>
      </c>
      <c r="L1095" s="26">
        <f>IF(H1095&lt;=J1095,1,0)</f>
        <v>1</v>
      </c>
    </row>
    <row r="1096">
      <c r="A1096" s="19" t="inlineStr">
        <is>
          <t>QL-182-3</t>
        </is>
      </c>
      <c r="B1096" s="36" t="n">
        <v>45839</v>
      </c>
      <c r="C1096" s="37" t="inlineStr">
        <is>
          <t>出港</t>
        </is>
      </c>
      <c r="D1096" s="19" t="inlineStr">
        <is>
          <t>煤炭</t>
        </is>
      </c>
      <c r="E1096" s="19" t="inlineStr">
        <is>
          <t>欧洲</t>
        </is>
      </c>
      <c r="F1096" s="19" t="inlineStr">
        <is>
          <t>03号泊位</t>
        </is>
      </c>
      <c r="G1096" s="20" t="n">
        <v>9761</v>
      </c>
      <c r="H1096" s="38" t="n">
        <v>7.17</v>
      </c>
      <c r="I1096" s="38" t="n">
        <v>0.79</v>
      </c>
      <c r="J1096" s="38" t="n">
        <v>7.39</v>
      </c>
      <c r="K1096" s="20" t="n">
        <v>0</v>
      </c>
      <c r="L1096" s="26">
        <f>IF(H1096&lt;=J1096,1,0)</f>
        <v>1</v>
      </c>
    </row>
    <row r="1097">
      <c r="A1097" s="24" t="inlineStr">
        <is>
          <t>QL-182-4</t>
        </is>
      </c>
      <c r="B1097" s="39" t="n">
        <v>45839</v>
      </c>
      <c r="C1097" s="40" t="inlineStr">
        <is>
          <t>进港</t>
        </is>
      </c>
      <c r="D1097" s="24" t="inlineStr">
        <is>
          <t>粮食</t>
        </is>
      </c>
      <c r="E1097" s="24" t="inlineStr">
        <is>
          <t>东南亚</t>
        </is>
      </c>
      <c r="F1097" s="24" t="inlineStr">
        <is>
          <t>04号泊位</t>
        </is>
      </c>
      <c r="G1097" s="25" t="n">
        <v>9478</v>
      </c>
      <c r="H1097" s="41" t="n">
        <v>7.93</v>
      </c>
      <c r="I1097" s="41" t="n">
        <v>1.92</v>
      </c>
      <c r="J1097" s="41" t="n">
        <v>9.289999999999999</v>
      </c>
      <c r="K1097" s="25" t="n">
        <v>0</v>
      </c>
      <c r="L1097" s="26">
        <f>IF(H1097&lt;=J1097,1,0)</f>
        <v>1</v>
      </c>
    </row>
    <row r="1098">
      <c r="A1098" s="19" t="inlineStr">
        <is>
          <t>QL-182-5</t>
        </is>
      </c>
      <c r="B1098" s="36" t="n">
        <v>45839</v>
      </c>
      <c r="C1098" s="37" t="inlineStr">
        <is>
          <t>进港</t>
        </is>
      </c>
      <c r="D1098" s="19" t="inlineStr">
        <is>
          <t>液体散货</t>
        </is>
      </c>
      <c r="E1098" s="19" t="inlineStr">
        <is>
          <t>东南亚</t>
        </is>
      </c>
      <c r="F1098" s="19" t="inlineStr">
        <is>
          <t>05号泊位</t>
        </is>
      </c>
      <c r="G1098" s="20" t="n">
        <v>12840</v>
      </c>
      <c r="H1098" s="38" t="n">
        <v>8.76</v>
      </c>
      <c r="I1098" s="38" t="n">
        <v>3.2</v>
      </c>
      <c r="J1098" s="38" t="n">
        <v>8.92</v>
      </c>
      <c r="K1098" s="20" t="n">
        <v>0</v>
      </c>
      <c r="L1098" s="26">
        <f>IF(H1098&lt;=J1098,1,0)</f>
        <v>1</v>
      </c>
    </row>
    <row r="1099">
      <c r="A1099" s="24" t="inlineStr">
        <is>
          <t>QL-182-6</t>
        </is>
      </c>
      <c r="B1099" s="39" t="n">
        <v>45839</v>
      </c>
      <c r="C1099" s="40" t="inlineStr">
        <is>
          <t>出港</t>
        </is>
      </c>
      <c r="D1099" s="24" t="inlineStr">
        <is>
          <t>件杂货</t>
        </is>
      </c>
      <c r="E1099" s="24" t="inlineStr">
        <is>
          <t>东亚</t>
        </is>
      </c>
      <c r="F1099" s="24" t="inlineStr">
        <is>
          <t>06号泊位</t>
        </is>
      </c>
      <c r="G1099" s="25" t="n">
        <v>4688</v>
      </c>
      <c r="H1099" s="41" t="n">
        <v>7.3</v>
      </c>
      <c r="I1099" s="41" t="n">
        <v>2.83</v>
      </c>
      <c r="J1099" s="41" t="n">
        <v>7.69</v>
      </c>
      <c r="K1099" s="25" t="n">
        <v>0</v>
      </c>
      <c r="L1099" s="26">
        <f>IF(H1099&lt;=J1099,1,0)</f>
        <v>1</v>
      </c>
    </row>
    <row r="1100">
      <c r="A1100" s="19" t="inlineStr">
        <is>
          <t>QL-183-1</t>
        </is>
      </c>
      <c r="B1100" s="36" t="n">
        <v>45840</v>
      </c>
      <c r="C1100" s="37" t="inlineStr">
        <is>
          <t>出港</t>
        </is>
      </c>
      <c r="D1100" s="19" t="inlineStr">
        <is>
          <t>集装箱货物</t>
        </is>
      </c>
      <c r="E1100" s="19" t="inlineStr">
        <is>
          <t>国内沿海</t>
        </is>
      </c>
      <c r="F1100" s="19" t="inlineStr">
        <is>
          <t>01号泊位</t>
        </is>
      </c>
      <c r="G1100" s="20" t="n">
        <v>13270</v>
      </c>
      <c r="H1100" s="38" t="n">
        <v>15.49</v>
      </c>
      <c r="I1100" s="38" t="n">
        <v>0.77</v>
      </c>
      <c r="J1100" s="38" t="n">
        <v>14.74</v>
      </c>
      <c r="K1100" s="20" t="n">
        <v>784</v>
      </c>
      <c r="L1100" s="26">
        <f>IF(H1100&lt;=J1100,1,0)</f>
        <v>0</v>
      </c>
    </row>
    <row r="1101">
      <c r="A1101" s="24" t="inlineStr">
        <is>
          <t>QL-183-2</t>
        </is>
      </c>
      <c r="B1101" s="39" t="n">
        <v>45840</v>
      </c>
      <c r="C1101" s="40" t="inlineStr">
        <is>
          <t>进港</t>
        </is>
      </c>
      <c r="D1101" s="24" t="inlineStr">
        <is>
          <t>金属矿石</t>
        </is>
      </c>
      <c r="E1101" s="24" t="inlineStr">
        <is>
          <t>北美</t>
        </is>
      </c>
      <c r="F1101" s="24" t="inlineStr">
        <is>
          <t>02号泊位</t>
        </is>
      </c>
      <c r="G1101" s="25" t="n">
        <v>43868</v>
      </c>
      <c r="H1101" s="41" t="n">
        <v>27.85</v>
      </c>
      <c r="I1101" s="41" t="n">
        <v>2.05</v>
      </c>
      <c r="J1101" s="41" t="n">
        <v>28.3</v>
      </c>
      <c r="K1101" s="25" t="n">
        <v>0</v>
      </c>
      <c r="L1101" s="26">
        <f>IF(H1101&lt;=J1101,1,0)</f>
        <v>1</v>
      </c>
    </row>
    <row r="1102">
      <c r="A1102" s="19" t="inlineStr">
        <is>
          <t>QL-183-3</t>
        </is>
      </c>
      <c r="B1102" s="36" t="n">
        <v>45840</v>
      </c>
      <c r="C1102" s="37" t="inlineStr">
        <is>
          <t>出港</t>
        </is>
      </c>
      <c r="D1102" s="19" t="inlineStr">
        <is>
          <t>煤炭</t>
        </is>
      </c>
      <c r="E1102" s="19" t="inlineStr">
        <is>
          <t>东南亚</t>
        </is>
      </c>
      <c r="F1102" s="19" t="inlineStr">
        <is>
          <t>03号泊位</t>
        </is>
      </c>
      <c r="G1102" s="20" t="n">
        <v>13858</v>
      </c>
      <c r="H1102" s="38" t="n">
        <v>9.31</v>
      </c>
      <c r="I1102" s="38" t="n">
        <v>1.5</v>
      </c>
      <c r="J1102" s="38" t="n">
        <v>10.5</v>
      </c>
      <c r="K1102" s="20" t="n">
        <v>0</v>
      </c>
      <c r="L1102" s="26">
        <f>IF(H1102&lt;=J1102,1,0)</f>
        <v>1</v>
      </c>
    </row>
    <row r="1103">
      <c r="A1103" s="24" t="inlineStr">
        <is>
          <t>QL-183-4</t>
        </is>
      </c>
      <c r="B1103" s="39" t="n">
        <v>45840</v>
      </c>
      <c r="C1103" s="40" t="inlineStr">
        <is>
          <t>进港</t>
        </is>
      </c>
      <c r="D1103" s="24" t="inlineStr">
        <is>
          <t>粮食</t>
        </is>
      </c>
      <c r="E1103" s="24" t="inlineStr">
        <is>
          <t>东南亚</t>
        </is>
      </c>
      <c r="F1103" s="24" t="inlineStr">
        <is>
          <t>04号泊位</t>
        </is>
      </c>
      <c r="G1103" s="25" t="n">
        <v>3828</v>
      </c>
      <c r="H1103" s="41" t="n">
        <v>3.69</v>
      </c>
      <c r="I1103" s="41" t="n">
        <v>0.8100000000000001</v>
      </c>
      <c r="J1103" s="41" t="n">
        <v>3.75</v>
      </c>
      <c r="K1103" s="25" t="n">
        <v>0</v>
      </c>
      <c r="L1103" s="26">
        <f>IF(H1103&lt;=J1103,1,0)</f>
        <v>1</v>
      </c>
    </row>
    <row r="1104">
      <c r="A1104" s="19" t="inlineStr">
        <is>
          <t>QL-183-5</t>
        </is>
      </c>
      <c r="B1104" s="36" t="n">
        <v>45840</v>
      </c>
      <c r="C1104" s="37" t="inlineStr">
        <is>
          <t>进港</t>
        </is>
      </c>
      <c r="D1104" s="19" t="inlineStr">
        <is>
          <t>液体散货</t>
        </is>
      </c>
      <c r="E1104" s="19" t="inlineStr">
        <is>
          <t>北美</t>
        </is>
      </c>
      <c r="F1104" s="19" t="inlineStr">
        <is>
          <t>05号泊位</t>
        </is>
      </c>
      <c r="G1104" s="20" t="n">
        <v>16511</v>
      </c>
      <c r="H1104" s="38" t="n">
        <v>9.869999999999999</v>
      </c>
      <c r="I1104" s="38" t="n">
        <v>0.88</v>
      </c>
      <c r="J1104" s="38" t="n">
        <v>11.47</v>
      </c>
      <c r="K1104" s="20" t="n">
        <v>0</v>
      </c>
      <c r="L1104" s="26">
        <f>IF(H1104&lt;=J1104,1,0)</f>
        <v>1</v>
      </c>
    </row>
    <row r="1105">
      <c r="A1105" s="24" t="inlineStr">
        <is>
          <t>QL-183-6</t>
        </is>
      </c>
      <c r="B1105" s="39" t="n">
        <v>45840</v>
      </c>
      <c r="C1105" s="40" t="inlineStr">
        <is>
          <t>出港</t>
        </is>
      </c>
      <c r="D1105" s="24" t="inlineStr">
        <is>
          <t>件杂货</t>
        </is>
      </c>
      <c r="E1105" s="24" t="inlineStr">
        <is>
          <t>国内沿海</t>
        </is>
      </c>
      <c r="F1105" s="24" t="inlineStr">
        <is>
          <t>06号泊位</t>
        </is>
      </c>
      <c r="G1105" s="25" t="n">
        <v>6785</v>
      </c>
      <c r="H1105" s="41" t="n">
        <v>11.88</v>
      </c>
      <c r="I1105" s="41" t="n">
        <v>1.55</v>
      </c>
      <c r="J1105" s="41" t="n">
        <v>11.12</v>
      </c>
      <c r="K1105" s="25" t="n">
        <v>0</v>
      </c>
      <c r="L1105" s="26">
        <f>IF(H1105&lt;=J1105,1,0)</f>
        <v>0</v>
      </c>
    </row>
    <row r="1106">
      <c r="A1106" s="19" t="inlineStr">
        <is>
          <t>QL-184-1</t>
        </is>
      </c>
      <c r="B1106" s="36" t="n">
        <v>45841</v>
      </c>
      <c r="C1106" s="37" t="inlineStr">
        <is>
          <t>出港</t>
        </is>
      </c>
      <c r="D1106" s="19" t="inlineStr">
        <is>
          <t>集装箱货物</t>
        </is>
      </c>
      <c r="E1106" s="19" t="inlineStr">
        <is>
          <t>欧洲</t>
        </is>
      </c>
      <c r="F1106" s="19" t="inlineStr">
        <is>
          <t>01号泊位</t>
        </is>
      </c>
      <c r="G1106" s="20" t="n">
        <v>6700</v>
      </c>
      <c r="H1106" s="38" t="n">
        <v>8.25</v>
      </c>
      <c r="I1106" s="38" t="n">
        <v>8.23</v>
      </c>
      <c r="J1106" s="38" t="n">
        <v>7.44</v>
      </c>
      <c r="K1106" s="20" t="n">
        <v>454</v>
      </c>
      <c r="L1106" s="26">
        <f>IF(H1106&lt;=J1106,1,0)</f>
        <v>0</v>
      </c>
    </row>
    <row r="1107">
      <c r="A1107" s="24" t="inlineStr">
        <is>
          <t>QL-184-2</t>
        </is>
      </c>
      <c r="B1107" s="39" t="n">
        <v>45841</v>
      </c>
      <c r="C1107" s="40" t="inlineStr">
        <is>
          <t>进港</t>
        </is>
      </c>
      <c r="D1107" s="24" t="inlineStr">
        <is>
          <t>金属矿石</t>
        </is>
      </c>
      <c r="E1107" s="24" t="inlineStr">
        <is>
          <t>欧洲</t>
        </is>
      </c>
      <c r="F1107" s="24" t="inlineStr">
        <is>
          <t>02号泊位</t>
        </is>
      </c>
      <c r="G1107" s="25" t="n">
        <v>16487</v>
      </c>
      <c r="H1107" s="41" t="n">
        <v>11.36</v>
      </c>
      <c r="I1107" s="41" t="n">
        <v>0.71</v>
      </c>
      <c r="J1107" s="41" t="n">
        <v>10.64</v>
      </c>
      <c r="K1107" s="25" t="n">
        <v>0</v>
      </c>
      <c r="L1107" s="26">
        <f>IF(H1107&lt;=J1107,1,0)</f>
        <v>0</v>
      </c>
    </row>
    <row r="1108">
      <c r="A1108" s="19" t="inlineStr">
        <is>
          <t>QL-184-3</t>
        </is>
      </c>
      <c r="B1108" s="36" t="n">
        <v>45841</v>
      </c>
      <c r="C1108" s="37" t="inlineStr">
        <is>
          <t>进港</t>
        </is>
      </c>
      <c r="D1108" s="19" t="inlineStr">
        <is>
          <t>煤炭</t>
        </is>
      </c>
      <c r="E1108" s="19" t="inlineStr">
        <is>
          <t>东亚</t>
        </is>
      </c>
      <c r="F1108" s="19" t="inlineStr">
        <is>
          <t>03号泊位</t>
        </is>
      </c>
      <c r="G1108" s="20" t="n">
        <v>15066</v>
      </c>
      <c r="H1108" s="38" t="n">
        <v>12.11</v>
      </c>
      <c r="I1108" s="38" t="n">
        <v>12.57</v>
      </c>
      <c r="J1108" s="38" t="n">
        <v>11.41</v>
      </c>
      <c r="K1108" s="20" t="n">
        <v>0</v>
      </c>
      <c r="L1108" s="26">
        <f>IF(H1108&lt;=J1108,1,0)</f>
        <v>0</v>
      </c>
    </row>
    <row r="1109">
      <c r="A1109" s="24" t="inlineStr">
        <is>
          <t>QL-184-4</t>
        </is>
      </c>
      <c r="B1109" s="39" t="n">
        <v>45841</v>
      </c>
      <c r="C1109" s="40" t="inlineStr">
        <is>
          <t>进港</t>
        </is>
      </c>
      <c r="D1109" s="24" t="inlineStr">
        <is>
          <t>粮食</t>
        </is>
      </c>
      <c r="E1109" s="24" t="inlineStr">
        <is>
          <t>东南亚</t>
        </is>
      </c>
      <c r="F1109" s="24" t="inlineStr">
        <is>
          <t>04号泊位</t>
        </is>
      </c>
      <c r="G1109" s="25" t="n">
        <v>9163</v>
      </c>
      <c r="H1109" s="41" t="n">
        <v>7.46</v>
      </c>
      <c r="I1109" s="41" t="n">
        <v>0.78</v>
      </c>
      <c r="J1109" s="41" t="n">
        <v>8.98</v>
      </c>
      <c r="K1109" s="25" t="n">
        <v>0</v>
      </c>
      <c r="L1109" s="26">
        <f>IF(H1109&lt;=J1109,1,0)</f>
        <v>1</v>
      </c>
    </row>
    <row r="1110">
      <c r="A1110" s="19" t="inlineStr">
        <is>
          <t>QL-184-5</t>
        </is>
      </c>
      <c r="B1110" s="36" t="n">
        <v>45841</v>
      </c>
      <c r="C1110" s="37" t="inlineStr">
        <is>
          <t>进港</t>
        </is>
      </c>
      <c r="D1110" s="19" t="inlineStr">
        <is>
          <t>液体散货</t>
        </is>
      </c>
      <c r="E1110" s="19" t="inlineStr">
        <is>
          <t>欧洲</t>
        </is>
      </c>
      <c r="F1110" s="19" t="inlineStr">
        <is>
          <t>05号泊位</t>
        </is>
      </c>
      <c r="G1110" s="20" t="n">
        <v>10623</v>
      </c>
      <c r="H1110" s="38" t="n">
        <v>7.02</v>
      </c>
      <c r="I1110" s="38" t="n">
        <v>0.55</v>
      </c>
      <c r="J1110" s="38" t="n">
        <v>7.38</v>
      </c>
      <c r="K1110" s="20" t="n">
        <v>0</v>
      </c>
      <c r="L1110" s="26">
        <f>IF(H1110&lt;=J1110,1,0)</f>
        <v>1</v>
      </c>
    </row>
    <row r="1111">
      <c r="A1111" s="24" t="inlineStr">
        <is>
          <t>QL-184-6</t>
        </is>
      </c>
      <c r="B1111" s="39" t="n">
        <v>45841</v>
      </c>
      <c r="C1111" s="40" t="inlineStr">
        <is>
          <t>出港</t>
        </is>
      </c>
      <c r="D1111" s="24" t="inlineStr">
        <is>
          <t>件杂货</t>
        </is>
      </c>
      <c r="E1111" s="24" t="inlineStr">
        <is>
          <t>东南亚</t>
        </is>
      </c>
      <c r="F1111" s="24" t="inlineStr">
        <is>
          <t>06号泊位</t>
        </is>
      </c>
      <c r="G1111" s="25" t="n">
        <v>8133</v>
      </c>
      <c r="H1111" s="41" t="n">
        <v>16.13</v>
      </c>
      <c r="I1111" s="41" t="n">
        <v>2.51</v>
      </c>
      <c r="J1111" s="41" t="n">
        <v>13.33</v>
      </c>
      <c r="K1111" s="25" t="n">
        <v>0</v>
      </c>
      <c r="L1111" s="26">
        <f>IF(H1111&lt;=J1111,1,0)</f>
        <v>0</v>
      </c>
    </row>
    <row r="1112">
      <c r="A1112" s="19" t="inlineStr">
        <is>
          <t>QL-185-1</t>
        </is>
      </c>
      <c r="B1112" s="36" t="n">
        <v>45842</v>
      </c>
      <c r="C1112" s="37" t="inlineStr">
        <is>
          <t>进港</t>
        </is>
      </c>
      <c r="D1112" s="19" t="inlineStr">
        <is>
          <t>集装箱货物</t>
        </is>
      </c>
      <c r="E1112" s="19" t="inlineStr">
        <is>
          <t>北美</t>
        </is>
      </c>
      <c r="F1112" s="19" t="inlineStr">
        <is>
          <t>01号泊位</t>
        </is>
      </c>
      <c r="G1112" s="20" t="n">
        <v>11720</v>
      </c>
      <c r="H1112" s="38" t="n">
        <v>15.58</v>
      </c>
      <c r="I1112" s="38" t="n">
        <v>1.88</v>
      </c>
      <c r="J1112" s="38" t="n">
        <v>13.02</v>
      </c>
      <c r="K1112" s="20" t="n">
        <v>810</v>
      </c>
      <c r="L1112" s="26">
        <f>IF(H1112&lt;=J1112,1,0)</f>
        <v>0</v>
      </c>
    </row>
    <row r="1113">
      <c r="A1113" s="24" t="inlineStr">
        <is>
          <t>QL-185-2</t>
        </is>
      </c>
      <c r="B1113" s="39" t="n">
        <v>45842</v>
      </c>
      <c r="C1113" s="40" t="inlineStr">
        <is>
          <t>进港</t>
        </is>
      </c>
      <c r="D1113" s="24" t="inlineStr">
        <is>
          <t>金属矿石</t>
        </is>
      </c>
      <c r="E1113" s="24" t="inlineStr">
        <is>
          <t>国内沿海</t>
        </is>
      </c>
      <c r="F1113" s="24" t="inlineStr">
        <is>
          <t>02号泊位</t>
        </is>
      </c>
      <c r="G1113" s="25" t="n">
        <v>12775</v>
      </c>
      <c r="H1113" s="41" t="n">
        <v>7.43</v>
      </c>
      <c r="I1113" s="41" t="n">
        <v>1.6</v>
      </c>
      <c r="J1113" s="41" t="n">
        <v>8.24</v>
      </c>
      <c r="K1113" s="25" t="n">
        <v>0</v>
      </c>
      <c r="L1113" s="26">
        <f>IF(H1113&lt;=J1113,1,0)</f>
        <v>1</v>
      </c>
    </row>
    <row r="1114">
      <c r="A1114" s="19" t="inlineStr">
        <is>
          <t>QL-185-3</t>
        </is>
      </c>
      <c r="B1114" s="36" t="n">
        <v>45842</v>
      </c>
      <c r="C1114" s="37" t="inlineStr">
        <is>
          <t>进港</t>
        </is>
      </c>
      <c r="D1114" s="19" t="inlineStr">
        <is>
          <t>煤炭</t>
        </is>
      </c>
      <c r="E1114" s="19" t="inlineStr">
        <is>
          <t>东亚</t>
        </is>
      </c>
      <c r="F1114" s="19" t="inlineStr">
        <is>
          <t>03号泊位</t>
        </is>
      </c>
      <c r="G1114" s="20" t="n">
        <v>15820</v>
      </c>
      <c r="H1114" s="38" t="n">
        <v>11.49</v>
      </c>
      <c r="I1114" s="38" t="n">
        <v>0.67</v>
      </c>
      <c r="J1114" s="38" t="n">
        <v>11.98</v>
      </c>
      <c r="K1114" s="20" t="n">
        <v>0</v>
      </c>
      <c r="L1114" s="26">
        <f>IF(H1114&lt;=J1114,1,0)</f>
        <v>1</v>
      </c>
    </row>
    <row r="1115">
      <c r="A1115" s="24" t="inlineStr">
        <is>
          <t>QL-185-4</t>
        </is>
      </c>
      <c r="B1115" s="39" t="n">
        <v>45842</v>
      </c>
      <c r="C1115" s="40" t="inlineStr">
        <is>
          <t>进港</t>
        </is>
      </c>
      <c r="D1115" s="24" t="inlineStr">
        <is>
          <t>粮食</t>
        </is>
      </c>
      <c r="E1115" s="24" t="inlineStr">
        <is>
          <t>东亚</t>
        </is>
      </c>
      <c r="F1115" s="24" t="inlineStr">
        <is>
          <t>04号泊位</t>
        </is>
      </c>
      <c r="G1115" s="25" t="n">
        <v>15524</v>
      </c>
      <c r="H1115" s="41" t="n">
        <v>16.33</v>
      </c>
      <c r="I1115" s="41" t="n">
        <v>4.82</v>
      </c>
      <c r="J1115" s="41" t="n">
        <v>15.22</v>
      </c>
      <c r="K1115" s="25" t="n">
        <v>0</v>
      </c>
      <c r="L1115" s="26">
        <f>IF(H1115&lt;=J1115,1,0)</f>
        <v>0</v>
      </c>
    </row>
    <row r="1116">
      <c r="A1116" s="19" t="inlineStr">
        <is>
          <t>QL-185-5</t>
        </is>
      </c>
      <c r="B1116" s="36" t="n">
        <v>45842</v>
      </c>
      <c r="C1116" s="37" t="inlineStr">
        <is>
          <t>进港</t>
        </is>
      </c>
      <c r="D1116" s="19" t="inlineStr">
        <is>
          <t>液体散货</t>
        </is>
      </c>
      <c r="E1116" s="19" t="inlineStr">
        <is>
          <t>东亚</t>
        </is>
      </c>
      <c r="F1116" s="19" t="inlineStr">
        <is>
          <t>05号泊位</t>
        </is>
      </c>
      <c r="G1116" s="20" t="n">
        <v>9054</v>
      </c>
      <c r="H1116" s="38" t="n">
        <v>6.89</v>
      </c>
      <c r="I1116" s="38" t="n">
        <v>1.95</v>
      </c>
      <c r="J1116" s="38" t="n">
        <v>6.29</v>
      </c>
      <c r="K1116" s="20" t="n">
        <v>0</v>
      </c>
      <c r="L1116" s="26">
        <f>IF(H1116&lt;=J1116,1,0)</f>
        <v>0</v>
      </c>
    </row>
    <row r="1117">
      <c r="A1117" s="24" t="inlineStr">
        <is>
          <t>QL-185-6</t>
        </is>
      </c>
      <c r="B1117" s="39" t="n">
        <v>45842</v>
      </c>
      <c r="C1117" s="40" t="inlineStr">
        <is>
          <t>进港</t>
        </is>
      </c>
      <c r="D1117" s="24" t="inlineStr">
        <is>
          <t>件杂货</t>
        </is>
      </c>
      <c r="E1117" s="24" t="inlineStr">
        <is>
          <t>东亚</t>
        </is>
      </c>
      <c r="F1117" s="24" t="inlineStr">
        <is>
          <t>06号泊位</t>
        </is>
      </c>
      <c r="G1117" s="25" t="n">
        <v>4772</v>
      </c>
      <c r="H1117" s="41" t="n">
        <v>7.79</v>
      </c>
      <c r="I1117" s="41" t="n">
        <v>5.72</v>
      </c>
      <c r="J1117" s="41" t="n">
        <v>7.82</v>
      </c>
      <c r="K1117" s="25" t="n">
        <v>0</v>
      </c>
      <c r="L1117" s="26">
        <f>IF(H1117&lt;=J1117,1,0)</f>
        <v>1</v>
      </c>
    </row>
    <row r="1118">
      <c r="A1118" s="19" t="inlineStr">
        <is>
          <t>QL-186-1</t>
        </is>
      </c>
      <c r="B1118" s="36" t="n">
        <v>45843</v>
      </c>
      <c r="C1118" s="37" t="inlineStr">
        <is>
          <t>出港</t>
        </is>
      </c>
      <c r="D1118" s="19" t="inlineStr">
        <is>
          <t>集装箱货物</t>
        </is>
      </c>
      <c r="E1118" s="19" t="inlineStr">
        <is>
          <t>东南亚</t>
        </is>
      </c>
      <c r="F1118" s="19" t="inlineStr">
        <is>
          <t>01号泊位</t>
        </is>
      </c>
      <c r="G1118" s="20" t="n">
        <v>14303</v>
      </c>
      <c r="H1118" s="38" t="n">
        <v>17.18</v>
      </c>
      <c r="I1118" s="38" t="n">
        <v>1.56</v>
      </c>
      <c r="J1118" s="38" t="n">
        <v>15.89</v>
      </c>
      <c r="K1118" s="20" t="n">
        <v>1015</v>
      </c>
      <c r="L1118" s="26">
        <f>IF(H1118&lt;=J1118,1,0)</f>
        <v>0</v>
      </c>
    </row>
    <row r="1119">
      <c r="A1119" s="24" t="inlineStr">
        <is>
          <t>QL-186-2</t>
        </is>
      </c>
      <c r="B1119" s="39" t="n">
        <v>45843</v>
      </c>
      <c r="C1119" s="40" t="inlineStr">
        <is>
          <t>进港</t>
        </is>
      </c>
      <c r="D1119" s="24" t="inlineStr">
        <is>
          <t>金属矿石</t>
        </is>
      </c>
      <c r="E1119" s="24" t="inlineStr">
        <is>
          <t>北美</t>
        </is>
      </c>
      <c r="F1119" s="24" t="inlineStr">
        <is>
          <t>02号泊位</t>
        </is>
      </c>
      <c r="G1119" s="25" t="n">
        <v>21470</v>
      </c>
      <c r="H1119" s="41" t="n">
        <v>11.37</v>
      </c>
      <c r="I1119" s="41" t="n">
        <v>2.61</v>
      </c>
      <c r="J1119" s="41" t="n">
        <v>13.85</v>
      </c>
      <c r="K1119" s="25" t="n">
        <v>0</v>
      </c>
      <c r="L1119" s="26">
        <f>IF(H1119&lt;=J1119,1,0)</f>
        <v>1</v>
      </c>
    </row>
    <row r="1120">
      <c r="A1120" s="19" t="inlineStr">
        <is>
          <t>QL-186-3</t>
        </is>
      </c>
      <c r="B1120" s="36" t="n">
        <v>45843</v>
      </c>
      <c r="C1120" s="37" t="inlineStr">
        <is>
          <t>进港</t>
        </is>
      </c>
      <c r="D1120" s="19" t="inlineStr">
        <is>
          <t>煤炭</t>
        </is>
      </c>
      <c r="E1120" s="19" t="inlineStr">
        <is>
          <t>国内沿海</t>
        </is>
      </c>
      <c r="F1120" s="19" t="inlineStr">
        <is>
          <t>03号泊位</t>
        </is>
      </c>
      <c r="G1120" s="20" t="n">
        <v>14139</v>
      </c>
      <c r="H1120" s="38" t="n">
        <v>12.15</v>
      </c>
      <c r="I1120" s="38" t="n">
        <v>1.31</v>
      </c>
      <c r="J1120" s="38" t="n">
        <v>10.71</v>
      </c>
      <c r="K1120" s="20" t="n">
        <v>0</v>
      </c>
      <c r="L1120" s="26">
        <f>IF(H1120&lt;=J1120,1,0)</f>
        <v>0</v>
      </c>
    </row>
    <row r="1121">
      <c r="A1121" s="24" t="inlineStr">
        <is>
          <t>QL-186-4</t>
        </is>
      </c>
      <c r="B1121" s="39" t="n">
        <v>45843</v>
      </c>
      <c r="C1121" s="40" t="inlineStr">
        <is>
          <t>出港</t>
        </is>
      </c>
      <c r="D1121" s="24" t="inlineStr">
        <is>
          <t>粮食</t>
        </is>
      </c>
      <c r="E1121" s="24" t="inlineStr">
        <is>
          <t>北美</t>
        </is>
      </c>
      <c r="F1121" s="24" t="inlineStr">
        <is>
          <t>04号泊位</t>
        </is>
      </c>
      <c r="G1121" s="25" t="n">
        <v>8319</v>
      </c>
      <c r="H1121" s="41" t="n">
        <v>6.73</v>
      </c>
      <c r="I1121" s="41" t="n">
        <v>0.3</v>
      </c>
      <c r="J1121" s="41" t="n">
        <v>8.16</v>
      </c>
      <c r="K1121" s="25" t="n">
        <v>0</v>
      </c>
      <c r="L1121" s="26">
        <f>IF(H1121&lt;=J1121,1,0)</f>
        <v>1</v>
      </c>
    </row>
    <row r="1122">
      <c r="A1122" s="19" t="inlineStr">
        <is>
          <t>QL-186-5</t>
        </is>
      </c>
      <c r="B1122" s="36" t="n">
        <v>45843</v>
      </c>
      <c r="C1122" s="37" t="inlineStr">
        <is>
          <t>进港</t>
        </is>
      </c>
      <c r="D1122" s="19" t="inlineStr">
        <is>
          <t>液体散货</t>
        </is>
      </c>
      <c r="E1122" s="19" t="inlineStr">
        <is>
          <t>北美</t>
        </is>
      </c>
      <c r="F1122" s="19" t="inlineStr">
        <is>
          <t>05号泊位</t>
        </is>
      </c>
      <c r="G1122" s="20" t="n">
        <v>23408</v>
      </c>
      <c r="H1122" s="38" t="n">
        <v>16.43</v>
      </c>
      <c r="I1122" s="38" t="n">
        <v>1.54</v>
      </c>
      <c r="J1122" s="38" t="n">
        <v>16.26</v>
      </c>
      <c r="K1122" s="20" t="n">
        <v>0</v>
      </c>
      <c r="L1122" s="26">
        <f>IF(H1122&lt;=J1122,1,0)</f>
        <v>0</v>
      </c>
    </row>
    <row r="1123">
      <c r="A1123" s="24" t="inlineStr">
        <is>
          <t>QL-186-6</t>
        </is>
      </c>
      <c r="B1123" s="39" t="n">
        <v>45843</v>
      </c>
      <c r="C1123" s="40" t="inlineStr">
        <is>
          <t>出港</t>
        </is>
      </c>
      <c r="D1123" s="24" t="inlineStr">
        <is>
          <t>件杂货</t>
        </is>
      </c>
      <c r="E1123" s="24" t="inlineStr">
        <is>
          <t>国内沿海</t>
        </is>
      </c>
      <c r="F1123" s="24" t="inlineStr">
        <is>
          <t>06号泊位</t>
        </is>
      </c>
      <c r="G1123" s="25" t="n">
        <v>4783</v>
      </c>
      <c r="H1123" s="41" t="n">
        <v>7.3</v>
      </c>
      <c r="I1123" s="41" t="n">
        <v>2.42</v>
      </c>
      <c r="J1123" s="41" t="n">
        <v>7.84</v>
      </c>
      <c r="K1123" s="25" t="n">
        <v>0</v>
      </c>
      <c r="L1123" s="26">
        <f>IF(H1123&lt;=J1123,1,0)</f>
        <v>1</v>
      </c>
    </row>
    <row r="1124">
      <c r="A1124" s="19" t="inlineStr">
        <is>
          <t>QL-187-1</t>
        </is>
      </c>
      <c r="B1124" s="36" t="n">
        <v>45844</v>
      </c>
      <c r="C1124" s="37" t="inlineStr">
        <is>
          <t>出港</t>
        </is>
      </c>
      <c r="D1124" s="19" t="inlineStr">
        <is>
          <t>集装箱货物</t>
        </is>
      </c>
      <c r="E1124" s="19" t="inlineStr">
        <is>
          <t>国内沿海</t>
        </is>
      </c>
      <c r="F1124" s="19" t="inlineStr">
        <is>
          <t>01号泊位</t>
        </is>
      </c>
      <c r="G1124" s="20" t="n">
        <v>10822</v>
      </c>
      <c r="H1124" s="38" t="n">
        <v>11.88</v>
      </c>
      <c r="I1124" s="38" t="n">
        <v>1.04</v>
      </c>
      <c r="J1124" s="38" t="n">
        <v>12.02</v>
      </c>
      <c r="K1124" s="20" t="n">
        <v>783</v>
      </c>
      <c r="L1124" s="26">
        <f>IF(H1124&lt;=J1124,1,0)</f>
        <v>1</v>
      </c>
    </row>
    <row r="1125">
      <c r="A1125" s="24" t="inlineStr">
        <is>
          <t>QL-187-2</t>
        </is>
      </c>
      <c r="B1125" s="39" t="n">
        <v>45844</v>
      </c>
      <c r="C1125" s="40" t="inlineStr">
        <is>
          <t>进港</t>
        </is>
      </c>
      <c r="D1125" s="24" t="inlineStr">
        <is>
          <t>金属矿石</t>
        </is>
      </c>
      <c r="E1125" s="24" t="inlineStr">
        <is>
          <t>国内沿海</t>
        </is>
      </c>
      <c r="F1125" s="24" t="inlineStr">
        <is>
          <t>02号泊位</t>
        </is>
      </c>
      <c r="G1125" s="25" t="n">
        <v>27445</v>
      </c>
      <c r="H1125" s="41" t="n">
        <v>19.87</v>
      </c>
      <c r="I1125" s="41" t="n">
        <v>3.1</v>
      </c>
      <c r="J1125" s="41" t="n">
        <v>17.71</v>
      </c>
      <c r="K1125" s="25" t="n">
        <v>0</v>
      </c>
      <c r="L1125" s="26">
        <f>IF(H1125&lt;=J1125,1,0)</f>
        <v>0</v>
      </c>
    </row>
    <row r="1126">
      <c r="A1126" s="19" t="inlineStr">
        <is>
          <t>QL-187-3</t>
        </is>
      </c>
      <c r="B1126" s="36" t="n">
        <v>45844</v>
      </c>
      <c r="C1126" s="37" t="inlineStr">
        <is>
          <t>进港</t>
        </is>
      </c>
      <c r="D1126" s="19" t="inlineStr">
        <is>
          <t>煤炭</t>
        </is>
      </c>
      <c r="E1126" s="19" t="inlineStr">
        <is>
          <t>欧洲</t>
        </is>
      </c>
      <c r="F1126" s="19" t="inlineStr">
        <is>
          <t>03号泊位</t>
        </is>
      </c>
      <c r="G1126" s="20" t="n">
        <v>15102</v>
      </c>
      <c r="H1126" s="38" t="n">
        <v>9.73</v>
      </c>
      <c r="I1126" s="38" t="n">
        <v>1.17</v>
      </c>
      <c r="J1126" s="38" t="n">
        <v>11.44</v>
      </c>
      <c r="K1126" s="20" t="n">
        <v>0</v>
      </c>
      <c r="L1126" s="26">
        <f>IF(H1126&lt;=J1126,1,0)</f>
        <v>1</v>
      </c>
    </row>
    <row r="1127">
      <c r="A1127" s="24" t="inlineStr">
        <is>
          <t>QL-187-4</t>
        </is>
      </c>
      <c r="B1127" s="39" t="n">
        <v>45844</v>
      </c>
      <c r="C1127" s="40" t="inlineStr">
        <is>
          <t>进港</t>
        </is>
      </c>
      <c r="D1127" s="24" t="inlineStr">
        <is>
          <t>粮食</t>
        </is>
      </c>
      <c r="E1127" s="24" t="inlineStr">
        <is>
          <t>北美</t>
        </is>
      </c>
      <c r="F1127" s="24" t="inlineStr">
        <is>
          <t>04号泊位</t>
        </is>
      </c>
      <c r="G1127" s="25" t="n">
        <v>9283</v>
      </c>
      <c r="H1127" s="41" t="n">
        <v>7.91</v>
      </c>
      <c r="I1127" s="41" t="n">
        <v>2.53</v>
      </c>
      <c r="J1127" s="41" t="n">
        <v>9.1</v>
      </c>
      <c r="K1127" s="25" t="n">
        <v>0</v>
      </c>
      <c r="L1127" s="26">
        <f>IF(H1127&lt;=J1127,1,0)</f>
        <v>1</v>
      </c>
    </row>
    <row r="1128">
      <c r="A1128" s="19" t="inlineStr">
        <is>
          <t>QL-187-5</t>
        </is>
      </c>
      <c r="B1128" s="36" t="n">
        <v>45844</v>
      </c>
      <c r="C1128" s="37" t="inlineStr">
        <is>
          <t>出港</t>
        </is>
      </c>
      <c r="D1128" s="19" t="inlineStr">
        <is>
          <t>液体散货</t>
        </is>
      </c>
      <c r="E1128" s="19" t="inlineStr">
        <is>
          <t>欧洲</t>
        </is>
      </c>
      <c r="F1128" s="19" t="inlineStr">
        <is>
          <t>05号泊位</t>
        </is>
      </c>
      <c r="G1128" s="20" t="n">
        <v>13804</v>
      </c>
      <c r="H1128" s="38" t="n">
        <v>10.89</v>
      </c>
      <c r="I1128" s="38" t="n">
        <v>1.48</v>
      </c>
      <c r="J1128" s="38" t="n">
        <v>9.59</v>
      </c>
      <c r="K1128" s="20" t="n">
        <v>0</v>
      </c>
      <c r="L1128" s="26">
        <f>IF(H1128&lt;=J1128,1,0)</f>
        <v>0</v>
      </c>
    </row>
    <row r="1129">
      <c r="A1129" s="24" t="inlineStr">
        <is>
          <t>QL-187-6</t>
        </is>
      </c>
      <c r="B1129" s="39" t="n">
        <v>45844</v>
      </c>
      <c r="C1129" s="40" t="inlineStr">
        <is>
          <t>出港</t>
        </is>
      </c>
      <c r="D1129" s="24" t="inlineStr">
        <is>
          <t>件杂货</t>
        </is>
      </c>
      <c r="E1129" s="24" t="inlineStr">
        <is>
          <t>欧洲</t>
        </is>
      </c>
      <c r="F1129" s="24" t="inlineStr">
        <is>
          <t>06号泊位</t>
        </is>
      </c>
      <c r="G1129" s="25" t="n">
        <v>3678</v>
      </c>
      <c r="H1129" s="41" t="n">
        <v>6.5</v>
      </c>
      <c r="I1129" s="41" t="n">
        <v>5.14</v>
      </c>
      <c r="J1129" s="41" t="n">
        <v>6.03</v>
      </c>
      <c r="K1129" s="25" t="n">
        <v>0</v>
      </c>
      <c r="L1129" s="26">
        <f>IF(H1129&lt;=J1129,1,0)</f>
        <v>0</v>
      </c>
    </row>
    <row r="1130">
      <c r="A1130" s="19" t="inlineStr">
        <is>
          <t>QL-188-1</t>
        </is>
      </c>
      <c r="B1130" s="36" t="n">
        <v>45845</v>
      </c>
      <c r="C1130" s="37" t="inlineStr">
        <is>
          <t>出港</t>
        </is>
      </c>
      <c r="D1130" s="19" t="inlineStr">
        <is>
          <t>集装箱货物</t>
        </is>
      </c>
      <c r="E1130" s="19" t="inlineStr">
        <is>
          <t>北美</t>
        </is>
      </c>
      <c r="F1130" s="19" t="inlineStr">
        <is>
          <t>01号泊位</t>
        </is>
      </c>
      <c r="G1130" s="20" t="n">
        <v>11218</v>
      </c>
      <c r="H1130" s="38" t="n">
        <v>14.35</v>
      </c>
      <c r="I1130" s="38" t="n">
        <v>3.51</v>
      </c>
      <c r="J1130" s="38" t="n">
        <v>12.46</v>
      </c>
      <c r="K1130" s="20" t="n">
        <v>733</v>
      </c>
      <c r="L1130" s="26">
        <f>IF(H1130&lt;=J1130,1,0)</f>
        <v>0</v>
      </c>
    </row>
    <row r="1131">
      <c r="A1131" s="24" t="inlineStr">
        <is>
          <t>QL-188-2</t>
        </is>
      </c>
      <c r="B1131" s="39" t="n">
        <v>45845</v>
      </c>
      <c r="C1131" s="40" t="inlineStr">
        <is>
          <t>进港</t>
        </is>
      </c>
      <c r="D1131" s="24" t="inlineStr">
        <is>
          <t>金属矿石</t>
        </is>
      </c>
      <c r="E1131" s="24" t="inlineStr">
        <is>
          <t>东南亚</t>
        </is>
      </c>
      <c r="F1131" s="24" t="inlineStr">
        <is>
          <t>02号泊位</t>
        </is>
      </c>
      <c r="G1131" s="25" t="n">
        <v>41643</v>
      </c>
      <c r="H1131" s="41" t="n">
        <v>26.29</v>
      </c>
      <c r="I1131" s="41" t="n">
        <v>1.79</v>
      </c>
      <c r="J1131" s="41" t="n">
        <v>26.87</v>
      </c>
      <c r="K1131" s="25" t="n">
        <v>0</v>
      </c>
      <c r="L1131" s="26">
        <f>IF(H1131&lt;=J1131,1,0)</f>
        <v>1</v>
      </c>
    </row>
    <row r="1132">
      <c r="A1132" s="19" t="inlineStr">
        <is>
          <t>QL-188-3</t>
        </is>
      </c>
      <c r="B1132" s="36" t="n">
        <v>45845</v>
      </c>
      <c r="C1132" s="37" t="inlineStr">
        <is>
          <t>进港</t>
        </is>
      </c>
      <c r="D1132" s="19" t="inlineStr">
        <is>
          <t>煤炭</t>
        </is>
      </c>
      <c r="E1132" s="19" t="inlineStr">
        <is>
          <t>东南亚</t>
        </is>
      </c>
      <c r="F1132" s="19" t="inlineStr">
        <is>
          <t>03号泊位</t>
        </is>
      </c>
      <c r="G1132" s="20" t="n">
        <v>11715</v>
      </c>
      <c r="H1132" s="38" t="n">
        <v>8.08</v>
      </c>
      <c r="I1132" s="38" t="n">
        <v>2.14</v>
      </c>
      <c r="J1132" s="38" t="n">
        <v>8.880000000000001</v>
      </c>
      <c r="K1132" s="20" t="n">
        <v>0</v>
      </c>
      <c r="L1132" s="26">
        <f>IF(H1132&lt;=J1132,1,0)</f>
        <v>1</v>
      </c>
    </row>
    <row r="1133">
      <c r="A1133" s="24" t="inlineStr">
        <is>
          <t>QL-188-4</t>
        </is>
      </c>
      <c r="B1133" s="39" t="n">
        <v>45845</v>
      </c>
      <c r="C1133" s="40" t="inlineStr">
        <is>
          <t>进港</t>
        </is>
      </c>
      <c r="D1133" s="24" t="inlineStr">
        <is>
          <t>粮食</t>
        </is>
      </c>
      <c r="E1133" s="24" t="inlineStr">
        <is>
          <t>东亚</t>
        </is>
      </c>
      <c r="F1133" s="24" t="inlineStr">
        <is>
          <t>04号泊位</t>
        </is>
      </c>
      <c r="G1133" s="25" t="n">
        <v>9997</v>
      </c>
      <c r="H1133" s="41" t="n">
        <v>9.91</v>
      </c>
      <c r="I1133" s="41" t="n">
        <v>5.68</v>
      </c>
      <c r="J1133" s="41" t="n">
        <v>9.800000000000001</v>
      </c>
      <c r="K1133" s="25" t="n">
        <v>0</v>
      </c>
      <c r="L1133" s="26">
        <f>IF(H1133&lt;=J1133,1,0)</f>
        <v>0</v>
      </c>
    </row>
    <row r="1134">
      <c r="A1134" s="19" t="inlineStr">
        <is>
          <t>QL-188-5</t>
        </is>
      </c>
      <c r="B1134" s="36" t="n">
        <v>45845</v>
      </c>
      <c r="C1134" s="37" t="inlineStr">
        <is>
          <t>进港</t>
        </is>
      </c>
      <c r="D1134" s="19" t="inlineStr">
        <is>
          <t>液体散货</t>
        </is>
      </c>
      <c r="E1134" s="19" t="inlineStr">
        <is>
          <t>欧洲</t>
        </is>
      </c>
      <c r="F1134" s="19" t="inlineStr">
        <is>
          <t>05号泊位</t>
        </is>
      </c>
      <c r="G1134" s="20" t="n">
        <v>17049</v>
      </c>
      <c r="H1134" s="38" t="n">
        <v>10.23</v>
      </c>
      <c r="I1134" s="38" t="n">
        <v>0.79</v>
      </c>
      <c r="J1134" s="38" t="n">
        <v>11.84</v>
      </c>
      <c r="K1134" s="20" t="n">
        <v>0</v>
      </c>
      <c r="L1134" s="26">
        <f>IF(H1134&lt;=J1134,1,0)</f>
        <v>1</v>
      </c>
    </row>
    <row r="1135">
      <c r="A1135" s="24" t="inlineStr">
        <is>
          <t>QL-188-6</t>
        </is>
      </c>
      <c r="B1135" s="39" t="n">
        <v>45845</v>
      </c>
      <c r="C1135" s="40" t="inlineStr">
        <is>
          <t>进港</t>
        </is>
      </c>
      <c r="D1135" s="24" t="inlineStr">
        <is>
          <t>件杂货</t>
        </is>
      </c>
      <c r="E1135" s="24" t="inlineStr">
        <is>
          <t>国内沿海</t>
        </is>
      </c>
      <c r="F1135" s="24" t="inlineStr">
        <is>
          <t>06号泊位</t>
        </is>
      </c>
      <c r="G1135" s="25" t="n">
        <v>4772</v>
      </c>
      <c r="H1135" s="41" t="n">
        <v>8.09</v>
      </c>
      <c r="I1135" s="41" t="n">
        <v>1.6</v>
      </c>
      <c r="J1135" s="41" t="n">
        <v>7.82</v>
      </c>
      <c r="K1135" s="25" t="n">
        <v>0</v>
      </c>
      <c r="L1135" s="26">
        <f>IF(H1135&lt;=J1135,1,0)</f>
        <v>0</v>
      </c>
    </row>
    <row r="1136">
      <c r="A1136" s="19" t="inlineStr">
        <is>
          <t>QL-189-1</t>
        </is>
      </c>
      <c r="B1136" s="36" t="n">
        <v>45846</v>
      </c>
      <c r="C1136" s="37" t="inlineStr">
        <is>
          <t>出港</t>
        </is>
      </c>
      <c r="D1136" s="19" t="inlineStr">
        <is>
          <t>集装箱货物</t>
        </is>
      </c>
      <c r="E1136" s="19" t="inlineStr">
        <is>
          <t>东南亚</t>
        </is>
      </c>
      <c r="F1136" s="19" t="inlineStr">
        <is>
          <t>01号泊位</t>
        </is>
      </c>
      <c r="G1136" s="20" t="n">
        <v>10036</v>
      </c>
      <c r="H1136" s="38" t="n">
        <v>11.43</v>
      </c>
      <c r="I1136" s="38" t="n">
        <v>6.4</v>
      </c>
      <c r="J1136" s="38" t="n">
        <v>11.15</v>
      </c>
      <c r="K1136" s="20" t="n">
        <v>651</v>
      </c>
      <c r="L1136" s="26">
        <f>IF(H1136&lt;=J1136,1,0)</f>
        <v>0</v>
      </c>
    </row>
    <row r="1137">
      <c r="A1137" s="24" t="inlineStr">
        <is>
          <t>QL-189-2</t>
        </is>
      </c>
      <c r="B1137" s="39" t="n">
        <v>45846</v>
      </c>
      <c r="C1137" s="40" t="inlineStr">
        <is>
          <t>进港</t>
        </is>
      </c>
      <c r="D1137" s="24" t="inlineStr">
        <is>
          <t>金属矿石</t>
        </is>
      </c>
      <c r="E1137" s="24" t="inlineStr">
        <is>
          <t>东南亚</t>
        </is>
      </c>
      <c r="F1137" s="24" t="inlineStr">
        <is>
          <t>02号泊位</t>
        </is>
      </c>
      <c r="G1137" s="25" t="n">
        <v>29905</v>
      </c>
      <c r="H1137" s="41" t="n">
        <v>16.19</v>
      </c>
      <c r="I1137" s="41" t="n">
        <v>0.61</v>
      </c>
      <c r="J1137" s="41" t="n">
        <v>19.29</v>
      </c>
      <c r="K1137" s="25" t="n">
        <v>0</v>
      </c>
      <c r="L1137" s="26">
        <f>IF(H1137&lt;=J1137,1,0)</f>
        <v>1</v>
      </c>
    </row>
    <row r="1138">
      <c r="A1138" s="19" t="inlineStr">
        <is>
          <t>QL-189-3</t>
        </is>
      </c>
      <c r="B1138" s="36" t="n">
        <v>45846</v>
      </c>
      <c r="C1138" s="37" t="inlineStr">
        <is>
          <t>进港</t>
        </is>
      </c>
      <c r="D1138" s="19" t="inlineStr">
        <is>
          <t>煤炭</t>
        </is>
      </c>
      <c r="E1138" s="19" t="inlineStr">
        <is>
          <t>北美</t>
        </is>
      </c>
      <c r="F1138" s="19" t="inlineStr">
        <is>
          <t>03号泊位</t>
        </is>
      </c>
      <c r="G1138" s="20" t="n">
        <v>24251</v>
      </c>
      <c r="H1138" s="38" t="n">
        <v>18.64</v>
      </c>
      <c r="I1138" s="38" t="n">
        <v>3.12</v>
      </c>
      <c r="J1138" s="38" t="n">
        <v>18.37</v>
      </c>
      <c r="K1138" s="20" t="n">
        <v>0</v>
      </c>
      <c r="L1138" s="26">
        <f>IF(H1138&lt;=J1138,1,0)</f>
        <v>0</v>
      </c>
    </row>
    <row r="1139">
      <c r="A1139" s="24" t="inlineStr">
        <is>
          <t>QL-189-4</t>
        </is>
      </c>
      <c r="B1139" s="39" t="n">
        <v>45846</v>
      </c>
      <c r="C1139" s="40" t="inlineStr">
        <is>
          <t>进港</t>
        </is>
      </c>
      <c r="D1139" s="24" t="inlineStr">
        <is>
          <t>粮食</t>
        </is>
      </c>
      <c r="E1139" s="24" t="inlineStr">
        <is>
          <t>东南亚</t>
        </is>
      </c>
      <c r="F1139" s="24" t="inlineStr">
        <is>
          <t>04号泊位</t>
        </is>
      </c>
      <c r="G1139" s="25" t="n">
        <v>6931</v>
      </c>
      <c r="H1139" s="41" t="n">
        <v>5.58</v>
      </c>
      <c r="I1139" s="41" t="n">
        <v>6.09</v>
      </c>
      <c r="J1139" s="41" t="n">
        <v>6.8</v>
      </c>
      <c r="K1139" s="25" t="n">
        <v>0</v>
      </c>
      <c r="L1139" s="26">
        <f>IF(H1139&lt;=J1139,1,0)</f>
        <v>1</v>
      </c>
    </row>
    <row r="1140">
      <c r="A1140" s="19" t="inlineStr">
        <is>
          <t>QL-189-5</t>
        </is>
      </c>
      <c r="B1140" s="36" t="n">
        <v>45846</v>
      </c>
      <c r="C1140" s="37" t="inlineStr">
        <is>
          <t>进港</t>
        </is>
      </c>
      <c r="D1140" s="19" t="inlineStr">
        <is>
          <t>液体散货</t>
        </is>
      </c>
      <c r="E1140" s="19" t="inlineStr">
        <is>
          <t>东南亚</t>
        </is>
      </c>
      <c r="F1140" s="19" t="inlineStr">
        <is>
          <t>05号泊位</t>
        </is>
      </c>
      <c r="G1140" s="20" t="n">
        <v>8247</v>
      </c>
      <c r="H1140" s="38" t="n">
        <v>5.44</v>
      </c>
      <c r="I1140" s="38" t="n">
        <v>2.54</v>
      </c>
      <c r="J1140" s="38" t="n">
        <v>5.73</v>
      </c>
      <c r="K1140" s="20" t="n">
        <v>0</v>
      </c>
      <c r="L1140" s="26">
        <f>IF(H1140&lt;=J1140,1,0)</f>
        <v>1</v>
      </c>
    </row>
    <row r="1141">
      <c r="A1141" s="24" t="inlineStr">
        <is>
          <t>QL-189-6</t>
        </is>
      </c>
      <c r="B1141" s="39" t="n">
        <v>45846</v>
      </c>
      <c r="C1141" s="40" t="inlineStr">
        <is>
          <t>出港</t>
        </is>
      </c>
      <c r="D1141" s="24" t="inlineStr">
        <is>
          <t>件杂货</t>
        </is>
      </c>
      <c r="E1141" s="24" t="inlineStr">
        <is>
          <t>东南亚</t>
        </is>
      </c>
      <c r="F1141" s="24" t="inlineStr">
        <is>
          <t>06号泊位</t>
        </is>
      </c>
      <c r="G1141" s="25" t="n">
        <v>7675</v>
      </c>
      <c r="H1141" s="41" t="n">
        <v>13.5</v>
      </c>
      <c r="I1141" s="41" t="n">
        <v>1.94</v>
      </c>
      <c r="J1141" s="41" t="n">
        <v>12.58</v>
      </c>
      <c r="K1141" s="25" t="n">
        <v>0</v>
      </c>
      <c r="L1141" s="26">
        <f>IF(H1141&lt;=J1141,1,0)</f>
        <v>0</v>
      </c>
    </row>
    <row r="1142">
      <c r="A1142" s="19" t="inlineStr">
        <is>
          <t>QL-190-1</t>
        </is>
      </c>
      <c r="B1142" s="36" t="n">
        <v>45847</v>
      </c>
      <c r="C1142" s="37" t="inlineStr">
        <is>
          <t>出港</t>
        </is>
      </c>
      <c r="D1142" s="19" t="inlineStr">
        <is>
          <t>集装箱货物</t>
        </is>
      </c>
      <c r="E1142" s="19" t="inlineStr">
        <is>
          <t>东亚</t>
        </is>
      </c>
      <c r="F1142" s="19" t="inlineStr">
        <is>
          <t>01号泊位</t>
        </is>
      </c>
      <c r="G1142" s="20" t="n">
        <v>9879</v>
      </c>
      <c r="H1142" s="38" t="n">
        <v>13.01</v>
      </c>
      <c r="I1142" s="38" t="n">
        <v>4.31</v>
      </c>
      <c r="J1142" s="38" t="n">
        <v>10.98</v>
      </c>
      <c r="K1142" s="20" t="n">
        <v>699</v>
      </c>
      <c r="L1142" s="26">
        <f>IF(H1142&lt;=J1142,1,0)</f>
        <v>0</v>
      </c>
    </row>
    <row r="1143">
      <c r="A1143" s="24" t="inlineStr">
        <is>
          <t>QL-190-2</t>
        </is>
      </c>
      <c r="B1143" s="39" t="n">
        <v>45847</v>
      </c>
      <c r="C1143" s="40" t="inlineStr">
        <is>
          <t>进港</t>
        </is>
      </c>
      <c r="D1143" s="24" t="inlineStr">
        <is>
          <t>金属矿石</t>
        </is>
      </c>
      <c r="E1143" s="24" t="inlineStr">
        <is>
          <t>北美</t>
        </is>
      </c>
      <c r="F1143" s="24" t="inlineStr">
        <is>
          <t>02号泊位</t>
        </is>
      </c>
      <c r="G1143" s="25" t="n">
        <v>18541</v>
      </c>
      <c r="H1143" s="41" t="n">
        <v>11.97</v>
      </c>
      <c r="I1143" s="41" t="n">
        <v>0.3</v>
      </c>
      <c r="J1143" s="41" t="n">
        <v>11.96</v>
      </c>
      <c r="K1143" s="25" t="n">
        <v>0</v>
      </c>
      <c r="L1143" s="26">
        <f>IF(H1143&lt;=J1143,1,0)</f>
        <v>0</v>
      </c>
    </row>
    <row r="1144">
      <c r="A1144" s="19" t="inlineStr">
        <is>
          <t>QL-190-3</t>
        </is>
      </c>
      <c r="B1144" s="36" t="n">
        <v>45847</v>
      </c>
      <c r="C1144" s="37" t="inlineStr">
        <is>
          <t>进港</t>
        </is>
      </c>
      <c r="D1144" s="19" t="inlineStr">
        <is>
          <t>煤炭</t>
        </is>
      </c>
      <c r="E1144" s="19" t="inlineStr">
        <is>
          <t>东亚</t>
        </is>
      </c>
      <c r="F1144" s="19" t="inlineStr">
        <is>
          <t>03号泊位</t>
        </is>
      </c>
      <c r="G1144" s="20" t="n">
        <v>14340</v>
      </c>
      <c r="H1144" s="38" t="n">
        <v>9.470000000000001</v>
      </c>
      <c r="I1144" s="38" t="n">
        <v>4.55</v>
      </c>
      <c r="J1144" s="38" t="n">
        <v>10.86</v>
      </c>
      <c r="K1144" s="20" t="n">
        <v>0</v>
      </c>
      <c r="L1144" s="26">
        <f>IF(H1144&lt;=J1144,1,0)</f>
        <v>1</v>
      </c>
    </row>
    <row r="1145">
      <c r="A1145" s="24" t="inlineStr">
        <is>
          <t>QL-190-4</t>
        </is>
      </c>
      <c r="B1145" s="39" t="n">
        <v>45847</v>
      </c>
      <c r="C1145" s="40" t="inlineStr">
        <is>
          <t>进港</t>
        </is>
      </c>
      <c r="D1145" s="24" t="inlineStr">
        <is>
          <t>粮食</t>
        </is>
      </c>
      <c r="E1145" s="24" t="inlineStr">
        <is>
          <t>欧洲</t>
        </is>
      </c>
      <c r="F1145" s="24" t="inlineStr">
        <is>
          <t>04号泊位</t>
        </is>
      </c>
      <c r="G1145" s="25" t="n">
        <v>6663</v>
      </c>
      <c r="H1145" s="41" t="n">
        <v>5.92</v>
      </c>
      <c r="I1145" s="41" t="n">
        <v>4.31</v>
      </c>
      <c r="J1145" s="41" t="n">
        <v>6.53</v>
      </c>
      <c r="K1145" s="25" t="n">
        <v>0</v>
      </c>
      <c r="L1145" s="26">
        <f>IF(H1145&lt;=J1145,1,0)</f>
        <v>1</v>
      </c>
    </row>
    <row r="1146">
      <c r="A1146" s="19" t="inlineStr">
        <is>
          <t>QL-190-5</t>
        </is>
      </c>
      <c r="B1146" s="36" t="n">
        <v>45847</v>
      </c>
      <c r="C1146" s="37" t="inlineStr">
        <is>
          <t>出港</t>
        </is>
      </c>
      <c r="D1146" s="19" t="inlineStr">
        <is>
          <t>液体散货</t>
        </is>
      </c>
      <c r="E1146" s="19" t="inlineStr">
        <is>
          <t>东南亚</t>
        </is>
      </c>
      <c r="F1146" s="19" t="inlineStr">
        <is>
          <t>05号泊位</t>
        </is>
      </c>
      <c r="G1146" s="20" t="n">
        <v>14368</v>
      </c>
      <c r="H1146" s="38" t="n">
        <v>8.67</v>
      </c>
      <c r="I1146" s="38" t="n">
        <v>1.55</v>
      </c>
      <c r="J1146" s="38" t="n">
        <v>9.98</v>
      </c>
      <c r="K1146" s="20" t="n">
        <v>0</v>
      </c>
      <c r="L1146" s="26">
        <f>IF(H1146&lt;=J1146,1,0)</f>
        <v>1</v>
      </c>
    </row>
    <row r="1147">
      <c r="A1147" s="24" t="inlineStr">
        <is>
          <t>QL-190-6</t>
        </is>
      </c>
      <c r="B1147" s="39" t="n">
        <v>45847</v>
      </c>
      <c r="C1147" s="40" t="inlineStr">
        <is>
          <t>出港</t>
        </is>
      </c>
      <c r="D1147" s="24" t="inlineStr">
        <is>
          <t>件杂货</t>
        </is>
      </c>
      <c r="E1147" s="24" t="inlineStr">
        <is>
          <t>北美</t>
        </is>
      </c>
      <c r="F1147" s="24" t="inlineStr">
        <is>
          <t>06号泊位</t>
        </is>
      </c>
      <c r="G1147" s="25" t="n">
        <v>5887</v>
      </c>
      <c r="H1147" s="41" t="n">
        <v>8.19</v>
      </c>
      <c r="I1147" s="41" t="n">
        <v>2.99</v>
      </c>
      <c r="J1147" s="41" t="n">
        <v>9.65</v>
      </c>
      <c r="K1147" s="25" t="n">
        <v>0</v>
      </c>
      <c r="L1147" s="26">
        <f>IF(H1147&lt;=J1147,1,0)</f>
        <v>1</v>
      </c>
    </row>
    <row r="1148">
      <c r="A1148" s="19" t="inlineStr">
        <is>
          <t>QL-191-1</t>
        </is>
      </c>
      <c r="B1148" s="36" t="n">
        <v>45848</v>
      </c>
      <c r="C1148" s="37" t="inlineStr">
        <is>
          <t>进港</t>
        </is>
      </c>
      <c r="D1148" s="19" t="inlineStr">
        <is>
          <t>集装箱货物</t>
        </is>
      </c>
      <c r="E1148" s="19" t="inlineStr">
        <is>
          <t>东亚</t>
        </is>
      </c>
      <c r="F1148" s="19" t="inlineStr">
        <is>
          <t>01号泊位</t>
        </is>
      </c>
      <c r="G1148" s="20" t="n">
        <v>8079</v>
      </c>
      <c r="H1148" s="38" t="n">
        <v>10.85</v>
      </c>
      <c r="I1148" s="38" t="n">
        <v>2.46</v>
      </c>
      <c r="J1148" s="38" t="n">
        <v>8.98</v>
      </c>
      <c r="K1148" s="20" t="n">
        <v>652</v>
      </c>
      <c r="L1148" s="26">
        <f>IF(H1148&lt;=J1148,1,0)</f>
        <v>0</v>
      </c>
    </row>
    <row r="1149">
      <c r="A1149" s="24" t="inlineStr">
        <is>
          <t>QL-191-2</t>
        </is>
      </c>
      <c r="B1149" s="39" t="n">
        <v>45848</v>
      </c>
      <c r="C1149" s="40" t="inlineStr">
        <is>
          <t>进港</t>
        </is>
      </c>
      <c r="D1149" s="24" t="inlineStr">
        <is>
          <t>金属矿石</t>
        </is>
      </c>
      <c r="E1149" s="24" t="inlineStr">
        <is>
          <t>北美</t>
        </is>
      </c>
      <c r="F1149" s="24" t="inlineStr">
        <is>
          <t>02号泊位</t>
        </is>
      </c>
      <c r="G1149" s="25" t="n">
        <v>13600</v>
      </c>
      <c r="H1149" s="41" t="n">
        <v>10.16</v>
      </c>
      <c r="I1149" s="41" t="n">
        <v>1.07</v>
      </c>
      <c r="J1149" s="41" t="n">
        <v>8.77</v>
      </c>
      <c r="K1149" s="25" t="n">
        <v>0</v>
      </c>
      <c r="L1149" s="26">
        <f>IF(H1149&lt;=J1149,1,0)</f>
        <v>0</v>
      </c>
    </row>
    <row r="1150">
      <c r="A1150" s="19" t="inlineStr">
        <is>
          <t>QL-191-3</t>
        </is>
      </c>
      <c r="B1150" s="36" t="n">
        <v>45848</v>
      </c>
      <c r="C1150" s="37" t="inlineStr">
        <is>
          <t>进港</t>
        </is>
      </c>
      <c r="D1150" s="19" t="inlineStr">
        <is>
          <t>煤炭</t>
        </is>
      </c>
      <c r="E1150" s="19" t="inlineStr">
        <is>
          <t>东南亚</t>
        </is>
      </c>
      <c r="F1150" s="19" t="inlineStr">
        <is>
          <t>03号泊位</t>
        </is>
      </c>
      <c r="G1150" s="20" t="n">
        <v>12866</v>
      </c>
      <c r="H1150" s="38" t="n">
        <v>9.76</v>
      </c>
      <c r="I1150" s="38" t="n">
        <v>0.74</v>
      </c>
      <c r="J1150" s="38" t="n">
        <v>9.75</v>
      </c>
      <c r="K1150" s="20" t="n">
        <v>0</v>
      </c>
      <c r="L1150" s="26">
        <f>IF(H1150&lt;=J1150,1,0)</f>
        <v>0</v>
      </c>
    </row>
    <row r="1151">
      <c r="A1151" s="24" t="inlineStr">
        <is>
          <t>QL-191-4</t>
        </is>
      </c>
      <c r="B1151" s="39" t="n">
        <v>45848</v>
      </c>
      <c r="C1151" s="40" t="inlineStr">
        <is>
          <t>出港</t>
        </is>
      </c>
      <c r="D1151" s="24" t="inlineStr">
        <is>
          <t>粮食</t>
        </is>
      </c>
      <c r="E1151" s="24" t="inlineStr">
        <is>
          <t>东亚</t>
        </is>
      </c>
      <c r="F1151" s="24" t="inlineStr">
        <is>
          <t>04号泊位</t>
        </is>
      </c>
      <c r="G1151" s="25" t="n">
        <v>9710</v>
      </c>
      <c r="H1151" s="41" t="n">
        <v>9.92</v>
      </c>
      <c r="I1151" s="41" t="n">
        <v>1.94</v>
      </c>
      <c r="J1151" s="41" t="n">
        <v>9.52</v>
      </c>
      <c r="K1151" s="25" t="n">
        <v>0</v>
      </c>
      <c r="L1151" s="26">
        <f>IF(H1151&lt;=J1151,1,0)</f>
        <v>0</v>
      </c>
    </row>
    <row r="1152">
      <c r="A1152" s="19" t="inlineStr">
        <is>
          <t>QL-191-5</t>
        </is>
      </c>
      <c r="B1152" s="36" t="n">
        <v>45848</v>
      </c>
      <c r="C1152" s="37" t="inlineStr">
        <is>
          <t>出港</t>
        </is>
      </c>
      <c r="D1152" s="19" t="inlineStr">
        <is>
          <t>液体散货</t>
        </is>
      </c>
      <c r="E1152" s="19" t="inlineStr">
        <is>
          <t>国内沿海</t>
        </is>
      </c>
      <c r="F1152" s="19" t="inlineStr">
        <is>
          <t>05号泊位</t>
        </is>
      </c>
      <c r="G1152" s="20" t="n">
        <v>8131</v>
      </c>
      <c r="H1152" s="38" t="n">
        <v>6.41</v>
      </c>
      <c r="I1152" s="38" t="n">
        <v>5.68</v>
      </c>
      <c r="J1152" s="38" t="n">
        <v>5.65</v>
      </c>
      <c r="K1152" s="20" t="n">
        <v>0</v>
      </c>
      <c r="L1152" s="26">
        <f>IF(H1152&lt;=J1152,1,0)</f>
        <v>0</v>
      </c>
    </row>
    <row r="1153">
      <c r="A1153" s="24" t="inlineStr">
        <is>
          <t>QL-191-6</t>
        </is>
      </c>
      <c r="B1153" s="39" t="n">
        <v>45848</v>
      </c>
      <c r="C1153" s="40" t="inlineStr">
        <is>
          <t>进港</t>
        </is>
      </c>
      <c r="D1153" s="24" t="inlineStr">
        <is>
          <t>件杂货</t>
        </is>
      </c>
      <c r="E1153" s="24" t="inlineStr">
        <is>
          <t>国内沿海</t>
        </is>
      </c>
      <c r="F1153" s="24" t="inlineStr">
        <is>
          <t>06号泊位</t>
        </is>
      </c>
      <c r="G1153" s="25" t="n">
        <v>5494</v>
      </c>
      <c r="H1153" s="41" t="n">
        <v>8.41</v>
      </c>
      <c r="I1153" s="41" t="n">
        <v>3.91</v>
      </c>
      <c r="J1153" s="41" t="n">
        <v>9.01</v>
      </c>
      <c r="K1153" s="25" t="n">
        <v>0</v>
      </c>
      <c r="L1153" s="26">
        <f>IF(H1153&lt;=J1153,1,0)</f>
        <v>1</v>
      </c>
    </row>
    <row r="1154">
      <c r="A1154" s="19" t="inlineStr">
        <is>
          <t>QL-192-1</t>
        </is>
      </c>
      <c r="B1154" s="36" t="n">
        <v>45849</v>
      </c>
      <c r="C1154" s="37" t="inlineStr">
        <is>
          <t>进港</t>
        </is>
      </c>
      <c r="D1154" s="19" t="inlineStr">
        <is>
          <t>集装箱货物</t>
        </is>
      </c>
      <c r="E1154" s="19" t="inlineStr">
        <is>
          <t>东亚</t>
        </is>
      </c>
      <c r="F1154" s="19" t="inlineStr">
        <is>
          <t>01号泊位</t>
        </is>
      </c>
      <c r="G1154" s="20" t="n">
        <v>8829</v>
      </c>
      <c r="H1154" s="38" t="n">
        <v>8.85</v>
      </c>
      <c r="I1154" s="38" t="n">
        <v>1.3</v>
      </c>
      <c r="J1154" s="38" t="n">
        <v>9.81</v>
      </c>
      <c r="K1154" s="20" t="n">
        <v>546</v>
      </c>
      <c r="L1154" s="26">
        <f>IF(H1154&lt;=J1154,1,0)</f>
        <v>1</v>
      </c>
    </row>
    <row r="1155">
      <c r="A1155" s="24" t="inlineStr">
        <is>
          <t>QL-192-2</t>
        </is>
      </c>
      <c r="B1155" s="39" t="n">
        <v>45849</v>
      </c>
      <c r="C1155" s="40" t="inlineStr">
        <is>
          <t>出港</t>
        </is>
      </c>
      <c r="D1155" s="24" t="inlineStr">
        <is>
          <t>金属矿石</t>
        </is>
      </c>
      <c r="E1155" s="24" t="inlineStr">
        <is>
          <t>欧洲</t>
        </is>
      </c>
      <c r="F1155" s="24" t="inlineStr">
        <is>
          <t>02号泊位</t>
        </is>
      </c>
      <c r="G1155" s="25" t="n">
        <v>23795</v>
      </c>
      <c r="H1155" s="41" t="n">
        <v>13.4</v>
      </c>
      <c r="I1155" s="41" t="n">
        <v>5.09</v>
      </c>
      <c r="J1155" s="41" t="n">
        <v>15.35</v>
      </c>
      <c r="K1155" s="25" t="n">
        <v>0</v>
      </c>
      <c r="L1155" s="26">
        <f>IF(H1155&lt;=J1155,1,0)</f>
        <v>1</v>
      </c>
    </row>
    <row r="1156">
      <c r="A1156" s="19" t="inlineStr">
        <is>
          <t>QL-192-3</t>
        </is>
      </c>
      <c r="B1156" s="36" t="n">
        <v>45849</v>
      </c>
      <c r="C1156" s="37" t="inlineStr">
        <is>
          <t>进港</t>
        </is>
      </c>
      <c r="D1156" s="19" t="inlineStr">
        <is>
          <t>煤炭</t>
        </is>
      </c>
      <c r="E1156" s="19" t="inlineStr">
        <is>
          <t>国内沿海</t>
        </is>
      </c>
      <c r="F1156" s="19" t="inlineStr">
        <is>
          <t>03号泊位</t>
        </is>
      </c>
      <c r="G1156" s="20" t="n">
        <v>9284</v>
      </c>
      <c r="H1156" s="38" t="n">
        <v>5.8</v>
      </c>
      <c r="I1156" s="38" t="n">
        <v>1.83</v>
      </c>
      <c r="J1156" s="38" t="n">
        <v>7.03</v>
      </c>
      <c r="K1156" s="20" t="n">
        <v>0</v>
      </c>
      <c r="L1156" s="26">
        <f>IF(H1156&lt;=J1156,1,0)</f>
        <v>1</v>
      </c>
    </row>
    <row r="1157">
      <c r="A1157" s="24" t="inlineStr">
        <is>
          <t>QL-192-4</t>
        </is>
      </c>
      <c r="B1157" s="39" t="n">
        <v>45849</v>
      </c>
      <c r="C1157" s="40" t="inlineStr">
        <is>
          <t>进港</t>
        </is>
      </c>
      <c r="D1157" s="24" t="inlineStr">
        <is>
          <t>粮食</t>
        </is>
      </c>
      <c r="E1157" s="24" t="inlineStr">
        <is>
          <t>东亚</t>
        </is>
      </c>
      <c r="F1157" s="24" t="inlineStr">
        <is>
          <t>04号泊位</t>
        </is>
      </c>
      <c r="G1157" s="25" t="n">
        <v>6296</v>
      </c>
      <c r="H1157" s="41" t="n">
        <v>6.01</v>
      </c>
      <c r="I1157" s="41" t="n">
        <v>3.72</v>
      </c>
      <c r="J1157" s="41" t="n">
        <v>6.17</v>
      </c>
      <c r="K1157" s="25" t="n">
        <v>0</v>
      </c>
      <c r="L1157" s="26">
        <f>IF(H1157&lt;=J1157,1,0)</f>
        <v>1</v>
      </c>
    </row>
    <row r="1158">
      <c r="A1158" s="19" t="inlineStr">
        <is>
          <t>QL-192-5</t>
        </is>
      </c>
      <c r="B1158" s="36" t="n">
        <v>45849</v>
      </c>
      <c r="C1158" s="37" t="inlineStr">
        <is>
          <t>进港</t>
        </is>
      </c>
      <c r="D1158" s="19" t="inlineStr">
        <is>
          <t>液体散货</t>
        </is>
      </c>
      <c r="E1158" s="19" t="inlineStr">
        <is>
          <t>东亚</t>
        </is>
      </c>
      <c r="F1158" s="19" t="inlineStr">
        <is>
          <t>05号泊位</t>
        </is>
      </c>
      <c r="G1158" s="20" t="n">
        <v>13406</v>
      </c>
      <c r="H1158" s="38" t="n">
        <v>9.859999999999999</v>
      </c>
      <c r="I1158" s="38" t="n">
        <v>4.08</v>
      </c>
      <c r="J1158" s="38" t="n">
        <v>9.31</v>
      </c>
      <c r="K1158" s="20" t="n">
        <v>0</v>
      </c>
      <c r="L1158" s="26">
        <f>IF(H1158&lt;=J1158,1,0)</f>
        <v>0</v>
      </c>
    </row>
    <row r="1159">
      <c r="A1159" s="24" t="inlineStr">
        <is>
          <t>QL-192-6</t>
        </is>
      </c>
      <c r="B1159" s="39" t="n">
        <v>45849</v>
      </c>
      <c r="C1159" s="40" t="inlineStr">
        <is>
          <t>进港</t>
        </is>
      </c>
      <c r="D1159" s="24" t="inlineStr">
        <is>
          <t>件杂货</t>
        </is>
      </c>
      <c r="E1159" s="24" t="inlineStr">
        <is>
          <t>东亚</t>
        </is>
      </c>
      <c r="F1159" s="24" t="inlineStr">
        <is>
          <t>06号泊位</t>
        </is>
      </c>
      <c r="G1159" s="25" t="n">
        <v>6914</v>
      </c>
      <c r="H1159" s="41" t="n">
        <v>12.9</v>
      </c>
      <c r="I1159" s="41" t="n">
        <v>0.9</v>
      </c>
      <c r="J1159" s="41" t="n">
        <v>11.33</v>
      </c>
      <c r="K1159" s="25" t="n">
        <v>0</v>
      </c>
      <c r="L1159" s="26">
        <f>IF(H1159&lt;=J1159,1,0)</f>
        <v>0</v>
      </c>
    </row>
    <row r="1160">
      <c r="A1160" s="19" t="inlineStr">
        <is>
          <t>QL-193-1</t>
        </is>
      </c>
      <c r="B1160" s="36" t="n">
        <v>45850</v>
      </c>
      <c r="C1160" s="37" t="inlineStr">
        <is>
          <t>出港</t>
        </is>
      </c>
      <c r="D1160" s="19" t="inlineStr">
        <is>
          <t>集装箱货物</t>
        </is>
      </c>
      <c r="E1160" s="19" t="inlineStr">
        <is>
          <t>东南亚</t>
        </is>
      </c>
      <c r="F1160" s="19" t="inlineStr">
        <is>
          <t>01号泊位</t>
        </is>
      </c>
      <c r="G1160" s="20" t="n">
        <v>19283</v>
      </c>
      <c r="H1160" s="38" t="n">
        <v>25.28</v>
      </c>
      <c r="I1160" s="38" t="n">
        <v>3.13</v>
      </c>
      <c r="J1160" s="38" t="n">
        <v>21.43</v>
      </c>
      <c r="K1160" s="20" t="n">
        <v>1280</v>
      </c>
      <c r="L1160" s="26">
        <f>IF(H1160&lt;=J1160,1,0)</f>
        <v>0</v>
      </c>
    </row>
    <row r="1161">
      <c r="A1161" s="24" t="inlineStr">
        <is>
          <t>QL-193-2</t>
        </is>
      </c>
      <c r="B1161" s="39" t="n">
        <v>45850</v>
      </c>
      <c r="C1161" s="40" t="inlineStr">
        <is>
          <t>进港</t>
        </is>
      </c>
      <c r="D1161" s="24" t="inlineStr">
        <is>
          <t>金属矿石</t>
        </is>
      </c>
      <c r="E1161" s="24" t="inlineStr">
        <is>
          <t>欧洲</t>
        </is>
      </c>
      <c r="F1161" s="24" t="inlineStr">
        <is>
          <t>02号泊位</t>
        </is>
      </c>
      <c r="G1161" s="25" t="n">
        <v>16555</v>
      </c>
      <c r="H1161" s="41" t="n">
        <v>11.4</v>
      </c>
      <c r="I1161" s="41" t="n">
        <v>3.19</v>
      </c>
      <c r="J1161" s="41" t="n">
        <v>10.68</v>
      </c>
      <c r="K1161" s="25" t="n">
        <v>0</v>
      </c>
      <c r="L1161" s="26">
        <f>IF(H1161&lt;=J1161,1,0)</f>
        <v>0</v>
      </c>
    </row>
    <row r="1162">
      <c r="A1162" s="19" t="inlineStr">
        <is>
          <t>QL-193-3</t>
        </is>
      </c>
      <c r="B1162" s="36" t="n">
        <v>45850</v>
      </c>
      <c r="C1162" s="37" t="inlineStr">
        <is>
          <t>进港</t>
        </is>
      </c>
      <c r="D1162" s="19" t="inlineStr">
        <is>
          <t>煤炭</t>
        </is>
      </c>
      <c r="E1162" s="19" t="inlineStr">
        <is>
          <t>北美</t>
        </is>
      </c>
      <c r="F1162" s="19" t="inlineStr">
        <is>
          <t>03号泊位</t>
        </is>
      </c>
      <c r="G1162" s="20" t="n">
        <v>13709</v>
      </c>
      <c r="H1162" s="38" t="n">
        <v>9.970000000000001</v>
      </c>
      <c r="I1162" s="38" t="n">
        <v>3.06</v>
      </c>
      <c r="J1162" s="38" t="n">
        <v>10.39</v>
      </c>
      <c r="K1162" s="20" t="n">
        <v>0</v>
      </c>
      <c r="L1162" s="26">
        <f>IF(H1162&lt;=J1162,1,0)</f>
        <v>1</v>
      </c>
    </row>
    <row r="1163">
      <c r="A1163" s="24" t="inlineStr">
        <is>
          <t>QL-193-4</t>
        </is>
      </c>
      <c r="B1163" s="39" t="n">
        <v>45850</v>
      </c>
      <c r="C1163" s="40" t="inlineStr">
        <is>
          <t>出港</t>
        </is>
      </c>
      <c r="D1163" s="24" t="inlineStr">
        <is>
          <t>粮食</t>
        </is>
      </c>
      <c r="E1163" s="24" t="inlineStr">
        <is>
          <t>东亚</t>
        </is>
      </c>
      <c r="F1163" s="24" t="inlineStr">
        <is>
          <t>04号泊位</t>
        </is>
      </c>
      <c r="G1163" s="25" t="n">
        <v>7352</v>
      </c>
      <c r="H1163" s="41" t="n">
        <v>7.41</v>
      </c>
      <c r="I1163" s="41" t="n">
        <v>1.98</v>
      </c>
      <c r="J1163" s="41" t="n">
        <v>7.21</v>
      </c>
      <c r="K1163" s="25" t="n">
        <v>0</v>
      </c>
      <c r="L1163" s="26">
        <f>IF(H1163&lt;=J1163,1,0)</f>
        <v>0</v>
      </c>
    </row>
    <row r="1164">
      <c r="A1164" s="19" t="inlineStr">
        <is>
          <t>QL-193-5</t>
        </is>
      </c>
      <c r="B1164" s="36" t="n">
        <v>45850</v>
      </c>
      <c r="C1164" s="37" t="inlineStr">
        <is>
          <t>出港</t>
        </is>
      </c>
      <c r="D1164" s="19" t="inlineStr">
        <is>
          <t>液体散货</t>
        </is>
      </c>
      <c r="E1164" s="19" t="inlineStr">
        <is>
          <t>国内沿海</t>
        </is>
      </c>
      <c r="F1164" s="19" t="inlineStr">
        <is>
          <t>05号泊位</t>
        </is>
      </c>
      <c r="G1164" s="20" t="n">
        <v>8649</v>
      </c>
      <c r="H1164" s="38" t="n">
        <v>6.49</v>
      </c>
      <c r="I1164" s="38" t="n">
        <v>1.54</v>
      </c>
      <c r="J1164" s="38" t="n">
        <v>6.01</v>
      </c>
      <c r="K1164" s="20" t="n">
        <v>0</v>
      </c>
      <c r="L1164" s="26">
        <f>IF(H1164&lt;=J1164,1,0)</f>
        <v>0</v>
      </c>
    </row>
    <row r="1165">
      <c r="A1165" s="24" t="inlineStr">
        <is>
          <t>QL-193-6</t>
        </is>
      </c>
      <c r="B1165" s="39" t="n">
        <v>45850</v>
      </c>
      <c r="C1165" s="40" t="inlineStr">
        <is>
          <t>进港</t>
        </is>
      </c>
      <c r="D1165" s="24" t="inlineStr">
        <is>
          <t>件杂货</t>
        </is>
      </c>
      <c r="E1165" s="24" t="inlineStr">
        <is>
          <t>国内沿海</t>
        </is>
      </c>
      <c r="F1165" s="24" t="inlineStr">
        <is>
          <t>06号泊位</t>
        </is>
      </c>
      <c r="G1165" s="25" t="n">
        <v>3022</v>
      </c>
      <c r="H1165" s="41" t="n">
        <v>5.21</v>
      </c>
      <c r="I1165" s="41" t="n">
        <v>3.38</v>
      </c>
      <c r="J1165" s="41" t="n">
        <v>4.95</v>
      </c>
      <c r="K1165" s="25" t="n">
        <v>0</v>
      </c>
      <c r="L1165" s="26">
        <f>IF(H1165&lt;=J1165,1,0)</f>
        <v>0</v>
      </c>
    </row>
    <row r="1166">
      <c r="A1166" s="19" t="inlineStr">
        <is>
          <t>QL-194-1</t>
        </is>
      </c>
      <c r="B1166" s="36" t="n">
        <v>45851</v>
      </c>
      <c r="C1166" s="37" t="inlineStr">
        <is>
          <t>出港</t>
        </is>
      </c>
      <c r="D1166" s="19" t="inlineStr">
        <is>
          <t>集装箱货物</t>
        </is>
      </c>
      <c r="E1166" s="19" t="inlineStr">
        <is>
          <t>东南亚</t>
        </is>
      </c>
      <c r="F1166" s="19" t="inlineStr">
        <is>
          <t>01号泊位</t>
        </is>
      </c>
      <c r="G1166" s="20" t="n">
        <v>5189</v>
      </c>
      <c r="H1166" s="38" t="n">
        <v>5.13</v>
      </c>
      <c r="I1166" s="38" t="n">
        <v>2.63</v>
      </c>
      <c r="J1166" s="38" t="n">
        <v>5.77</v>
      </c>
      <c r="K1166" s="20" t="n">
        <v>323</v>
      </c>
      <c r="L1166" s="26">
        <f>IF(H1166&lt;=J1166,1,0)</f>
        <v>1</v>
      </c>
    </row>
    <row r="1167">
      <c r="A1167" s="24" t="inlineStr">
        <is>
          <t>QL-194-2</t>
        </is>
      </c>
      <c r="B1167" s="39" t="n">
        <v>45851</v>
      </c>
      <c r="C1167" s="40" t="inlineStr">
        <is>
          <t>进港</t>
        </is>
      </c>
      <c r="D1167" s="24" t="inlineStr">
        <is>
          <t>金属矿石</t>
        </is>
      </c>
      <c r="E1167" s="24" t="inlineStr">
        <is>
          <t>欧洲</t>
        </is>
      </c>
      <c r="F1167" s="24" t="inlineStr">
        <is>
          <t>02号泊位</t>
        </is>
      </c>
      <c r="G1167" s="25" t="n">
        <v>20089</v>
      </c>
      <c r="H1167" s="41" t="n">
        <v>13</v>
      </c>
      <c r="I1167" s="41" t="n">
        <v>3.61</v>
      </c>
      <c r="J1167" s="41" t="n">
        <v>12.96</v>
      </c>
      <c r="K1167" s="25" t="n">
        <v>0</v>
      </c>
      <c r="L1167" s="26">
        <f>IF(H1167&lt;=J1167,1,0)</f>
        <v>0</v>
      </c>
    </row>
    <row r="1168">
      <c r="A1168" s="19" t="inlineStr">
        <is>
          <t>QL-194-3</t>
        </is>
      </c>
      <c r="B1168" s="36" t="n">
        <v>45851</v>
      </c>
      <c r="C1168" s="37" t="inlineStr">
        <is>
          <t>出港</t>
        </is>
      </c>
      <c r="D1168" s="19" t="inlineStr">
        <is>
          <t>煤炭</t>
        </is>
      </c>
      <c r="E1168" s="19" t="inlineStr">
        <is>
          <t>国内沿海</t>
        </is>
      </c>
      <c r="F1168" s="19" t="inlineStr">
        <is>
          <t>03号泊位</t>
        </is>
      </c>
      <c r="G1168" s="20" t="n">
        <v>14020</v>
      </c>
      <c r="H1168" s="38" t="n">
        <v>10.92</v>
      </c>
      <c r="I1168" s="38" t="n">
        <v>3.47</v>
      </c>
      <c r="J1168" s="38" t="n">
        <v>10.62</v>
      </c>
      <c r="K1168" s="20" t="n">
        <v>0</v>
      </c>
      <c r="L1168" s="26">
        <f>IF(H1168&lt;=J1168,1,0)</f>
        <v>0</v>
      </c>
    </row>
    <row r="1169">
      <c r="A1169" s="24" t="inlineStr">
        <is>
          <t>QL-194-4</t>
        </is>
      </c>
      <c r="B1169" s="39" t="n">
        <v>45851</v>
      </c>
      <c r="C1169" s="40" t="inlineStr">
        <is>
          <t>进港</t>
        </is>
      </c>
      <c r="D1169" s="24" t="inlineStr">
        <is>
          <t>粮食</t>
        </is>
      </c>
      <c r="E1169" s="24" t="inlineStr">
        <is>
          <t>东南亚</t>
        </is>
      </c>
      <c r="F1169" s="24" t="inlineStr">
        <is>
          <t>04号泊位</t>
        </is>
      </c>
      <c r="G1169" s="25" t="n">
        <v>13771</v>
      </c>
      <c r="H1169" s="41" t="n">
        <v>11</v>
      </c>
      <c r="I1169" s="41" t="n">
        <v>3.78</v>
      </c>
      <c r="J1169" s="41" t="n">
        <v>13.5</v>
      </c>
      <c r="K1169" s="25" t="n">
        <v>0</v>
      </c>
      <c r="L1169" s="26">
        <f>IF(H1169&lt;=J1169,1,0)</f>
        <v>1</v>
      </c>
    </row>
    <row r="1170">
      <c r="A1170" s="19" t="inlineStr">
        <is>
          <t>QL-194-5</t>
        </is>
      </c>
      <c r="B1170" s="36" t="n">
        <v>45851</v>
      </c>
      <c r="C1170" s="37" t="inlineStr">
        <is>
          <t>出港</t>
        </is>
      </c>
      <c r="D1170" s="19" t="inlineStr">
        <is>
          <t>液体散货</t>
        </is>
      </c>
      <c r="E1170" s="19" t="inlineStr">
        <is>
          <t>东亚</t>
        </is>
      </c>
      <c r="F1170" s="19" t="inlineStr">
        <is>
          <t>05号泊位</t>
        </is>
      </c>
      <c r="G1170" s="20" t="n">
        <v>9041</v>
      </c>
      <c r="H1170" s="38" t="n">
        <v>6.71</v>
      </c>
      <c r="I1170" s="38" t="n">
        <v>4.48</v>
      </c>
      <c r="J1170" s="38" t="n">
        <v>6.28</v>
      </c>
      <c r="K1170" s="20" t="n">
        <v>0</v>
      </c>
      <c r="L1170" s="26">
        <f>IF(H1170&lt;=J1170,1,0)</f>
        <v>0</v>
      </c>
    </row>
    <row r="1171">
      <c r="A1171" s="24" t="inlineStr">
        <is>
          <t>QL-194-6</t>
        </is>
      </c>
      <c r="B1171" s="39" t="n">
        <v>45851</v>
      </c>
      <c r="C1171" s="40" t="inlineStr">
        <is>
          <t>出港</t>
        </is>
      </c>
      <c r="D1171" s="24" t="inlineStr">
        <is>
          <t>件杂货</t>
        </is>
      </c>
      <c r="E1171" s="24" t="inlineStr">
        <is>
          <t>欧洲</t>
        </is>
      </c>
      <c r="F1171" s="24" t="inlineStr">
        <is>
          <t>06号泊位</t>
        </is>
      </c>
      <c r="G1171" s="25" t="n">
        <v>3715</v>
      </c>
      <c r="H1171" s="41" t="n">
        <v>7.34</v>
      </c>
      <c r="I1171" s="41" t="n">
        <v>5.04</v>
      </c>
      <c r="J1171" s="41" t="n">
        <v>6.09</v>
      </c>
      <c r="K1171" s="25" t="n">
        <v>0</v>
      </c>
      <c r="L1171" s="26">
        <f>IF(H1171&lt;=J1171,1,0)</f>
        <v>0</v>
      </c>
    </row>
    <row r="1172">
      <c r="A1172" s="19" t="inlineStr">
        <is>
          <t>QL-195-1</t>
        </is>
      </c>
      <c r="B1172" s="36" t="n">
        <v>45852</v>
      </c>
      <c r="C1172" s="37" t="inlineStr">
        <is>
          <t>出港</t>
        </is>
      </c>
      <c r="D1172" s="19" t="inlineStr">
        <is>
          <t>集装箱货物</t>
        </is>
      </c>
      <c r="E1172" s="19" t="inlineStr">
        <is>
          <t>国内沿海</t>
        </is>
      </c>
      <c r="F1172" s="19" t="inlineStr">
        <is>
          <t>01号泊位</t>
        </is>
      </c>
      <c r="G1172" s="20" t="n">
        <v>11371</v>
      </c>
      <c r="H1172" s="38" t="n">
        <v>12.84</v>
      </c>
      <c r="I1172" s="38" t="n">
        <v>1.31</v>
      </c>
      <c r="J1172" s="38" t="n">
        <v>12.63</v>
      </c>
      <c r="K1172" s="20" t="n">
        <v>807</v>
      </c>
      <c r="L1172" s="26">
        <f>IF(H1172&lt;=J1172,1,0)</f>
        <v>0</v>
      </c>
    </row>
    <row r="1173">
      <c r="A1173" s="24" t="inlineStr">
        <is>
          <t>QL-195-2</t>
        </is>
      </c>
      <c r="B1173" s="39" t="n">
        <v>45852</v>
      </c>
      <c r="C1173" s="40" t="inlineStr">
        <is>
          <t>进港</t>
        </is>
      </c>
      <c r="D1173" s="24" t="inlineStr">
        <is>
          <t>金属矿石</t>
        </is>
      </c>
      <c r="E1173" s="24" t="inlineStr">
        <is>
          <t>东亚</t>
        </is>
      </c>
      <c r="F1173" s="24" t="inlineStr">
        <is>
          <t>02号泊位</t>
        </is>
      </c>
      <c r="G1173" s="25" t="n">
        <v>31609</v>
      </c>
      <c r="H1173" s="41" t="n">
        <v>22.01</v>
      </c>
      <c r="I1173" s="41" t="n">
        <v>3.15</v>
      </c>
      <c r="J1173" s="41" t="n">
        <v>20.39</v>
      </c>
      <c r="K1173" s="25" t="n">
        <v>0</v>
      </c>
      <c r="L1173" s="26">
        <f>IF(H1173&lt;=J1173,1,0)</f>
        <v>0</v>
      </c>
    </row>
    <row r="1174">
      <c r="A1174" s="19" t="inlineStr">
        <is>
          <t>QL-195-3</t>
        </is>
      </c>
      <c r="B1174" s="36" t="n">
        <v>45852</v>
      </c>
      <c r="C1174" s="37" t="inlineStr">
        <is>
          <t>进港</t>
        </is>
      </c>
      <c r="D1174" s="19" t="inlineStr">
        <is>
          <t>煤炭</t>
        </is>
      </c>
      <c r="E1174" s="19" t="inlineStr">
        <is>
          <t>东南亚</t>
        </is>
      </c>
      <c r="F1174" s="19" t="inlineStr">
        <is>
          <t>03号泊位</t>
        </is>
      </c>
      <c r="G1174" s="20" t="n">
        <v>16181</v>
      </c>
      <c r="H1174" s="38" t="n">
        <v>11.84</v>
      </c>
      <c r="I1174" s="38" t="n">
        <v>0.93</v>
      </c>
      <c r="J1174" s="38" t="n">
        <v>12.26</v>
      </c>
      <c r="K1174" s="20" t="n">
        <v>0</v>
      </c>
      <c r="L1174" s="26">
        <f>IF(H1174&lt;=J1174,1,0)</f>
        <v>1</v>
      </c>
    </row>
    <row r="1175">
      <c r="A1175" s="24" t="inlineStr">
        <is>
          <t>QL-195-4</t>
        </is>
      </c>
      <c r="B1175" s="39" t="n">
        <v>45852</v>
      </c>
      <c r="C1175" s="40" t="inlineStr">
        <is>
          <t>进港</t>
        </is>
      </c>
      <c r="D1175" s="24" t="inlineStr">
        <is>
          <t>粮食</t>
        </is>
      </c>
      <c r="E1175" s="24" t="inlineStr">
        <is>
          <t>欧洲</t>
        </is>
      </c>
      <c r="F1175" s="24" t="inlineStr">
        <is>
          <t>04号泊位</t>
        </is>
      </c>
      <c r="G1175" s="25" t="n">
        <v>5445</v>
      </c>
      <c r="H1175" s="41" t="n">
        <v>4.84</v>
      </c>
      <c r="I1175" s="41" t="n">
        <v>1.47</v>
      </c>
      <c r="J1175" s="41" t="n">
        <v>5.34</v>
      </c>
      <c r="K1175" s="25" t="n">
        <v>0</v>
      </c>
      <c r="L1175" s="26">
        <f>IF(H1175&lt;=J1175,1,0)</f>
        <v>1</v>
      </c>
    </row>
    <row r="1176">
      <c r="A1176" s="19" t="inlineStr">
        <is>
          <t>QL-195-5</t>
        </is>
      </c>
      <c r="B1176" s="36" t="n">
        <v>45852</v>
      </c>
      <c r="C1176" s="37" t="inlineStr">
        <is>
          <t>进港</t>
        </is>
      </c>
      <c r="D1176" s="19" t="inlineStr">
        <is>
          <t>液体散货</t>
        </is>
      </c>
      <c r="E1176" s="19" t="inlineStr">
        <is>
          <t>国内沿海</t>
        </is>
      </c>
      <c r="F1176" s="19" t="inlineStr">
        <is>
          <t>05号泊位</t>
        </is>
      </c>
      <c r="G1176" s="20" t="n">
        <v>11549</v>
      </c>
      <c r="H1176" s="38" t="n">
        <v>7.93</v>
      </c>
      <c r="I1176" s="38" t="n">
        <v>1.43</v>
      </c>
      <c r="J1176" s="38" t="n">
        <v>8.02</v>
      </c>
      <c r="K1176" s="20" t="n">
        <v>0</v>
      </c>
      <c r="L1176" s="26">
        <f>IF(H1176&lt;=J1176,1,0)</f>
        <v>1</v>
      </c>
    </row>
    <row r="1177">
      <c r="A1177" s="24" t="inlineStr">
        <is>
          <t>QL-195-6</t>
        </is>
      </c>
      <c r="B1177" s="39" t="n">
        <v>45852</v>
      </c>
      <c r="C1177" s="40" t="inlineStr">
        <is>
          <t>进港</t>
        </is>
      </c>
      <c r="D1177" s="24" t="inlineStr">
        <is>
          <t>件杂货</t>
        </is>
      </c>
      <c r="E1177" s="24" t="inlineStr">
        <is>
          <t>欧洲</t>
        </is>
      </c>
      <c r="F1177" s="24" t="inlineStr">
        <is>
          <t>06号泊位</t>
        </is>
      </c>
      <c r="G1177" s="25" t="n">
        <v>7163</v>
      </c>
      <c r="H1177" s="41" t="n">
        <v>13.44</v>
      </c>
      <c r="I1177" s="41" t="n">
        <v>1.49</v>
      </c>
      <c r="J1177" s="41" t="n">
        <v>11.74</v>
      </c>
      <c r="K1177" s="25" t="n">
        <v>0</v>
      </c>
      <c r="L1177" s="26">
        <f>IF(H1177&lt;=J1177,1,0)</f>
        <v>0</v>
      </c>
    </row>
    <row r="1178">
      <c r="A1178" s="19" t="inlineStr">
        <is>
          <t>QL-196-1</t>
        </is>
      </c>
      <c r="B1178" s="36" t="n">
        <v>45853</v>
      </c>
      <c r="C1178" s="37" t="inlineStr">
        <is>
          <t>进港</t>
        </is>
      </c>
      <c r="D1178" s="19" t="inlineStr">
        <is>
          <t>集装箱货物</t>
        </is>
      </c>
      <c r="E1178" s="19" t="inlineStr">
        <is>
          <t>欧洲</t>
        </is>
      </c>
      <c r="F1178" s="19" t="inlineStr">
        <is>
          <t>01号泊位</t>
        </is>
      </c>
      <c r="G1178" s="20" t="n">
        <v>7330</v>
      </c>
      <c r="H1178" s="38" t="n">
        <v>9.43</v>
      </c>
      <c r="I1178" s="38" t="n">
        <v>0.3</v>
      </c>
      <c r="J1178" s="38" t="n">
        <v>8.140000000000001</v>
      </c>
      <c r="K1178" s="20" t="n">
        <v>472</v>
      </c>
      <c r="L1178" s="26">
        <f>IF(H1178&lt;=J1178,1,0)</f>
        <v>0</v>
      </c>
    </row>
    <row r="1179">
      <c r="A1179" s="24" t="inlineStr">
        <is>
          <t>QL-196-2</t>
        </is>
      </c>
      <c r="B1179" s="39" t="n">
        <v>45853</v>
      </c>
      <c r="C1179" s="40" t="inlineStr">
        <is>
          <t>出港</t>
        </is>
      </c>
      <c r="D1179" s="24" t="inlineStr">
        <is>
          <t>金属矿石</t>
        </is>
      </c>
      <c r="E1179" s="24" t="inlineStr">
        <is>
          <t>东亚</t>
        </is>
      </c>
      <c r="F1179" s="24" t="inlineStr">
        <is>
          <t>02号泊位</t>
        </is>
      </c>
      <c r="G1179" s="25" t="n">
        <v>31713</v>
      </c>
      <c r="H1179" s="41" t="n">
        <v>20.8</v>
      </c>
      <c r="I1179" s="41" t="n">
        <v>2</v>
      </c>
      <c r="J1179" s="41" t="n">
        <v>20.46</v>
      </c>
      <c r="K1179" s="25" t="n">
        <v>0</v>
      </c>
      <c r="L1179" s="26">
        <f>IF(H1179&lt;=J1179,1,0)</f>
        <v>0</v>
      </c>
    </row>
    <row r="1180">
      <c r="A1180" s="19" t="inlineStr">
        <is>
          <t>QL-196-3</t>
        </is>
      </c>
      <c r="B1180" s="36" t="n">
        <v>45853</v>
      </c>
      <c r="C1180" s="37" t="inlineStr">
        <is>
          <t>进港</t>
        </is>
      </c>
      <c r="D1180" s="19" t="inlineStr">
        <is>
          <t>煤炭</t>
        </is>
      </c>
      <c r="E1180" s="19" t="inlineStr">
        <is>
          <t>东南亚</t>
        </is>
      </c>
      <c r="F1180" s="19" t="inlineStr">
        <is>
          <t>03号泊位</t>
        </is>
      </c>
      <c r="G1180" s="20" t="n">
        <v>15402</v>
      </c>
      <c r="H1180" s="38" t="n">
        <v>11.77</v>
      </c>
      <c r="I1180" s="38" t="n">
        <v>2.07</v>
      </c>
      <c r="J1180" s="38" t="n">
        <v>11.67</v>
      </c>
      <c r="K1180" s="20" t="n">
        <v>0</v>
      </c>
      <c r="L1180" s="26">
        <f>IF(H1180&lt;=J1180,1,0)</f>
        <v>0</v>
      </c>
    </row>
    <row r="1181">
      <c r="A1181" s="24" t="inlineStr">
        <is>
          <t>QL-196-4</t>
        </is>
      </c>
      <c r="B1181" s="39" t="n">
        <v>45853</v>
      </c>
      <c r="C1181" s="40" t="inlineStr">
        <is>
          <t>进港</t>
        </is>
      </c>
      <c r="D1181" s="24" t="inlineStr">
        <is>
          <t>粮食</t>
        </is>
      </c>
      <c r="E1181" s="24" t="inlineStr">
        <is>
          <t>欧洲</t>
        </is>
      </c>
      <c r="F1181" s="24" t="inlineStr">
        <is>
          <t>04号泊位</t>
        </is>
      </c>
      <c r="G1181" s="25" t="n">
        <v>8083</v>
      </c>
      <c r="H1181" s="41" t="n">
        <v>8.67</v>
      </c>
      <c r="I1181" s="41" t="n">
        <v>0.51</v>
      </c>
      <c r="J1181" s="41" t="n">
        <v>7.92</v>
      </c>
      <c r="K1181" s="25" t="n">
        <v>0</v>
      </c>
      <c r="L1181" s="26">
        <f>IF(H1181&lt;=J1181,1,0)</f>
        <v>0</v>
      </c>
    </row>
    <row r="1182">
      <c r="A1182" s="19" t="inlineStr">
        <is>
          <t>QL-196-5</t>
        </is>
      </c>
      <c r="B1182" s="36" t="n">
        <v>45853</v>
      </c>
      <c r="C1182" s="37" t="inlineStr">
        <is>
          <t>出港</t>
        </is>
      </c>
      <c r="D1182" s="19" t="inlineStr">
        <is>
          <t>液体散货</t>
        </is>
      </c>
      <c r="E1182" s="19" t="inlineStr">
        <is>
          <t>国内沿海</t>
        </is>
      </c>
      <c r="F1182" s="19" t="inlineStr">
        <is>
          <t>05号泊位</t>
        </is>
      </c>
      <c r="G1182" s="20" t="n">
        <v>15430</v>
      </c>
      <c r="H1182" s="38" t="n">
        <v>11.26</v>
      </c>
      <c r="I1182" s="38" t="n">
        <v>1.38</v>
      </c>
      <c r="J1182" s="38" t="n">
        <v>10.72</v>
      </c>
      <c r="K1182" s="20" t="n">
        <v>0</v>
      </c>
      <c r="L1182" s="26">
        <f>IF(H1182&lt;=J1182,1,0)</f>
        <v>0</v>
      </c>
    </row>
    <row r="1183">
      <c r="A1183" s="24" t="inlineStr">
        <is>
          <t>QL-196-6</t>
        </is>
      </c>
      <c r="B1183" s="39" t="n">
        <v>45853</v>
      </c>
      <c r="C1183" s="40" t="inlineStr">
        <is>
          <t>进港</t>
        </is>
      </c>
      <c r="D1183" s="24" t="inlineStr">
        <is>
          <t>件杂货</t>
        </is>
      </c>
      <c r="E1183" s="24" t="inlineStr">
        <is>
          <t>东南亚</t>
        </is>
      </c>
      <c r="F1183" s="24" t="inlineStr">
        <is>
          <t>06号泊位</t>
        </is>
      </c>
      <c r="G1183" s="25" t="n">
        <v>4523</v>
      </c>
      <c r="H1183" s="41" t="n">
        <v>6.82</v>
      </c>
      <c r="I1183" s="41" t="n">
        <v>2.2</v>
      </c>
      <c r="J1183" s="41" t="n">
        <v>7.41</v>
      </c>
      <c r="K1183" s="25" t="n">
        <v>0</v>
      </c>
      <c r="L1183" s="26">
        <f>IF(H1183&lt;=J1183,1,0)</f>
        <v>1</v>
      </c>
    </row>
    <row r="1184">
      <c r="A1184" s="19" t="inlineStr">
        <is>
          <t>QL-197-1</t>
        </is>
      </c>
      <c r="B1184" s="36" t="n">
        <v>45854</v>
      </c>
      <c r="C1184" s="37" t="inlineStr">
        <is>
          <t>出港</t>
        </is>
      </c>
      <c r="D1184" s="19" t="inlineStr">
        <is>
          <t>集装箱货物</t>
        </is>
      </c>
      <c r="E1184" s="19" t="inlineStr">
        <is>
          <t>国内沿海</t>
        </is>
      </c>
      <c r="F1184" s="19" t="inlineStr">
        <is>
          <t>01号泊位</t>
        </is>
      </c>
      <c r="G1184" s="20" t="n">
        <v>8156</v>
      </c>
      <c r="H1184" s="38" t="n">
        <v>9.359999999999999</v>
      </c>
      <c r="I1184" s="38" t="n">
        <v>1.64</v>
      </c>
      <c r="J1184" s="38" t="n">
        <v>9.06</v>
      </c>
      <c r="K1184" s="20" t="n">
        <v>527</v>
      </c>
      <c r="L1184" s="26">
        <f>IF(H1184&lt;=J1184,1,0)</f>
        <v>0</v>
      </c>
    </row>
    <row r="1185">
      <c r="A1185" s="24" t="inlineStr">
        <is>
          <t>QL-197-2</t>
        </is>
      </c>
      <c r="B1185" s="39" t="n">
        <v>45854</v>
      </c>
      <c r="C1185" s="40" t="inlineStr">
        <is>
          <t>进港</t>
        </is>
      </c>
      <c r="D1185" s="24" t="inlineStr">
        <is>
          <t>金属矿石</t>
        </is>
      </c>
      <c r="E1185" s="24" t="inlineStr">
        <is>
          <t>东亚</t>
        </is>
      </c>
      <c r="F1185" s="24" t="inlineStr">
        <is>
          <t>02号泊位</t>
        </is>
      </c>
      <c r="G1185" s="25" t="n">
        <v>21858</v>
      </c>
      <c r="H1185" s="41" t="n">
        <v>11.85</v>
      </c>
      <c r="I1185" s="41" t="n">
        <v>3.78</v>
      </c>
      <c r="J1185" s="41" t="n">
        <v>14.1</v>
      </c>
      <c r="K1185" s="25" t="n">
        <v>0</v>
      </c>
      <c r="L1185" s="26">
        <f>IF(H1185&lt;=J1185,1,0)</f>
        <v>1</v>
      </c>
    </row>
    <row r="1186">
      <c r="A1186" s="19" t="inlineStr">
        <is>
          <t>QL-197-3</t>
        </is>
      </c>
      <c r="B1186" s="36" t="n">
        <v>45854</v>
      </c>
      <c r="C1186" s="37" t="inlineStr">
        <is>
          <t>进港</t>
        </is>
      </c>
      <c r="D1186" s="19" t="inlineStr">
        <is>
          <t>煤炭</t>
        </is>
      </c>
      <c r="E1186" s="19" t="inlineStr">
        <is>
          <t>东南亚</t>
        </is>
      </c>
      <c r="F1186" s="19" t="inlineStr">
        <is>
          <t>03号泊位</t>
        </is>
      </c>
      <c r="G1186" s="20" t="n">
        <v>15375</v>
      </c>
      <c r="H1186" s="38" t="n">
        <v>10.02</v>
      </c>
      <c r="I1186" s="38" t="n">
        <v>6.45</v>
      </c>
      <c r="J1186" s="38" t="n">
        <v>11.65</v>
      </c>
      <c r="K1186" s="20" t="n">
        <v>0</v>
      </c>
      <c r="L1186" s="26">
        <f>IF(H1186&lt;=J1186,1,0)</f>
        <v>1</v>
      </c>
    </row>
    <row r="1187">
      <c r="A1187" s="24" t="inlineStr">
        <is>
          <t>QL-197-4</t>
        </is>
      </c>
      <c r="B1187" s="39" t="n">
        <v>45854</v>
      </c>
      <c r="C1187" s="40" t="inlineStr">
        <is>
          <t>进港</t>
        </is>
      </c>
      <c r="D1187" s="24" t="inlineStr">
        <is>
          <t>粮食</t>
        </is>
      </c>
      <c r="E1187" s="24" t="inlineStr">
        <is>
          <t>国内沿海</t>
        </is>
      </c>
      <c r="F1187" s="24" t="inlineStr">
        <is>
          <t>04号泊位</t>
        </is>
      </c>
      <c r="G1187" s="25" t="n">
        <v>12231</v>
      </c>
      <c r="H1187" s="41" t="n">
        <v>12.05</v>
      </c>
      <c r="I1187" s="41" t="n">
        <v>0.8</v>
      </c>
      <c r="J1187" s="41" t="n">
        <v>11.99</v>
      </c>
      <c r="K1187" s="25" t="n">
        <v>0</v>
      </c>
      <c r="L1187" s="26">
        <f>IF(H1187&lt;=J1187,1,0)</f>
        <v>0</v>
      </c>
    </row>
    <row r="1188">
      <c r="A1188" s="19" t="inlineStr">
        <is>
          <t>QL-197-5</t>
        </is>
      </c>
      <c r="B1188" s="36" t="n">
        <v>45854</v>
      </c>
      <c r="C1188" s="37" t="inlineStr">
        <is>
          <t>出港</t>
        </is>
      </c>
      <c r="D1188" s="19" t="inlineStr">
        <is>
          <t>液体散货</t>
        </is>
      </c>
      <c r="E1188" s="19" t="inlineStr">
        <is>
          <t>东南亚</t>
        </is>
      </c>
      <c r="F1188" s="19" t="inlineStr">
        <is>
          <t>05号泊位</t>
        </is>
      </c>
      <c r="G1188" s="20" t="n">
        <v>11977</v>
      </c>
      <c r="H1188" s="38" t="n">
        <v>7.08</v>
      </c>
      <c r="I1188" s="38" t="n">
        <v>4.92</v>
      </c>
      <c r="J1188" s="38" t="n">
        <v>8.32</v>
      </c>
      <c r="K1188" s="20" t="n">
        <v>0</v>
      </c>
      <c r="L1188" s="26">
        <f>IF(H1188&lt;=J1188,1,0)</f>
        <v>1</v>
      </c>
    </row>
    <row r="1189">
      <c r="A1189" s="24" t="inlineStr">
        <is>
          <t>QL-197-6</t>
        </is>
      </c>
      <c r="B1189" s="39" t="n">
        <v>45854</v>
      </c>
      <c r="C1189" s="40" t="inlineStr">
        <is>
          <t>出港</t>
        </is>
      </c>
      <c r="D1189" s="24" t="inlineStr">
        <is>
          <t>件杂货</t>
        </is>
      </c>
      <c r="E1189" s="24" t="inlineStr">
        <is>
          <t>东南亚</t>
        </is>
      </c>
      <c r="F1189" s="24" t="inlineStr">
        <is>
          <t>06号泊位</t>
        </is>
      </c>
      <c r="G1189" s="25" t="n">
        <v>7006</v>
      </c>
      <c r="H1189" s="41" t="n">
        <v>13.01</v>
      </c>
      <c r="I1189" s="41" t="n">
        <v>4.16</v>
      </c>
      <c r="J1189" s="41" t="n">
        <v>11.49</v>
      </c>
      <c r="K1189" s="25" t="n">
        <v>0</v>
      </c>
      <c r="L1189" s="26">
        <f>IF(H1189&lt;=J1189,1,0)</f>
        <v>0</v>
      </c>
    </row>
    <row r="1190">
      <c r="A1190" s="19" t="inlineStr">
        <is>
          <t>QL-198-1</t>
        </is>
      </c>
      <c r="B1190" s="36" t="n">
        <v>45855</v>
      </c>
      <c r="C1190" s="37" t="inlineStr">
        <is>
          <t>出港</t>
        </is>
      </c>
      <c r="D1190" s="19" t="inlineStr">
        <is>
          <t>集装箱货物</t>
        </is>
      </c>
      <c r="E1190" s="19" t="inlineStr">
        <is>
          <t>国内沿海</t>
        </is>
      </c>
      <c r="F1190" s="19" t="inlineStr">
        <is>
          <t>01号泊位</t>
        </is>
      </c>
      <c r="G1190" s="20" t="n">
        <v>11674</v>
      </c>
      <c r="H1190" s="38" t="n">
        <v>14.4</v>
      </c>
      <c r="I1190" s="38" t="n">
        <v>1.46</v>
      </c>
      <c r="J1190" s="38" t="n">
        <v>12.97</v>
      </c>
      <c r="K1190" s="20" t="n">
        <v>761</v>
      </c>
      <c r="L1190" s="26">
        <f>IF(H1190&lt;=J1190,1,0)</f>
        <v>0</v>
      </c>
    </row>
    <row r="1191">
      <c r="A1191" s="24" t="inlineStr">
        <is>
          <t>QL-198-2</t>
        </is>
      </c>
      <c r="B1191" s="39" t="n">
        <v>45855</v>
      </c>
      <c r="C1191" s="40" t="inlineStr">
        <is>
          <t>进港</t>
        </is>
      </c>
      <c r="D1191" s="24" t="inlineStr">
        <is>
          <t>金属矿石</t>
        </is>
      </c>
      <c r="E1191" s="24" t="inlineStr">
        <is>
          <t>国内沿海</t>
        </is>
      </c>
      <c r="F1191" s="24" t="inlineStr">
        <is>
          <t>02号泊位</t>
        </is>
      </c>
      <c r="G1191" s="25" t="n">
        <v>25762</v>
      </c>
      <c r="H1191" s="41" t="n">
        <v>18.03</v>
      </c>
      <c r="I1191" s="41" t="n">
        <v>0.97</v>
      </c>
      <c r="J1191" s="41" t="n">
        <v>16.62</v>
      </c>
      <c r="K1191" s="25" t="n">
        <v>0</v>
      </c>
      <c r="L1191" s="26">
        <f>IF(H1191&lt;=J1191,1,0)</f>
        <v>0</v>
      </c>
    </row>
    <row r="1192">
      <c r="A1192" s="19" t="inlineStr">
        <is>
          <t>QL-198-3</t>
        </is>
      </c>
      <c r="B1192" s="36" t="n">
        <v>45855</v>
      </c>
      <c r="C1192" s="37" t="inlineStr">
        <is>
          <t>出港</t>
        </is>
      </c>
      <c r="D1192" s="19" t="inlineStr">
        <is>
          <t>煤炭</t>
        </is>
      </c>
      <c r="E1192" s="19" t="inlineStr">
        <is>
          <t>东亚</t>
        </is>
      </c>
      <c r="F1192" s="19" t="inlineStr">
        <is>
          <t>03号泊位</t>
        </is>
      </c>
      <c r="G1192" s="20" t="n">
        <v>10697</v>
      </c>
      <c r="H1192" s="38" t="n">
        <v>7.09</v>
      </c>
      <c r="I1192" s="38" t="n">
        <v>2.31</v>
      </c>
      <c r="J1192" s="38" t="n">
        <v>8.1</v>
      </c>
      <c r="K1192" s="20" t="n">
        <v>0</v>
      </c>
      <c r="L1192" s="26">
        <f>IF(H1192&lt;=J1192,1,0)</f>
        <v>1</v>
      </c>
    </row>
    <row r="1193">
      <c r="A1193" s="24" t="inlineStr">
        <is>
          <t>QL-198-4</t>
        </is>
      </c>
      <c r="B1193" s="39" t="n">
        <v>45855</v>
      </c>
      <c r="C1193" s="40" t="inlineStr">
        <is>
          <t>出港</t>
        </is>
      </c>
      <c r="D1193" s="24" t="inlineStr">
        <is>
          <t>粮食</t>
        </is>
      </c>
      <c r="E1193" s="24" t="inlineStr">
        <is>
          <t>东亚</t>
        </is>
      </c>
      <c r="F1193" s="24" t="inlineStr">
        <is>
          <t>04号泊位</t>
        </is>
      </c>
      <c r="G1193" s="25" t="n">
        <v>14886</v>
      </c>
      <c r="H1193" s="41" t="n">
        <v>15.55</v>
      </c>
      <c r="I1193" s="41" t="n">
        <v>5.63</v>
      </c>
      <c r="J1193" s="41" t="n">
        <v>14.59</v>
      </c>
      <c r="K1193" s="25" t="n">
        <v>0</v>
      </c>
      <c r="L1193" s="26">
        <f>IF(H1193&lt;=J1193,1,0)</f>
        <v>0</v>
      </c>
    </row>
    <row r="1194">
      <c r="A1194" s="19" t="inlineStr">
        <is>
          <t>QL-198-5</t>
        </is>
      </c>
      <c r="B1194" s="36" t="n">
        <v>45855</v>
      </c>
      <c r="C1194" s="37" t="inlineStr">
        <is>
          <t>出港</t>
        </is>
      </c>
      <c r="D1194" s="19" t="inlineStr">
        <is>
          <t>液体散货</t>
        </is>
      </c>
      <c r="E1194" s="19" t="inlineStr">
        <is>
          <t>国内沿海</t>
        </is>
      </c>
      <c r="F1194" s="19" t="inlineStr">
        <is>
          <t>05号泊位</t>
        </is>
      </c>
      <c r="G1194" s="20" t="n">
        <v>18056</v>
      </c>
      <c r="H1194" s="38" t="n">
        <v>13.4</v>
      </c>
      <c r="I1194" s="38" t="n">
        <v>6.09</v>
      </c>
      <c r="J1194" s="38" t="n">
        <v>12.54</v>
      </c>
      <c r="K1194" s="20" t="n">
        <v>0</v>
      </c>
      <c r="L1194" s="26">
        <f>IF(H1194&lt;=J1194,1,0)</f>
        <v>0</v>
      </c>
    </row>
    <row r="1195">
      <c r="A1195" s="24" t="inlineStr">
        <is>
          <t>QL-198-6</t>
        </is>
      </c>
      <c r="B1195" s="39" t="n">
        <v>45855</v>
      </c>
      <c r="C1195" s="40" t="inlineStr">
        <is>
          <t>进港</t>
        </is>
      </c>
      <c r="D1195" s="24" t="inlineStr">
        <is>
          <t>件杂货</t>
        </is>
      </c>
      <c r="E1195" s="24" t="inlineStr">
        <is>
          <t>欧洲</t>
        </is>
      </c>
      <c r="F1195" s="24" t="inlineStr">
        <is>
          <t>06号泊位</t>
        </is>
      </c>
      <c r="G1195" s="25" t="n">
        <v>5519</v>
      </c>
      <c r="H1195" s="41" t="n">
        <v>8.31</v>
      </c>
      <c r="I1195" s="41" t="n">
        <v>1.03</v>
      </c>
      <c r="J1195" s="41" t="n">
        <v>9.050000000000001</v>
      </c>
      <c r="K1195" s="25" t="n">
        <v>0</v>
      </c>
      <c r="L1195" s="26">
        <f>IF(H1195&lt;=J1195,1,0)</f>
        <v>1</v>
      </c>
    </row>
    <row r="1196">
      <c r="A1196" s="19" t="inlineStr">
        <is>
          <t>QL-199-1</t>
        </is>
      </c>
      <c r="B1196" s="36" t="n">
        <v>45856</v>
      </c>
      <c r="C1196" s="37" t="inlineStr">
        <is>
          <t>进港</t>
        </is>
      </c>
      <c r="D1196" s="19" t="inlineStr">
        <is>
          <t>集装箱货物</t>
        </is>
      </c>
      <c r="E1196" s="19" t="inlineStr">
        <is>
          <t>欧洲</t>
        </is>
      </c>
      <c r="F1196" s="19" t="inlineStr">
        <is>
          <t>01号泊位</t>
        </is>
      </c>
      <c r="G1196" s="20" t="n">
        <v>14303</v>
      </c>
      <c r="H1196" s="38" t="n">
        <v>15.83</v>
      </c>
      <c r="I1196" s="38" t="n">
        <v>1.36</v>
      </c>
      <c r="J1196" s="38" t="n">
        <v>15.89</v>
      </c>
      <c r="K1196" s="20" t="n">
        <v>904</v>
      </c>
      <c r="L1196" s="26">
        <f>IF(H1196&lt;=J1196,1,0)</f>
        <v>1</v>
      </c>
    </row>
    <row r="1197">
      <c r="A1197" s="24" t="inlineStr">
        <is>
          <t>QL-199-2</t>
        </is>
      </c>
      <c r="B1197" s="39" t="n">
        <v>45856</v>
      </c>
      <c r="C1197" s="40" t="inlineStr">
        <is>
          <t>出港</t>
        </is>
      </c>
      <c r="D1197" s="24" t="inlineStr">
        <is>
          <t>金属矿石</t>
        </is>
      </c>
      <c r="E1197" s="24" t="inlineStr">
        <is>
          <t>东南亚</t>
        </is>
      </c>
      <c r="F1197" s="24" t="inlineStr">
        <is>
          <t>02号泊位</t>
        </is>
      </c>
      <c r="G1197" s="25" t="n">
        <v>22456</v>
      </c>
      <c r="H1197" s="41" t="n">
        <v>15.12</v>
      </c>
      <c r="I1197" s="41" t="n">
        <v>2.92</v>
      </c>
      <c r="J1197" s="41" t="n">
        <v>14.49</v>
      </c>
      <c r="K1197" s="25" t="n">
        <v>0</v>
      </c>
      <c r="L1197" s="26">
        <f>IF(H1197&lt;=J1197,1,0)</f>
        <v>0</v>
      </c>
    </row>
    <row r="1198">
      <c r="A1198" s="19" t="inlineStr">
        <is>
          <t>QL-199-3</t>
        </is>
      </c>
      <c r="B1198" s="36" t="n">
        <v>45856</v>
      </c>
      <c r="C1198" s="37" t="inlineStr">
        <is>
          <t>出港</t>
        </is>
      </c>
      <c r="D1198" s="19" t="inlineStr">
        <is>
          <t>煤炭</t>
        </is>
      </c>
      <c r="E1198" s="19" t="inlineStr">
        <is>
          <t>东南亚</t>
        </is>
      </c>
      <c r="F1198" s="19" t="inlineStr">
        <is>
          <t>03号泊位</t>
        </is>
      </c>
      <c r="G1198" s="20" t="n">
        <v>22264</v>
      </c>
      <c r="H1198" s="38" t="n">
        <v>17.58</v>
      </c>
      <c r="I1198" s="38" t="n">
        <v>3.3</v>
      </c>
      <c r="J1198" s="38" t="n">
        <v>16.87</v>
      </c>
      <c r="K1198" s="20" t="n">
        <v>0</v>
      </c>
      <c r="L1198" s="26">
        <f>IF(H1198&lt;=J1198,1,0)</f>
        <v>0</v>
      </c>
    </row>
    <row r="1199">
      <c r="A1199" s="24" t="inlineStr">
        <is>
          <t>QL-199-4</t>
        </is>
      </c>
      <c r="B1199" s="39" t="n">
        <v>45856</v>
      </c>
      <c r="C1199" s="40" t="inlineStr">
        <is>
          <t>进港</t>
        </is>
      </c>
      <c r="D1199" s="24" t="inlineStr">
        <is>
          <t>粮食</t>
        </is>
      </c>
      <c r="E1199" s="24" t="inlineStr">
        <is>
          <t>欧洲</t>
        </is>
      </c>
      <c r="F1199" s="24" t="inlineStr">
        <is>
          <t>04号泊位</t>
        </is>
      </c>
      <c r="G1199" s="25" t="n">
        <v>11115</v>
      </c>
      <c r="H1199" s="41" t="n">
        <v>9.26</v>
      </c>
      <c r="I1199" s="41" t="n">
        <v>0.52</v>
      </c>
      <c r="J1199" s="41" t="n">
        <v>10.9</v>
      </c>
      <c r="K1199" s="25" t="n">
        <v>0</v>
      </c>
      <c r="L1199" s="26">
        <f>IF(H1199&lt;=J1199,1,0)</f>
        <v>1</v>
      </c>
    </row>
    <row r="1200">
      <c r="A1200" s="19" t="inlineStr">
        <is>
          <t>QL-199-5</t>
        </is>
      </c>
      <c r="B1200" s="36" t="n">
        <v>45856</v>
      </c>
      <c r="C1200" s="37" t="inlineStr">
        <is>
          <t>进港</t>
        </is>
      </c>
      <c r="D1200" s="19" t="inlineStr">
        <is>
          <t>液体散货</t>
        </is>
      </c>
      <c r="E1200" s="19" t="inlineStr">
        <is>
          <t>东亚</t>
        </is>
      </c>
      <c r="F1200" s="19" t="inlineStr">
        <is>
          <t>05号泊位</t>
        </is>
      </c>
      <c r="G1200" s="20" t="n">
        <v>16546</v>
      </c>
      <c r="H1200" s="38" t="n">
        <v>10.32</v>
      </c>
      <c r="I1200" s="38" t="n">
        <v>3.49</v>
      </c>
      <c r="J1200" s="38" t="n">
        <v>11.49</v>
      </c>
      <c r="K1200" s="20" t="n">
        <v>0</v>
      </c>
      <c r="L1200" s="26">
        <f>IF(H1200&lt;=J1200,1,0)</f>
        <v>1</v>
      </c>
    </row>
    <row r="1201">
      <c r="A1201" s="24" t="inlineStr">
        <is>
          <t>QL-199-6</t>
        </is>
      </c>
      <c r="B1201" s="39" t="n">
        <v>45856</v>
      </c>
      <c r="C1201" s="40" t="inlineStr">
        <is>
          <t>出港</t>
        </is>
      </c>
      <c r="D1201" s="24" t="inlineStr">
        <is>
          <t>件杂货</t>
        </is>
      </c>
      <c r="E1201" s="24" t="inlineStr">
        <is>
          <t>欧洲</t>
        </is>
      </c>
      <c r="F1201" s="24" t="inlineStr">
        <is>
          <t>06号泊位</t>
        </is>
      </c>
      <c r="G1201" s="25" t="n">
        <v>6149</v>
      </c>
      <c r="H1201" s="41" t="n">
        <v>9.369999999999999</v>
      </c>
      <c r="I1201" s="41" t="n">
        <v>2.42</v>
      </c>
      <c r="J1201" s="41" t="n">
        <v>10.08</v>
      </c>
      <c r="K1201" s="25" t="n">
        <v>0</v>
      </c>
      <c r="L1201" s="26">
        <f>IF(H1201&lt;=J1201,1,0)</f>
        <v>1</v>
      </c>
    </row>
    <row r="1202">
      <c r="A1202" s="19" t="inlineStr">
        <is>
          <t>QL-200-1</t>
        </is>
      </c>
      <c r="B1202" s="36" t="n">
        <v>45857</v>
      </c>
      <c r="C1202" s="37" t="inlineStr">
        <is>
          <t>出港</t>
        </is>
      </c>
      <c r="D1202" s="19" t="inlineStr">
        <is>
          <t>集装箱货物</t>
        </is>
      </c>
      <c r="E1202" s="19" t="inlineStr">
        <is>
          <t>东亚</t>
        </is>
      </c>
      <c r="F1202" s="19" t="inlineStr">
        <is>
          <t>01号泊位</t>
        </is>
      </c>
      <c r="G1202" s="20" t="n">
        <v>9547</v>
      </c>
      <c r="H1202" s="38" t="n">
        <v>10.28</v>
      </c>
      <c r="I1202" s="38" t="n">
        <v>1.18</v>
      </c>
      <c r="J1202" s="38" t="n">
        <v>10.61</v>
      </c>
      <c r="K1202" s="20" t="n">
        <v>564</v>
      </c>
      <c r="L1202" s="26">
        <f>IF(H1202&lt;=J1202,1,0)</f>
        <v>1</v>
      </c>
    </row>
    <row r="1203">
      <c r="A1203" s="24" t="inlineStr">
        <is>
          <t>QL-200-2</t>
        </is>
      </c>
      <c r="B1203" s="39" t="n">
        <v>45857</v>
      </c>
      <c r="C1203" s="40" t="inlineStr">
        <is>
          <t>出港</t>
        </is>
      </c>
      <c r="D1203" s="24" t="inlineStr">
        <is>
          <t>金属矿石</t>
        </is>
      </c>
      <c r="E1203" s="24" t="inlineStr">
        <is>
          <t>东亚</t>
        </is>
      </c>
      <c r="F1203" s="24" t="inlineStr">
        <is>
          <t>02号泊位</t>
        </is>
      </c>
      <c r="G1203" s="25" t="n">
        <v>22564</v>
      </c>
      <c r="H1203" s="41" t="n">
        <v>16.03</v>
      </c>
      <c r="I1203" s="41" t="n">
        <v>1</v>
      </c>
      <c r="J1203" s="41" t="n">
        <v>14.56</v>
      </c>
      <c r="K1203" s="25" t="n">
        <v>0</v>
      </c>
      <c r="L1203" s="26">
        <f>IF(H1203&lt;=J1203,1,0)</f>
        <v>0</v>
      </c>
    </row>
    <row r="1204">
      <c r="A1204" s="19" t="inlineStr">
        <is>
          <t>QL-200-3</t>
        </is>
      </c>
      <c r="B1204" s="36" t="n">
        <v>45857</v>
      </c>
      <c r="C1204" s="37" t="inlineStr">
        <is>
          <t>出港</t>
        </is>
      </c>
      <c r="D1204" s="19" t="inlineStr">
        <is>
          <t>煤炭</t>
        </is>
      </c>
      <c r="E1204" s="19" t="inlineStr">
        <is>
          <t>东亚</t>
        </is>
      </c>
      <c r="F1204" s="19" t="inlineStr">
        <is>
          <t>03号泊位</t>
        </is>
      </c>
      <c r="G1204" s="20" t="n">
        <v>13387</v>
      </c>
      <c r="H1204" s="38" t="n">
        <v>10.65</v>
      </c>
      <c r="I1204" s="38" t="n">
        <v>2.17</v>
      </c>
      <c r="J1204" s="38" t="n">
        <v>10.14</v>
      </c>
      <c r="K1204" s="20" t="n">
        <v>0</v>
      </c>
      <c r="L1204" s="26">
        <f>IF(H1204&lt;=J1204,1,0)</f>
        <v>0</v>
      </c>
    </row>
    <row r="1205">
      <c r="A1205" s="24" t="inlineStr">
        <is>
          <t>QL-200-4</t>
        </is>
      </c>
      <c r="B1205" s="39" t="n">
        <v>45857</v>
      </c>
      <c r="C1205" s="40" t="inlineStr">
        <is>
          <t>出港</t>
        </is>
      </c>
      <c r="D1205" s="24" t="inlineStr">
        <is>
          <t>粮食</t>
        </is>
      </c>
      <c r="E1205" s="24" t="inlineStr">
        <is>
          <t>国内沿海</t>
        </is>
      </c>
      <c r="F1205" s="24" t="inlineStr">
        <is>
          <t>04号泊位</t>
        </is>
      </c>
      <c r="G1205" s="25" t="n">
        <v>11500</v>
      </c>
      <c r="H1205" s="41" t="n">
        <v>11.08</v>
      </c>
      <c r="I1205" s="41" t="n">
        <v>1.09</v>
      </c>
      <c r="J1205" s="41" t="n">
        <v>11.27</v>
      </c>
      <c r="K1205" s="25" t="n">
        <v>0</v>
      </c>
      <c r="L1205" s="26">
        <f>IF(H1205&lt;=J1205,1,0)</f>
        <v>1</v>
      </c>
    </row>
    <row r="1206">
      <c r="A1206" s="19" t="inlineStr">
        <is>
          <t>QL-200-5</t>
        </is>
      </c>
      <c r="B1206" s="36" t="n">
        <v>45857</v>
      </c>
      <c r="C1206" s="37" t="inlineStr">
        <is>
          <t>进港</t>
        </is>
      </c>
      <c r="D1206" s="19" t="inlineStr">
        <is>
          <t>液体散货</t>
        </is>
      </c>
      <c r="E1206" s="19" t="inlineStr">
        <is>
          <t>欧洲</t>
        </is>
      </c>
      <c r="F1206" s="19" t="inlineStr">
        <is>
          <t>05号泊位</t>
        </is>
      </c>
      <c r="G1206" s="20" t="n">
        <v>8921</v>
      </c>
      <c r="H1206" s="38" t="n">
        <v>5.17</v>
      </c>
      <c r="I1206" s="38" t="n">
        <v>1.16</v>
      </c>
      <c r="J1206" s="38" t="n">
        <v>6.2</v>
      </c>
      <c r="K1206" s="20" t="n">
        <v>0</v>
      </c>
      <c r="L1206" s="26">
        <f>IF(H1206&lt;=J1206,1,0)</f>
        <v>1</v>
      </c>
    </row>
    <row r="1207">
      <c r="A1207" s="24" t="inlineStr">
        <is>
          <t>QL-200-6</t>
        </is>
      </c>
      <c r="B1207" s="39" t="n">
        <v>45857</v>
      </c>
      <c r="C1207" s="40" t="inlineStr">
        <is>
          <t>出港</t>
        </is>
      </c>
      <c r="D1207" s="24" t="inlineStr">
        <is>
          <t>件杂货</t>
        </is>
      </c>
      <c r="E1207" s="24" t="inlineStr">
        <is>
          <t>国内沿海</t>
        </is>
      </c>
      <c r="F1207" s="24" t="inlineStr">
        <is>
          <t>06号泊位</t>
        </is>
      </c>
      <c r="G1207" s="25" t="n">
        <v>6135</v>
      </c>
      <c r="H1207" s="41" t="n">
        <v>12</v>
      </c>
      <c r="I1207" s="41" t="n">
        <v>1.69</v>
      </c>
      <c r="J1207" s="41" t="n">
        <v>10.06</v>
      </c>
      <c r="K1207" s="25" t="n">
        <v>0</v>
      </c>
      <c r="L1207" s="26">
        <f>IF(H1207&lt;=J1207,1,0)</f>
        <v>0</v>
      </c>
    </row>
    <row r="1208">
      <c r="A1208" s="19" t="inlineStr">
        <is>
          <t>QL-201-1</t>
        </is>
      </c>
      <c r="B1208" s="36" t="n">
        <v>45858</v>
      </c>
      <c r="C1208" s="37" t="inlineStr">
        <is>
          <t>进港</t>
        </is>
      </c>
      <c r="D1208" s="19" t="inlineStr">
        <is>
          <t>集装箱货物</t>
        </is>
      </c>
      <c r="E1208" s="19" t="inlineStr">
        <is>
          <t>欧洲</t>
        </is>
      </c>
      <c r="F1208" s="19" t="inlineStr">
        <is>
          <t>01号泊位</t>
        </is>
      </c>
      <c r="G1208" s="20" t="n">
        <v>8741</v>
      </c>
      <c r="H1208" s="38" t="n">
        <v>10.79</v>
      </c>
      <c r="I1208" s="38" t="n">
        <v>0.65</v>
      </c>
      <c r="J1208" s="38" t="n">
        <v>9.710000000000001</v>
      </c>
      <c r="K1208" s="20" t="n">
        <v>584</v>
      </c>
      <c r="L1208" s="26">
        <f>IF(H1208&lt;=J1208,1,0)</f>
        <v>0</v>
      </c>
    </row>
    <row r="1209">
      <c r="A1209" s="24" t="inlineStr">
        <is>
          <t>QL-201-2</t>
        </is>
      </c>
      <c r="B1209" s="39" t="n">
        <v>45858</v>
      </c>
      <c r="C1209" s="40" t="inlineStr">
        <is>
          <t>进港</t>
        </is>
      </c>
      <c r="D1209" s="24" t="inlineStr">
        <is>
          <t>金属矿石</t>
        </is>
      </c>
      <c r="E1209" s="24" t="inlineStr">
        <is>
          <t>东亚</t>
        </is>
      </c>
      <c r="F1209" s="24" t="inlineStr">
        <is>
          <t>02号泊位</t>
        </is>
      </c>
      <c r="G1209" s="25" t="n">
        <v>27388</v>
      </c>
      <c r="H1209" s="41" t="n">
        <v>14.98</v>
      </c>
      <c r="I1209" s="41" t="n">
        <v>0.9</v>
      </c>
      <c r="J1209" s="41" t="n">
        <v>17.67</v>
      </c>
      <c r="K1209" s="25" t="n">
        <v>0</v>
      </c>
      <c r="L1209" s="26">
        <f>IF(H1209&lt;=J1209,1,0)</f>
        <v>1</v>
      </c>
    </row>
    <row r="1210">
      <c r="A1210" s="19" t="inlineStr">
        <is>
          <t>QL-201-3</t>
        </is>
      </c>
      <c r="B1210" s="36" t="n">
        <v>45858</v>
      </c>
      <c r="C1210" s="37" t="inlineStr">
        <is>
          <t>进港</t>
        </is>
      </c>
      <c r="D1210" s="19" t="inlineStr">
        <is>
          <t>煤炭</t>
        </is>
      </c>
      <c r="E1210" s="19" t="inlineStr">
        <is>
          <t>欧洲</t>
        </is>
      </c>
      <c r="F1210" s="19" t="inlineStr">
        <is>
          <t>03号泊位</t>
        </is>
      </c>
      <c r="G1210" s="20" t="n">
        <v>16716</v>
      </c>
      <c r="H1210" s="38" t="n">
        <v>10.5</v>
      </c>
      <c r="I1210" s="38" t="n">
        <v>0.43</v>
      </c>
      <c r="J1210" s="38" t="n">
        <v>12.66</v>
      </c>
      <c r="K1210" s="20" t="n">
        <v>0</v>
      </c>
      <c r="L1210" s="26">
        <f>IF(H1210&lt;=J1210,1,0)</f>
        <v>1</v>
      </c>
    </row>
    <row r="1211">
      <c r="A1211" s="24" t="inlineStr">
        <is>
          <t>QL-201-4</t>
        </is>
      </c>
      <c r="B1211" s="39" t="n">
        <v>45858</v>
      </c>
      <c r="C1211" s="40" t="inlineStr">
        <is>
          <t>进港</t>
        </is>
      </c>
      <c r="D1211" s="24" t="inlineStr">
        <is>
          <t>粮食</t>
        </is>
      </c>
      <c r="E1211" s="24" t="inlineStr">
        <is>
          <t>东南亚</t>
        </is>
      </c>
      <c r="F1211" s="24" t="inlineStr">
        <is>
          <t>04号泊位</t>
        </is>
      </c>
      <c r="G1211" s="25" t="n">
        <v>9912</v>
      </c>
      <c r="H1211" s="41" t="n">
        <v>9.369999999999999</v>
      </c>
      <c r="I1211" s="41" t="n">
        <v>1.47</v>
      </c>
      <c r="J1211" s="41" t="n">
        <v>9.720000000000001</v>
      </c>
      <c r="K1211" s="25" t="n">
        <v>0</v>
      </c>
      <c r="L1211" s="26">
        <f>IF(H1211&lt;=J1211,1,0)</f>
        <v>1</v>
      </c>
    </row>
    <row r="1212">
      <c r="A1212" s="19" t="inlineStr">
        <is>
          <t>QL-201-5</t>
        </is>
      </c>
      <c r="B1212" s="36" t="n">
        <v>45858</v>
      </c>
      <c r="C1212" s="37" t="inlineStr">
        <is>
          <t>进港</t>
        </is>
      </c>
      <c r="D1212" s="19" t="inlineStr">
        <is>
          <t>液体散货</t>
        </is>
      </c>
      <c r="E1212" s="19" t="inlineStr">
        <is>
          <t>国内沿海</t>
        </is>
      </c>
      <c r="F1212" s="19" t="inlineStr">
        <is>
          <t>05号泊位</t>
        </is>
      </c>
      <c r="G1212" s="20" t="n">
        <v>10654</v>
      </c>
      <c r="H1212" s="38" t="n">
        <v>6.45</v>
      </c>
      <c r="I1212" s="38" t="n">
        <v>0.86</v>
      </c>
      <c r="J1212" s="38" t="n">
        <v>7.4</v>
      </c>
      <c r="K1212" s="20" t="n">
        <v>0</v>
      </c>
      <c r="L1212" s="26">
        <f>IF(H1212&lt;=J1212,1,0)</f>
        <v>1</v>
      </c>
    </row>
    <row r="1213">
      <c r="A1213" s="24" t="inlineStr">
        <is>
          <t>QL-201-6</t>
        </is>
      </c>
      <c r="B1213" s="39" t="n">
        <v>45858</v>
      </c>
      <c r="C1213" s="40" t="inlineStr">
        <is>
          <t>出港</t>
        </is>
      </c>
      <c r="D1213" s="24" t="inlineStr">
        <is>
          <t>件杂货</t>
        </is>
      </c>
      <c r="E1213" s="24" t="inlineStr">
        <is>
          <t>东南亚</t>
        </is>
      </c>
      <c r="F1213" s="24" t="inlineStr">
        <is>
          <t>06号泊位</t>
        </is>
      </c>
      <c r="G1213" s="25" t="n">
        <v>5489</v>
      </c>
      <c r="H1213" s="41" t="n">
        <v>9.44</v>
      </c>
      <c r="I1213" s="41" t="n">
        <v>6.42</v>
      </c>
      <c r="J1213" s="41" t="n">
        <v>9</v>
      </c>
      <c r="K1213" s="25" t="n">
        <v>0</v>
      </c>
      <c r="L1213" s="26">
        <f>IF(H1213&lt;=J1213,1,0)</f>
        <v>0</v>
      </c>
    </row>
    <row r="1214">
      <c r="A1214" s="19" t="inlineStr">
        <is>
          <t>QL-202-1</t>
        </is>
      </c>
      <c r="B1214" s="36" t="n">
        <v>45859</v>
      </c>
      <c r="C1214" s="37" t="inlineStr">
        <is>
          <t>出港</t>
        </is>
      </c>
      <c r="D1214" s="19" t="inlineStr">
        <is>
          <t>集装箱货物</t>
        </is>
      </c>
      <c r="E1214" s="19" t="inlineStr">
        <is>
          <t>东亚</t>
        </is>
      </c>
      <c r="F1214" s="19" t="inlineStr">
        <is>
          <t>01号泊位</t>
        </is>
      </c>
      <c r="G1214" s="20" t="n">
        <v>10636</v>
      </c>
      <c r="H1214" s="38" t="n">
        <v>12.39</v>
      </c>
      <c r="I1214" s="38" t="n">
        <v>2.45</v>
      </c>
      <c r="J1214" s="38" t="n">
        <v>11.82</v>
      </c>
      <c r="K1214" s="20" t="n">
        <v>687</v>
      </c>
      <c r="L1214" s="26">
        <f>IF(H1214&lt;=J1214,1,0)</f>
        <v>0</v>
      </c>
    </row>
    <row r="1215">
      <c r="A1215" s="24" t="inlineStr">
        <is>
          <t>QL-202-2</t>
        </is>
      </c>
      <c r="B1215" s="39" t="n">
        <v>45859</v>
      </c>
      <c r="C1215" s="40" t="inlineStr">
        <is>
          <t>进港</t>
        </is>
      </c>
      <c r="D1215" s="24" t="inlineStr">
        <is>
          <t>金属矿石</t>
        </is>
      </c>
      <c r="E1215" s="24" t="inlineStr">
        <is>
          <t>东亚</t>
        </is>
      </c>
      <c r="F1215" s="24" t="inlineStr">
        <is>
          <t>02号泊位</t>
        </is>
      </c>
      <c r="G1215" s="25" t="n">
        <v>25522</v>
      </c>
      <c r="H1215" s="41" t="n">
        <v>18.95</v>
      </c>
      <c r="I1215" s="41" t="n">
        <v>5.7</v>
      </c>
      <c r="J1215" s="41" t="n">
        <v>16.47</v>
      </c>
      <c r="K1215" s="25" t="n">
        <v>0</v>
      </c>
      <c r="L1215" s="26">
        <f>IF(H1215&lt;=J1215,1,0)</f>
        <v>0</v>
      </c>
    </row>
    <row r="1216">
      <c r="A1216" s="19" t="inlineStr">
        <is>
          <t>QL-202-3</t>
        </is>
      </c>
      <c r="B1216" s="36" t="n">
        <v>45859</v>
      </c>
      <c r="C1216" s="37" t="inlineStr">
        <is>
          <t>进港</t>
        </is>
      </c>
      <c r="D1216" s="19" t="inlineStr">
        <is>
          <t>煤炭</t>
        </is>
      </c>
      <c r="E1216" s="19" t="inlineStr">
        <is>
          <t>北美</t>
        </is>
      </c>
      <c r="F1216" s="19" t="inlineStr">
        <is>
          <t>03号泊位</t>
        </is>
      </c>
      <c r="G1216" s="20" t="n">
        <v>14591</v>
      </c>
      <c r="H1216" s="38" t="n">
        <v>9.699999999999999</v>
      </c>
      <c r="I1216" s="38" t="n">
        <v>1.45</v>
      </c>
      <c r="J1216" s="38" t="n">
        <v>11.05</v>
      </c>
      <c r="K1216" s="20" t="n">
        <v>0</v>
      </c>
      <c r="L1216" s="26">
        <f>IF(H1216&lt;=J1216,1,0)</f>
        <v>1</v>
      </c>
    </row>
    <row r="1217">
      <c r="A1217" s="24" t="inlineStr">
        <is>
          <t>QL-202-4</t>
        </is>
      </c>
      <c r="B1217" s="39" t="n">
        <v>45859</v>
      </c>
      <c r="C1217" s="40" t="inlineStr">
        <is>
          <t>进港</t>
        </is>
      </c>
      <c r="D1217" s="24" t="inlineStr">
        <is>
          <t>粮食</t>
        </is>
      </c>
      <c r="E1217" s="24" t="inlineStr">
        <is>
          <t>东南亚</t>
        </is>
      </c>
      <c r="F1217" s="24" t="inlineStr">
        <is>
          <t>04号泊位</t>
        </is>
      </c>
      <c r="G1217" s="25" t="n">
        <v>12064</v>
      </c>
      <c r="H1217" s="41" t="n">
        <v>12.79</v>
      </c>
      <c r="I1217" s="41" t="n">
        <v>0.75</v>
      </c>
      <c r="J1217" s="41" t="n">
        <v>11.83</v>
      </c>
      <c r="K1217" s="25" t="n">
        <v>0</v>
      </c>
      <c r="L1217" s="26">
        <f>IF(H1217&lt;=J1217,1,0)</f>
        <v>0</v>
      </c>
    </row>
    <row r="1218">
      <c r="A1218" s="19" t="inlineStr">
        <is>
          <t>QL-202-5</t>
        </is>
      </c>
      <c r="B1218" s="36" t="n">
        <v>45859</v>
      </c>
      <c r="C1218" s="37" t="inlineStr">
        <is>
          <t>进港</t>
        </is>
      </c>
      <c r="D1218" s="19" t="inlineStr">
        <is>
          <t>液体散货</t>
        </is>
      </c>
      <c r="E1218" s="19" t="inlineStr">
        <is>
          <t>北美</t>
        </is>
      </c>
      <c r="F1218" s="19" t="inlineStr">
        <is>
          <t>05号泊位</t>
        </is>
      </c>
      <c r="G1218" s="20" t="n">
        <v>15077</v>
      </c>
      <c r="H1218" s="38" t="n">
        <v>11.39</v>
      </c>
      <c r="I1218" s="38" t="n">
        <v>2.69</v>
      </c>
      <c r="J1218" s="38" t="n">
        <v>10.47</v>
      </c>
      <c r="K1218" s="20" t="n">
        <v>0</v>
      </c>
      <c r="L1218" s="26">
        <f>IF(H1218&lt;=J1218,1,0)</f>
        <v>0</v>
      </c>
    </row>
    <row r="1219">
      <c r="A1219" s="24" t="inlineStr">
        <is>
          <t>QL-202-6</t>
        </is>
      </c>
      <c r="B1219" s="39" t="n">
        <v>45859</v>
      </c>
      <c r="C1219" s="40" t="inlineStr">
        <is>
          <t>出港</t>
        </is>
      </c>
      <c r="D1219" s="24" t="inlineStr">
        <is>
          <t>件杂货</t>
        </is>
      </c>
      <c r="E1219" s="24" t="inlineStr">
        <is>
          <t>东南亚</t>
        </is>
      </c>
      <c r="F1219" s="24" t="inlineStr">
        <is>
          <t>06号泊位</t>
        </is>
      </c>
      <c r="G1219" s="25" t="n">
        <v>5421</v>
      </c>
      <c r="H1219" s="41" t="n">
        <v>7.66</v>
      </c>
      <c r="I1219" s="41" t="n">
        <v>3.63</v>
      </c>
      <c r="J1219" s="41" t="n">
        <v>8.890000000000001</v>
      </c>
      <c r="K1219" s="25" t="n">
        <v>0</v>
      </c>
      <c r="L1219" s="26">
        <f>IF(H1219&lt;=J1219,1,0)</f>
        <v>1</v>
      </c>
    </row>
    <row r="1220">
      <c r="A1220" s="19" t="inlineStr">
        <is>
          <t>QL-203-1</t>
        </is>
      </c>
      <c r="B1220" s="36" t="n">
        <v>45860</v>
      </c>
      <c r="C1220" s="37" t="inlineStr">
        <is>
          <t>进港</t>
        </is>
      </c>
      <c r="D1220" s="19" t="inlineStr">
        <is>
          <t>集装箱货物</t>
        </is>
      </c>
      <c r="E1220" s="19" t="inlineStr">
        <is>
          <t>欧洲</t>
        </is>
      </c>
      <c r="F1220" s="19" t="inlineStr">
        <is>
          <t>01号泊位</t>
        </is>
      </c>
      <c r="G1220" s="20" t="n">
        <v>4573</v>
      </c>
      <c r="H1220" s="38" t="n">
        <v>5.99</v>
      </c>
      <c r="I1220" s="38" t="n">
        <v>9.800000000000001</v>
      </c>
      <c r="J1220" s="38" t="n">
        <v>5.08</v>
      </c>
      <c r="K1220" s="20" t="n">
        <v>369</v>
      </c>
      <c r="L1220" s="26">
        <f>IF(H1220&lt;=J1220,1,0)</f>
        <v>0</v>
      </c>
    </row>
    <row r="1221">
      <c r="A1221" s="24" t="inlineStr">
        <is>
          <t>QL-203-2</t>
        </is>
      </c>
      <c r="B1221" s="39" t="n">
        <v>45860</v>
      </c>
      <c r="C1221" s="40" t="inlineStr">
        <is>
          <t>进港</t>
        </is>
      </c>
      <c r="D1221" s="24" t="inlineStr">
        <is>
          <t>金属矿石</t>
        </is>
      </c>
      <c r="E1221" s="24" t="inlineStr">
        <is>
          <t>东亚</t>
        </is>
      </c>
      <c r="F1221" s="24" t="inlineStr">
        <is>
          <t>02号泊位</t>
        </is>
      </c>
      <c r="G1221" s="25" t="n">
        <v>28088</v>
      </c>
      <c r="H1221" s="41" t="n">
        <v>20.91</v>
      </c>
      <c r="I1221" s="41" t="n">
        <v>8.210000000000001</v>
      </c>
      <c r="J1221" s="41" t="n">
        <v>18.12</v>
      </c>
      <c r="K1221" s="25" t="n">
        <v>0</v>
      </c>
      <c r="L1221" s="26">
        <f>IF(H1221&lt;=J1221,1,0)</f>
        <v>0</v>
      </c>
    </row>
    <row r="1222">
      <c r="A1222" s="19" t="inlineStr">
        <is>
          <t>QL-203-3</t>
        </is>
      </c>
      <c r="B1222" s="36" t="n">
        <v>45860</v>
      </c>
      <c r="C1222" s="37" t="inlineStr">
        <is>
          <t>进港</t>
        </is>
      </c>
      <c r="D1222" s="19" t="inlineStr">
        <is>
          <t>煤炭</t>
        </is>
      </c>
      <c r="E1222" s="19" t="inlineStr">
        <is>
          <t>北美</t>
        </is>
      </c>
      <c r="F1222" s="19" t="inlineStr">
        <is>
          <t>03号泊位</t>
        </is>
      </c>
      <c r="G1222" s="20" t="n">
        <v>7363</v>
      </c>
      <c r="H1222" s="38" t="n">
        <v>4.87</v>
      </c>
      <c r="I1222" s="38" t="n">
        <v>9.369999999999999</v>
      </c>
      <c r="J1222" s="38" t="n">
        <v>5.58</v>
      </c>
      <c r="K1222" s="20" t="n">
        <v>0</v>
      </c>
      <c r="L1222" s="26">
        <f>IF(H1222&lt;=J1222,1,0)</f>
        <v>1</v>
      </c>
    </row>
    <row r="1223">
      <c r="A1223" s="24" t="inlineStr">
        <is>
          <t>QL-203-4</t>
        </is>
      </c>
      <c r="B1223" s="39" t="n">
        <v>45860</v>
      </c>
      <c r="C1223" s="40" t="inlineStr">
        <is>
          <t>进港</t>
        </is>
      </c>
      <c r="D1223" s="24" t="inlineStr">
        <is>
          <t>粮食</t>
        </is>
      </c>
      <c r="E1223" s="24" t="inlineStr">
        <is>
          <t>国内沿海</t>
        </is>
      </c>
      <c r="F1223" s="24" t="inlineStr">
        <is>
          <t>04号泊位</t>
        </is>
      </c>
      <c r="G1223" s="25" t="n">
        <v>4507</v>
      </c>
      <c r="H1223" s="41" t="n">
        <v>3.86</v>
      </c>
      <c r="I1223" s="41" t="n">
        <v>9.6</v>
      </c>
      <c r="J1223" s="41" t="n">
        <v>4.42</v>
      </c>
      <c r="K1223" s="25" t="n">
        <v>0</v>
      </c>
      <c r="L1223" s="26">
        <f>IF(H1223&lt;=J1223,1,0)</f>
        <v>1</v>
      </c>
    </row>
    <row r="1224">
      <c r="A1224" s="19" t="inlineStr">
        <is>
          <t>QL-203-5</t>
        </is>
      </c>
      <c r="B1224" s="36" t="n">
        <v>45860</v>
      </c>
      <c r="C1224" s="37" t="inlineStr">
        <is>
          <t>进港</t>
        </is>
      </c>
      <c r="D1224" s="19" t="inlineStr">
        <is>
          <t>液体散货</t>
        </is>
      </c>
      <c r="E1224" s="19" t="inlineStr">
        <is>
          <t>国内沿海</t>
        </is>
      </c>
      <c r="F1224" s="19" t="inlineStr">
        <is>
          <t>05号泊位</t>
        </is>
      </c>
      <c r="G1224" s="20" t="n">
        <v>9606</v>
      </c>
      <c r="H1224" s="38" t="n">
        <v>7.29</v>
      </c>
      <c r="I1224" s="38" t="n">
        <v>9.18</v>
      </c>
      <c r="J1224" s="38" t="n">
        <v>6.67</v>
      </c>
      <c r="K1224" s="20" t="n">
        <v>0</v>
      </c>
      <c r="L1224" s="26">
        <f>IF(H1224&lt;=J1224,1,0)</f>
        <v>0</v>
      </c>
    </row>
    <row r="1225">
      <c r="A1225" s="24" t="inlineStr">
        <is>
          <t>QL-203-6</t>
        </is>
      </c>
      <c r="B1225" s="39" t="n">
        <v>45860</v>
      </c>
      <c r="C1225" s="40" t="inlineStr">
        <is>
          <t>出港</t>
        </is>
      </c>
      <c r="D1225" s="24" t="inlineStr">
        <is>
          <t>件杂货</t>
        </is>
      </c>
      <c r="E1225" s="24" t="inlineStr">
        <is>
          <t>欧洲</t>
        </is>
      </c>
      <c r="F1225" s="24" t="inlineStr">
        <is>
          <t>06号泊位</t>
        </is>
      </c>
      <c r="G1225" s="25" t="n">
        <v>2560</v>
      </c>
      <c r="H1225" s="41" t="n">
        <v>4.15</v>
      </c>
      <c r="I1225" s="41" t="n">
        <v>8.800000000000001</v>
      </c>
      <c r="J1225" s="41" t="n">
        <v>4.2</v>
      </c>
      <c r="K1225" s="25" t="n">
        <v>0</v>
      </c>
      <c r="L1225" s="26">
        <f>IF(H1225&lt;=J1225,1,0)</f>
        <v>1</v>
      </c>
    </row>
    <row r="1226">
      <c r="A1226" s="19" t="inlineStr">
        <is>
          <t>QL-204-1</t>
        </is>
      </c>
      <c r="B1226" s="36" t="n">
        <v>45861</v>
      </c>
      <c r="C1226" s="37" t="inlineStr">
        <is>
          <t>出港</t>
        </is>
      </c>
      <c r="D1226" s="19" t="inlineStr">
        <is>
          <t>集装箱货物</t>
        </is>
      </c>
      <c r="E1226" s="19" t="inlineStr">
        <is>
          <t>东南亚</t>
        </is>
      </c>
      <c r="F1226" s="19" t="inlineStr">
        <is>
          <t>01号泊位</t>
        </is>
      </c>
      <c r="G1226" s="20" t="n">
        <v>7796</v>
      </c>
      <c r="H1226" s="38" t="n">
        <v>7.42</v>
      </c>
      <c r="I1226" s="38" t="n">
        <v>9.83</v>
      </c>
      <c r="J1226" s="38" t="n">
        <v>8.66</v>
      </c>
      <c r="K1226" s="20" t="n">
        <v>627</v>
      </c>
      <c r="L1226" s="26">
        <f>IF(H1226&lt;=J1226,1,0)</f>
        <v>1</v>
      </c>
    </row>
    <row r="1227">
      <c r="A1227" s="24" t="inlineStr">
        <is>
          <t>QL-204-2</t>
        </is>
      </c>
      <c r="B1227" s="39" t="n">
        <v>45861</v>
      </c>
      <c r="C1227" s="40" t="inlineStr">
        <is>
          <t>进港</t>
        </is>
      </c>
      <c r="D1227" s="24" t="inlineStr">
        <is>
          <t>金属矿石</t>
        </is>
      </c>
      <c r="E1227" s="24" t="inlineStr">
        <is>
          <t>东亚</t>
        </is>
      </c>
      <c r="F1227" s="24" t="inlineStr">
        <is>
          <t>02号泊位</t>
        </is>
      </c>
      <c r="G1227" s="25" t="n">
        <v>13202</v>
      </c>
      <c r="H1227" s="41" t="n">
        <v>7.89</v>
      </c>
      <c r="I1227" s="41" t="n">
        <v>8.06</v>
      </c>
      <c r="J1227" s="41" t="n">
        <v>8.52</v>
      </c>
      <c r="K1227" s="25" t="n">
        <v>0</v>
      </c>
      <c r="L1227" s="26">
        <f>IF(H1227&lt;=J1227,1,0)</f>
        <v>1</v>
      </c>
    </row>
    <row r="1228">
      <c r="A1228" s="19" t="inlineStr">
        <is>
          <t>QL-204-3</t>
        </is>
      </c>
      <c r="B1228" s="36" t="n">
        <v>45861</v>
      </c>
      <c r="C1228" s="37" t="inlineStr">
        <is>
          <t>进港</t>
        </is>
      </c>
      <c r="D1228" s="19" t="inlineStr">
        <is>
          <t>煤炭</t>
        </is>
      </c>
      <c r="E1228" s="19" t="inlineStr">
        <is>
          <t>北美</t>
        </is>
      </c>
      <c r="F1228" s="19" t="inlineStr">
        <is>
          <t>03号泊位</t>
        </is>
      </c>
      <c r="G1228" s="20" t="n">
        <v>19417</v>
      </c>
      <c r="H1228" s="38" t="n">
        <v>16.88</v>
      </c>
      <c r="I1228" s="38" t="n">
        <v>9.15</v>
      </c>
      <c r="J1228" s="38" t="n">
        <v>14.71</v>
      </c>
      <c r="K1228" s="20" t="n">
        <v>0</v>
      </c>
      <c r="L1228" s="26">
        <f>IF(H1228&lt;=J1228,1,0)</f>
        <v>0</v>
      </c>
    </row>
    <row r="1229">
      <c r="A1229" s="24" t="inlineStr">
        <is>
          <t>QL-204-4</t>
        </is>
      </c>
      <c r="B1229" s="39" t="n">
        <v>45861</v>
      </c>
      <c r="C1229" s="40" t="inlineStr">
        <is>
          <t>进港</t>
        </is>
      </c>
      <c r="D1229" s="24" t="inlineStr">
        <is>
          <t>粮食</t>
        </is>
      </c>
      <c r="E1229" s="24" t="inlineStr">
        <is>
          <t>东南亚</t>
        </is>
      </c>
      <c r="F1229" s="24" t="inlineStr">
        <is>
          <t>04号泊位</t>
        </is>
      </c>
      <c r="G1229" s="25" t="n">
        <v>7494</v>
      </c>
      <c r="H1229" s="41" t="n">
        <v>8.210000000000001</v>
      </c>
      <c r="I1229" s="41" t="n">
        <v>9.699999999999999</v>
      </c>
      <c r="J1229" s="41" t="n">
        <v>7.35</v>
      </c>
      <c r="K1229" s="25" t="n">
        <v>0</v>
      </c>
      <c r="L1229" s="26">
        <f>IF(H1229&lt;=J1229,1,0)</f>
        <v>0</v>
      </c>
    </row>
    <row r="1230">
      <c r="A1230" s="19" t="inlineStr">
        <is>
          <t>QL-204-5</t>
        </is>
      </c>
      <c r="B1230" s="36" t="n">
        <v>45861</v>
      </c>
      <c r="C1230" s="37" t="inlineStr">
        <is>
          <t>出港</t>
        </is>
      </c>
      <c r="D1230" s="19" t="inlineStr">
        <is>
          <t>液体散货</t>
        </is>
      </c>
      <c r="E1230" s="19" t="inlineStr">
        <is>
          <t>欧洲</t>
        </is>
      </c>
      <c r="F1230" s="19" t="inlineStr">
        <is>
          <t>05号泊位</t>
        </is>
      </c>
      <c r="G1230" s="20" t="n">
        <v>5373</v>
      </c>
      <c r="H1230" s="38" t="n">
        <v>4.3</v>
      </c>
      <c r="I1230" s="38" t="n">
        <v>10.01</v>
      </c>
      <c r="J1230" s="38" t="n">
        <v>3.73</v>
      </c>
      <c r="K1230" s="20" t="n">
        <v>0</v>
      </c>
      <c r="L1230" s="26">
        <f>IF(H1230&lt;=J1230,1,0)</f>
        <v>0</v>
      </c>
    </row>
    <row r="1231">
      <c r="A1231" s="24" t="inlineStr">
        <is>
          <t>QL-204-6</t>
        </is>
      </c>
      <c r="B1231" s="39" t="n">
        <v>45861</v>
      </c>
      <c r="C1231" s="40" t="inlineStr">
        <is>
          <t>出港</t>
        </is>
      </c>
      <c r="D1231" s="24" t="inlineStr">
        <is>
          <t>件杂货</t>
        </is>
      </c>
      <c r="E1231" s="24" t="inlineStr">
        <is>
          <t>欧洲</t>
        </is>
      </c>
      <c r="F1231" s="24" t="inlineStr">
        <is>
          <t>06号泊位</t>
        </is>
      </c>
      <c r="G1231" s="25" t="n">
        <v>4611</v>
      </c>
      <c r="H1231" s="41" t="n">
        <v>7.36</v>
      </c>
      <c r="I1231" s="41" t="n">
        <v>11.16</v>
      </c>
      <c r="J1231" s="41" t="n">
        <v>7.56</v>
      </c>
      <c r="K1231" s="25" t="n">
        <v>0</v>
      </c>
      <c r="L1231" s="26">
        <f>IF(H1231&lt;=J1231,1,0)</f>
        <v>1</v>
      </c>
    </row>
    <row r="1232">
      <c r="A1232" s="19" t="inlineStr">
        <is>
          <t>QL-205-1</t>
        </is>
      </c>
      <c r="B1232" s="36" t="n">
        <v>45862</v>
      </c>
      <c r="C1232" s="37" t="inlineStr">
        <is>
          <t>出港</t>
        </is>
      </c>
      <c r="D1232" s="19" t="inlineStr">
        <is>
          <t>集装箱货物</t>
        </is>
      </c>
      <c r="E1232" s="19" t="inlineStr">
        <is>
          <t>国内沿海</t>
        </is>
      </c>
      <c r="F1232" s="19" t="inlineStr">
        <is>
          <t>01号泊位</t>
        </is>
      </c>
      <c r="G1232" s="20" t="n">
        <v>6257</v>
      </c>
      <c r="H1232" s="38" t="n">
        <v>6.52</v>
      </c>
      <c r="I1232" s="38" t="n">
        <v>8.140000000000001</v>
      </c>
      <c r="J1232" s="38" t="n">
        <v>6.95</v>
      </c>
      <c r="K1232" s="20" t="n">
        <v>381</v>
      </c>
      <c r="L1232" s="26">
        <f>IF(H1232&lt;=J1232,1,0)</f>
        <v>1</v>
      </c>
    </row>
    <row r="1233">
      <c r="A1233" s="24" t="inlineStr">
        <is>
          <t>QL-205-2</t>
        </is>
      </c>
      <c r="B1233" s="39" t="n">
        <v>45862</v>
      </c>
      <c r="C1233" s="40" t="inlineStr">
        <is>
          <t>进港</t>
        </is>
      </c>
      <c r="D1233" s="24" t="inlineStr">
        <is>
          <t>金属矿石</t>
        </is>
      </c>
      <c r="E1233" s="24" t="inlineStr">
        <is>
          <t>国内沿海</t>
        </is>
      </c>
      <c r="F1233" s="24" t="inlineStr">
        <is>
          <t>02号泊位</t>
        </is>
      </c>
      <c r="G1233" s="25" t="n">
        <v>15118</v>
      </c>
      <c r="H1233" s="41" t="n">
        <v>9.25</v>
      </c>
      <c r="I1233" s="41" t="n">
        <v>10.87</v>
      </c>
      <c r="J1233" s="41" t="n">
        <v>9.75</v>
      </c>
      <c r="K1233" s="25" t="n">
        <v>0</v>
      </c>
      <c r="L1233" s="26">
        <f>IF(H1233&lt;=J1233,1,0)</f>
        <v>1</v>
      </c>
    </row>
    <row r="1234">
      <c r="A1234" s="19" t="inlineStr">
        <is>
          <t>QL-205-3</t>
        </is>
      </c>
      <c r="B1234" s="36" t="n">
        <v>45862</v>
      </c>
      <c r="C1234" s="37" t="inlineStr">
        <is>
          <t>进港</t>
        </is>
      </c>
      <c r="D1234" s="19" t="inlineStr">
        <is>
          <t>煤炭</t>
        </is>
      </c>
      <c r="E1234" s="19" t="inlineStr">
        <is>
          <t>东南亚</t>
        </is>
      </c>
      <c r="F1234" s="19" t="inlineStr">
        <is>
          <t>03号泊位</t>
        </is>
      </c>
      <c r="G1234" s="20" t="n">
        <v>10528</v>
      </c>
      <c r="H1234" s="38" t="n">
        <v>8.609999999999999</v>
      </c>
      <c r="I1234" s="38" t="n">
        <v>9.84</v>
      </c>
      <c r="J1234" s="38" t="n">
        <v>7.98</v>
      </c>
      <c r="K1234" s="20" t="n">
        <v>0</v>
      </c>
      <c r="L1234" s="26">
        <f>IF(H1234&lt;=J1234,1,0)</f>
        <v>0</v>
      </c>
    </row>
    <row r="1235">
      <c r="A1235" s="24" t="inlineStr">
        <is>
          <t>QL-205-4</t>
        </is>
      </c>
      <c r="B1235" s="39" t="n">
        <v>45862</v>
      </c>
      <c r="C1235" s="40" t="inlineStr">
        <is>
          <t>进港</t>
        </is>
      </c>
      <c r="D1235" s="24" t="inlineStr">
        <is>
          <t>粮食</t>
        </is>
      </c>
      <c r="E1235" s="24" t="inlineStr">
        <is>
          <t>东亚</t>
        </is>
      </c>
      <c r="F1235" s="24" t="inlineStr">
        <is>
          <t>04号泊位</t>
        </is>
      </c>
      <c r="G1235" s="25" t="n">
        <v>5047</v>
      </c>
      <c r="H1235" s="41" t="n">
        <v>3.99</v>
      </c>
      <c r="I1235" s="41" t="n">
        <v>8.470000000000001</v>
      </c>
      <c r="J1235" s="41" t="n">
        <v>4.95</v>
      </c>
      <c r="K1235" s="25" t="n">
        <v>0</v>
      </c>
      <c r="L1235" s="26">
        <f>IF(H1235&lt;=J1235,1,0)</f>
        <v>1</v>
      </c>
    </row>
    <row r="1236">
      <c r="A1236" s="19" t="inlineStr">
        <is>
          <t>QL-205-5</t>
        </is>
      </c>
      <c r="B1236" s="36" t="n">
        <v>45862</v>
      </c>
      <c r="C1236" s="37" t="inlineStr">
        <is>
          <t>进港</t>
        </is>
      </c>
      <c r="D1236" s="19" t="inlineStr">
        <is>
          <t>液体散货</t>
        </is>
      </c>
      <c r="E1236" s="19" t="inlineStr">
        <is>
          <t>国内沿海</t>
        </is>
      </c>
      <c r="F1236" s="19" t="inlineStr">
        <is>
          <t>05号泊位</t>
        </is>
      </c>
      <c r="G1236" s="20" t="n">
        <v>8194</v>
      </c>
      <c r="H1236" s="38" t="n">
        <v>5.72</v>
      </c>
      <c r="I1236" s="38" t="n">
        <v>8.65</v>
      </c>
      <c r="J1236" s="38" t="n">
        <v>5.69</v>
      </c>
      <c r="K1236" s="20" t="n">
        <v>0</v>
      </c>
      <c r="L1236" s="26">
        <f>IF(H1236&lt;=J1236,1,0)</f>
        <v>0</v>
      </c>
    </row>
    <row r="1237">
      <c r="A1237" s="24" t="inlineStr">
        <is>
          <t>QL-205-6</t>
        </is>
      </c>
      <c r="B1237" s="39" t="n">
        <v>45862</v>
      </c>
      <c r="C1237" s="40" t="inlineStr">
        <is>
          <t>出港</t>
        </is>
      </c>
      <c r="D1237" s="24" t="inlineStr">
        <is>
          <t>件杂货</t>
        </is>
      </c>
      <c r="E1237" s="24" t="inlineStr">
        <is>
          <t>东亚</t>
        </is>
      </c>
      <c r="F1237" s="24" t="inlineStr">
        <is>
          <t>06号泊位</t>
        </is>
      </c>
      <c r="G1237" s="25" t="n">
        <v>3569</v>
      </c>
      <c r="H1237" s="41" t="n">
        <v>6.74</v>
      </c>
      <c r="I1237" s="41" t="n">
        <v>8.74</v>
      </c>
      <c r="J1237" s="41" t="n">
        <v>5.85</v>
      </c>
      <c r="K1237" s="25" t="n">
        <v>0</v>
      </c>
      <c r="L1237" s="26">
        <f>IF(H1237&lt;=J1237,1,0)</f>
        <v>0</v>
      </c>
    </row>
    <row r="1238">
      <c r="A1238" s="19" t="inlineStr">
        <is>
          <t>QL-206-1</t>
        </is>
      </c>
      <c r="B1238" s="36" t="n">
        <v>45863</v>
      </c>
      <c r="C1238" s="37" t="inlineStr">
        <is>
          <t>出港</t>
        </is>
      </c>
      <c r="D1238" s="19" t="inlineStr">
        <is>
          <t>集装箱货物</t>
        </is>
      </c>
      <c r="E1238" s="19" t="inlineStr">
        <is>
          <t>欧洲</t>
        </is>
      </c>
      <c r="F1238" s="19" t="inlineStr">
        <is>
          <t>01号泊位</t>
        </is>
      </c>
      <c r="G1238" s="20" t="n">
        <v>11331</v>
      </c>
      <c r="H1238" s="38" t="n">
        <v>12.49</v>
      </c>
      <c r="I1238" s="38" t="n">
        <v>10.28</v>
      </c>
      <c r="J1238" s="38" t="n">
        <v>12.59</v>
      </c>
      <c r="K1238" s="20" t="n">
        <v>672</v>
      </c>
      <c r="L1238" s="26">
        <f>IF(H1238&lt;=J1238,1,0)</f>
        <v>1</v>
      </c>
    </row>
    <row r="1239">
      <c r="A1239" s="24" t="inlineStr">
        <is>
          <t>QL-206-2</t>
        </is>
      </c>
      <c r="B1239" s="39" t="n">
        <v>45863</v>
      </c>
      <c r="C1239" s="40" t="inlineStr">
        <is>
          <t>进港</t>
        </is>
      </c>
      <c r="D1239" s="24" t="inlineStr">
        <is>
          <t>金属矿石</t>
        </is>
      </c>
      <c r="E1239" s="24" t="inlineStr">
        <is>
          <t>东亚</t>
        </is>
      </c>
      <c r="F1239" s="24" t="inlineStr">
        <is>
          <t>02号泊位</t>
        </is>
      </c>
      <c r="G1239" s="25" t="n">
        <v>14996</v>
      </c>
      <c r="H1239" s="41" t="n">
        <v>10.14</v>
      </c>
      <c r="I1239" s="41" t="n">
        <v>8.76</v>
      </c>
      <c r="J1239" s="41" t="n">
        <v>9.67</v>
      </c>
      <c r="K1239" s="25" t="n">
        <v>0</v>
      </c>
      <c r="L1239" s="26">
        <f>IF(H1239&lt;=J1239,1,0)</f>
        <v>0</v>
      </c>
    </row>
    <row r="1240">
      <c r="A1240" s="19" t="inlineStr">
        <is>
          <t>QL-206-3</t>
        </is>
      </c>
      <c r="B1240" s="36" t="n">
        <v>45863</v>
      </c>
      <c r="C1240" s="37" t="inlineStr">
        <is>
          <t>进港</t>
        </is>
      </c>
      <c r="D1240" s="19" t="inlineStr">
        <is>
          <t>煤炭</t>
        </is>
      </c>
      <c r="E1240" s="19" t="inlineStr">
        <is>
          <t>北美</t>
        </is>
      </c>
      <c r="F1240" s="19" t="inlineStr">
        <is>
          <t>03号泊位</t>
        </is>
      </c>
      <c r="G1240" s="20" t="n">
        <v>10716</v>
      </c>
      <c r="H1240" s="38" t="n">
        <v>8.140000000000001</v>
      </c>
      <c r="I1240" s="38" t="n">
        <v>11.47</v>
      </c>
      <c r="J1240" s="38" t="n">
        <v>8.119999999999999</v>
      </c>
      <c r="K1240" s="20" t="n">
        <v>0</v>
      </c>
      <c r="L1240" s="26">
        <f>IF(H1240&lt;=J1240,1,0)</f>
        <v>0</v>
      </c>
    </row>
    <row r="1241">
      <c r="A1241" s="24" t="inlineStr">
        <is>
          <t>QL-206-4</t>
        </is>
      </c>
      <c r="B1241" s="39" t="n">
        <v>45863</v>
      </c>
      <c r="C1241" s="40" t="inlineStr">
        <is>
          <t>进港</t>
        </is>
      </c>
      <c r="D1241" s="24" t="inlineStr">
        <is>
          <t>粮食</t>
        </is>
      </c>
      <c r="E1241" s="24" t="inlineStr">
        <is>
          <t>国内沿海</t>
        </is>
      </c>
      <c r="F1241" s="24" t="inlineStr">
        <is>
          <t>04号泊位</t>
        </is>
      </c>
      <c r="G1241" s="25" t="n">
        <v>8738</v>
      </c>
      <c r="H1241" s="41" t="n">
        <v>9.460000000000001</v>
      </c>
      <c r="I1241" s="41" t="n">
        <v>10.99</v>
      </c>
      <c r="J1241" s="41" t="n">
        <v>8.57</v>
      </c>
      <c r="K1241" s="25" t="n">
        <v>0</v>
      </c>
      <c r="L1241" s="26">
        <f>IF(H1241&lt;=J1241,1,0)</f>
        <v>0</v>
      </c>
    </row>
    <row r="1242">
      <c r="A1242" s="19" t="inlineStr">
        <is>
          <t>QL-206-5</t>
        </is>
      </c>
      <c r="B1242" s="36" t="n">
        <v>45863</v>
      </c>
      <c r="C1242" s="37" t="inlineStr">
        <is>
          <t>进港</t>
        </is>
      </c>
      <c r="D1242" s="19" t="inlineStr">
        <is>
          <t>液体散货</t>
        </is>
      </c>
      <c r="E1242" s="19" t="inlineStr">
        <is>
          <t>欧洲</t>
        </is>
      </c>
      <c r="F1242" s="19" t="inlineStr">
        <is>
          <t>05号泊位</t>
        </is>
      </c>
      <c r="G1242" s="20" t="n">
        <v>9069</v>
      </c>
      <c r="H1242" s="38" t="n">
        <v>6.69</v>
      </c>
      <c r="I1242" s="38" t="n">
        <v>11.19</v>
      </c>
      <c r="J1242" s="38" t="n">
        <v>6.3</v>
      </c>
      <c r="K1242" s="20" t="n">
        <v>0</v>
      </c>
      <c r="L1242" s="26">
        <f>IF(H1242&lt;=J1242,1,0)</f>
        <v>0</v>
      </c>
    </row>
    <row r="1243">
      <c r="A1243" s="24" t="inlineStr">
        <is>
          <t>QL-206-6</t>
        </is>
      </c>
      <c r="B1243" s="39" t="n">
        <v>45863</v>
      </c>
      <c r="C1243" s="40" t="inlineStr">
        <is>
          <t>出港</t>
        </is>
      </c>
      <c r="D1243" s="24" t="inlineStr">
        <is>
          <t>件杂货</t>
        </is>
      </c>
      <c r="E1243" s="24" t="inlineStr">
        <is>
          <t>国内沿海</t>
        </is>
      </c>
      <c r="F1243" s="24" t="inlineStr">
        <is>
          <t>06号泊位</t>
        </is>
      </c>
      <c r="G1243" s="25" t="n">
        <v>3012</v>
      </c>
      <c r="H1243" s="41" t="n">
        <v>5.56</v>
      </c>
      <c r="I1243" s="41" t="n">
        <v>8.539999999999999</v>
      </c>
      <c r="J1243" s="41" t="n">
        <v>4.94</v>
      </c>
      <c r="K1243" s="25" t="n">
        <v>0</v>
      </c>
      <c r="L1243" s="26">
        <f>IF(H1243&lt;=J1243,1,0)</f>
        <v>0</v>
      </c>
    </row>
    <row r="1244">
      <c r="A1244" s="19" t="inlineStr">
        <is>
          <t>QL-207-1</t>
        </is>
      </c>
      <c r="B1244" s="36" t="n">
        <v>45864</v>
      </c>
      <c r="C1244" s="37" t="inlineStr">
        <is>
          <t>出港</t>
        </is>
      </c>
      <c r="D1244" s="19" t="inlineStr">
        <is>
          <t>集装箱货物</t>
        </is>
      </c>
      <c r="E1244" s="19" t="inlineStr">
        <is>
          <t>东南亚</t>
        </is>
      </c>
      <c r="F1244" s="19" t="inlineStr">
        <is>
          <t>01号泊位</t>
        </is>
      </c>
      <c r="G1244" s="20" t="n">
        <v>11035</v>
      </c>
      <c r="H1244" s="38" t="n">
        <v>13.92</v>
      </c>
      <c r="I1244" s="38" t="n">
        <v>11.17</v>
      </c>
      <c r="J1244" s="38" t="n">
        <v>12.26</v>
      </c>
      <c r="K1244" s="20" t="n">
        <v>869</v>
      </c>
      <c r="L1244" s="26">
        <f>IF(H1244&lt;=J1244,1,0)</f>
        <v>0</v>
      </c>
    </row>
    <row r="1245">
      <c r="A1245" s="24" t="inlineStr">
        <is>
          <t>QL-207-2</t>
        </is>
      </c>
      <c r="B1245" s="39" t="n">
        <v>45864</v>
      </c>
      <c r="C1245" s="40" t="inlineStr">
        <is>
          <t>进港</t>
        </is>
      </c>
      <c r="D1245" s="24" t="inlineStr">
        <is>
          <t>金属矿石</t>
        </is>
      </c>
      <c r="E1245" s="24" t="inlineStr">
        <is>
          <t>欧洲</t>
        </is>
      </c>
      <c r="F1245" s="24" t="inlineStr">
        <is>
          <t>02号泊位</t>
        </is>
      </c>
      <c r="G1245" s="25" t="n">
        <v>14879</v>
      </c>
      <c r="H1245" s="41" t="n">
        <v>10</v>
      </c>
      <c r="I1245" s="41" t="n">
        <v>12.25</v>
      </c>
      <c r="J1245" s="41" t="n">
        <v>9.6</v>
      </c>
      <c r="K1245" s="25" t="n">
        <v>0</v>
      </c>
      <c r="L1245" s="26">
        <f>IF(H1245&lt;=J1245,1,0)</f>
        <v>0</v>
      </c>
    </row>
    <row r="1246">
      <c r="A1246" s="19" t="inlineStr">
        <is>
          <t>QL-207-3</t>
        </is>
      </c>
      <c r="B1246" s="36" t="n">
        <v>45864</v>
      </c>
      <c r="C1246" s="37" t="inlineStr">
        <is>
          <t>进港</t>
        </is>
      </c>
      <c r="D1246" s="19" t="inlineStr">
        <is>
          <t>煤炭</t>
        </is>
      </c>
      <c r="E1246" s="19" t="inlineStr">
        <is>
          <t>北美</t>
        </is>
      </c>
      <c r="F1246" s="19" t="inlineStr">
        <is>
          <t>03号泊位</t>
        </is>
      </c>
      <c r="G1246" s="20" t="n">
        <v>8267</v>
      </c>
      <c r="H1246" s="38" t="n">
        <v>5.42</v>
      </c>
      <c r="I1246" s="38" t="n">
        <v>8.949999999999999</v>
      </c>
      <c r="J1246" s="38" t="n">
        <v>6.26</v>
      </c>
      <c r="K1246" s="20" t="n">
        <v>0</v>
      </c>
      <c r="L1246" s="26">
        <f>IF(H1246&lt;=J1246,1,0)</f>
        <v>1</v>
      </c>
    </row>
    <row r="1247">
      <c r="A1247" s="24" t="inlineStr">
        <is>
          <t>QL-207-4</t>
        </is>
      </c>
      <c r="B1247" s="39" t="n">
        <v>45864</v>
      </c>
      <c r="C1247" s="40" t="inlineStr">
        <is>
          <t>出港</t>
        </is>
      </c>
      <c r="D1247" s="24" t="inlineStr">
        <is>
          <t>粮食</t>
        </is>
      </c>
      <c r="E1247" s="24" t="inlineStr">
        <is>
          <t>欧洲</t>
        </is>
      </c>
      <c r="F1247" s="24" t="inlineStr">
        <is>
          <t>04号泊位</t>
        </is>
      </c>
      <c r="G1247" s="25" t="n">
        <v>8834</v>
      </c>
      <c r="H1247" s="41" t="n">
        <v>7.33</v>
      </c>
      <c r="I1247" s="41" t="n">
        <v>9.66</v>
      </c>
      <c r="J1247" s="41" t="n">
        <v>8.66</v>
      </c>
      <c r="K1247" s="25" t="n">
        <v>0</v>
      </c>
      <c r="L1247" s="26">
        <f>IF(H1247&lt;=J1247,1,0)</f>
        <v>1</v>
      </c>
    </row>
    <row r="1248">
      <c r="A1248" s="19" t="inlineStr">
        <is>
          <t>QL-207-5</t>
        </is>
      </c>
      <c r="B1248" s="36" t="n">
        <v>45864</v>
      </c>
      <c r="C1248" s="37" t="inlineStr">
        <is>
          <t>出港</t>
        </is>
      </c>
      <c r="D1248" s="19" t="inlineStr">
        <is>
          <t>液体散货</t>
        </is>
      </c>
      <c r="E1248" s="19" t="inlineStr">
        <is>
          <t>东亚</t>
        </is>
      </c>
      <c r="F1248" s="19" t="inlineStr">
        <is>
          <t>05号泊位</t>
        </is>
      </c>
      <c r="G1248" s="20" t="n">
        <v>4867</v>
      </c>
      <c r="H1248" s="38" t="n">
        <v>2.98</v>
      </c>
      <c r="I1248" s="38" t="n">
        <v>12.99</v>
      </c>
      <c r="J1248" s="38" t="n">
        <v>3.38</v>
      </c>
      <c r="K1248" s="20" t="n">
        <v>0</v>
      </c>
      <c r="L1248" s="26">
        <f>IF(H1248&lt;=J1248,1,0)</f>
        <v>1</v>
      </c>
    </row>
    <row r="1249">
      <c r="A1249" s="24" t="inlineStr">
        <is>
          <t>QL-207-6</t>
        </is>
      </c>
      <c r="B1249" s="39" t="n">
        <v>45864</v>
      </c>
      <c r="C1249" s="40" t="inlineStr">
        <is>
          <t>出港</t>
        </is>
      </c>
      <c r="D1249" s="24" t="inlineStr">
        <is>
          <t>件杂货</t>
        </is>
      </c>
      <c r="E1249" s="24" t="inlineStr">
        <is>
          <t>北美</t>
        </is>
      </c>
      <c r="F1249" s="24" t="inlineStr">
        <is>
          <t>06号泊位</t>
        </is>
      </c>
      <c r="G1249" s="25" t="n">
        <v>4874</v>
      </c>
      <c r="H1249" s="41" t="n">
        <v>7.78</v>
      </c>
      <c r="I1249" s="41" t="n">
        <v>12.44</v>
      </c>
      <c r="J1249" s="41" t="n">
        <v>7.99</v>
      </c>
      <c r="K1249" s="25" t="n">
        <v>0</v>
      </c>
      <c r="L1249" s="26">
        <f>IF(H1249&lt;=J1249,1,0)</f>
        <v>1</v>
      </c>
    </row>
    <row r="1250">
      <c r="A1250" s="19" t="inlineStr">
        <is>
          <t>QL-208-1</t>
        </is>
      </c>
      <c r="B1250" s="36" t="n">
        <v>45865</v>
      </c>
      <c r="C1250" s="37" t="inlineStr">
        <is>
          <t>进港</t>
        </is>
      </c>
      <c r="D1250" s="19" t="inlineStr">
        <is>
          <t>集装箱货物</t>
        </is>
      </c>
      <c r="E1250" s="19" t="inlineStr">
        <is>
          <t>东南亚</t>
        </is>
      </c>
      <c r="F1250" s="19" t="inlineStr">
        <is>
          <t>01号泊位</t>
        </is>
      </c>
      <c r="G1250" s="20" t="n">
        <v>6118</v>
      </c>
      <c r="H1250" s="38" t="n">
        <v>8.24</v>
      </c>
      <c r="I1250" s="38" t="n">
        <v>12.2</v>
      </c>
      <c r="J1250" s="38" t="n">
        <v>6.8</v>
      </c>
      <c r="K1250" s="20" t="n">
        <v>460</v>
      </c>
      <c r="L1250" s="26">
        <f>IF(H1250&lt;=J1250,1,0)</f>
        <v>0</v>
      </c>
    </row>
    <row r="1251">
      <c r="A1251" s="24" t="inlineStr">
        <is>
          <t>QL-208-2</t>
        </is>
      </c>
      <c r="B1251" s="39" t="n">
        <v>45865</v>
      </c>
      <c r="C1251" s="40" t="inlineStr">
        <is>
          <t>进港</t>
        </is>
      </c>
      <c r="D1251" s="24" t="inlineStr">
        <is>
          <t>金属矿石</t>
        </is>
      </c>
      <c r="E1251" s="24" t="inlineStr">
        <is>
          <t>东南亚</t>
        </is>
      </c>
      <c r="F1251" s="24" t="inlineStr">
        <is>
          <t>02号泊位</t>
        </is>
      </c>
      <c r="G1251" s="25" t="n">
        <v>8649</v>
      </c>
      <c r="H1251" s="41" t="n">
        <v>6.38</v>
      </c>
      <c r="I1251" s="41" t="n">
        <v>18.77</v>
      </c>
      <c r="J1251" s="41" t="n">
        <v>5.58</v>
      </c>
      <c r="K1251" s="25" t="n">
        <v>0</v>
      </c>
      <c r="L1251" s="26">
        <f>IF(H1251&lt;=J1251,1,0)</f>
        <v>0</v>
      </c>
    </row>
    <row r="1252">
      <c r="A1252" s="19" t="inlineStr">
        <is>
          <t>QL-208-3</t>
        </is>
      </c>
      <c r="B1252" s="36" t="n">
        <v>45865</v>
      </c>
      <c r="C1252" s="37" t="inlineStr">
        <is>
          <t>出港</t>
        </is>
      </c>
      <c r="D1252" s="19" t="inlineStr">
        <is>
          <t>煤炭</t>
        </is>
      </c>
      <c r="E1252" s="19" t="inlineStr">
        <is>
          <t>东亚</t>
        </is>
      </c>
      <c r="F1252" s="19" t="inlineStr">
        <is>
          <t>03号泊位</t>
        </is>
      </c>
      <c r="G1252" s="20" t="n">
        <v>8551</v>
      </c>
      <c r="H1252" s="38" t="n">
        <v>5.42</v>
      </c>
      <c r="I1252" s="38" t="n">
        <v>11.7</v>
      </c>
      <c r="J1252" s="38" t="n">
        <v>6.48</v>
      </c>
      <c r="K1252" s="20" t="n">
        <v>0</v>
      </c>
      <c r="L1252" s="26">
        <f>IF(H1252&lt;=J1252,1,0)</f>
        <v>1</v>
      </c>
    </row>
    <row r="1253">
      <c r="A1253" s="24" t="inlineStr">
        <is>
          <t>QL-208-4</t>
        </is>
      </c>
      <c r="B1253" s="39" t="n">
        <v>45865</v>
      </c>
      <c r="C1253" s="40" t="inlineStr">
        <is>
          <t>进港</t>
        </is>
      </c>
      <c r="D1253" s="24" t="inlineStr">
        <is>
          <t>粮食</t>
        </is>
      </c>
      <c r="E1253" s="24" t="inlineStr">
        <is>
          <t>国内沿海</t>
        </is>
      </c>
      <c r="F1253" s="24" t="inlineStr">
        <is>
          <t>04号泊位</t>
        </is>
      </c>
      <c r="G1253" s="25" t="n">
        <v>5315</v>
      </c>
      <c r="H1253" s="41" t="n">
        <v>5.3</v>
      </c>
      <c r="I1253" s="41" t="n">
        <v>8.220000000000001</v>
      </c>
      <c r="J1253" s="41" t="n">
        <v>5.21</v>
      </c>
      <c r="K1253" s="25" t="n">
        <v>0</v>
      </c>
      <c r="L1253" s="26">
        <f>IF(H1253&lt;=J1253,1,0)</f>
        <v>0</v>
      </c>
    </row>
    <row r="1254">
      <c r="A1254" s="19" t="inlineStr">
        <is>
          <t>QL-208-5</t>
        </is>
      </c>
      <c r="B1254" s="36" t="n">
        <v>45865</v>
      </c>
      <c r="C1254" s="37" t="inlineStr">
        <is>
          <t>进港</t>
        </is>
      </c>
      <c r="D1254" s="19" t="inlineStr">
        <is>
          <t>液体散货</t>
        </is>
      </c>
      <c r="E1254" s="19" t="inlineStr">
        <is>
          <t>欧洲</t>
        </is>
      </c>
      <c r="F1254" s="19" t="inlineStr">
        <is>
          <t>05号泊位</t>
        </is>
      </c>
      <c r="G1254" s="20" t="n">
        <v>7849</v>
      </c>
      <c r="H1254" s="38" t="n">
        <v>5</v>
      </c>
      <c r="I1254" s="38" t="n">
        <v>9.07</v>
      </c>
      <c r="J1254" s="38" t="n">
        <v>5.45</v>
      </c>
      <c r="K1254" s="20" t="n">
        <v>0</v>
      </c>
      <c r="L1254" s="26">
        <f>IF(H1254&lt;=J1254,1,0)</f>
        <v>1</v>
      </c>
    </row>
    <row r="1255">
      <c r="A1255" s="24" t="inlineStr">
        <is>
          <t>QL-208-6</t>
        </is>
      </c>
      <c r="B1255" s="39" t="n">
        <v>45865</v>
      </c>
      <c r="C1255" s="40" t="inlineStr">
        <is>
          <t>进港</t>
        </is>
      </c>
      <c r="D1255" s="24" t="inlineStr">
        <is>
          <t>件杂货</t>
        </is>
      </c>
      <c r="E1255" s="24" t="inlineStr">
        <is>
          <t>东南亚</t>
        </is>
      </c>
      <c r="F1255" s="24" t="inlineStr">
        <is>
          <t>06号泊位</t>
        </is>
      </c>
      <c r="G1255" s="25" t="n">
        <v>3561</v>
      </c>
      <c r="H1255" s="41" t="n">
        <v>6.3</v>
      </c>
      <c r="I1255" s="41" t="n">
        <v>8.640000000000001</v>
      </c>
      <c r="J1255" s="41" t="n">
        <v>5.84</v>
      </c>
      <c r="K1255" s="25" t="n">
        <v>0</v>
      </c>
      <c r="L1255" s="26">
        <f>IF(H1255&lt;=J1255,1,0)</f>
        <v>0</v>
      </c>
    </row>
    <row r="1256">
      <c r="A1256" s="19" t="inlineStr">
        <is>
          <t>QL-209-1</t>
        </is>
      </c>
      <c r="B1256" s="36" t="n">
        <v>45866</v>
      </c>
      <c r="C1256" s="37" t="inlineStr">
        <is>
          <t>进港</t>
        </is>
      </c>
      <c r="D1256" s="19" t="inlineStr">
        <is>
          <t>集装箱货物</t>
        </is>
      </c>
      <c r="E1256" s="19" t="inlineStr">
        <is>
          <t>国内沿海</t>
        </is>
      </c>
      <c r="F1256" s="19" t="inlineStr">
        <is>
          <t>01号泊位</t>
        </is>
      </c>
      <c r="G1256" s="20" t="n">
        <v>16683</v>
      </c>
      <c r="H1256" s="38" t="n">
        <v>17.72</v>
      </c>
      <c r="I1256" s="38" t="n">
        <v>1.82</v>
      </c>
      <c r="J1256" s="38" t="n">
        <v>18.54</v>
      </c>
      <c r="K1256" s="20" t="n">
        <v>1002</v>
      </c>
      <c r="L1256" s="26">
        <f>IF(H1256&lt;=J1256,1,0)</f>
        <v>1</v>
      </c>
    </row>
    <row r="1257">
      <c r="A1257" s="24" t="inlineStr">
        <is>
          <t>QL-209-2</t>
        </is>
      </c>
      <c r="B1257" s="39" t="n">
        <v>45866</v>
      </c>
      <c r="C1257" s="40" t="inlineStr">
        <is>
          <t>进港</t>
        </is>
      </c>
      <c r="D1257" s="24" t="inlineStr">
        <is>
          <t>金属矿石</t>
        </is>
      </c>
      <c r="E1257" s="24" t="inlineStr">
        <is>
          <t>东南亚</t>
        </is>
      </c>
      <c r="F1257" s="24" t="inlineStr">
        <is>
          <t>02号泊位</t>
        </is>
      </c>
      <c r="G1257" s="25" t="n">
        <v>30858</v>
      </c>
      <c r="H1257" s="41" t="n">
        <v>21.72</v>
      </c>
      <c r="I1257" s="41" t="n">
        <v>1.8</v>
      </c>
      <c r="J1257" s="41" t="n">
        <v>19.91</v>
      </c>
      <c r="K1257" s="25" t="n">
        <v>0</v>
      </c>
      <c r="L1257" s="26">
        <f>IF(H1257&lt;=J1257,1,0)</f>
        <v>0</v>
      </c>
    </row>
    <row r="1258">
      <c r="A1258" s="19" t="inlineStr">
        <is>
          <t>QL-209-3</t>
        </is>
      </c>
      <c r="B1258" s="36" t="n">
        <v>45866</v>
      </c>
      <c r="C1258" s="37" t="inlineStr">
        <is>
          <t>出港</t>
        </is>
      </c>
      <c r="D1258" s="19" t="inlineStr">
        <is>
          <t>煤炭</t>
        </is>
      </c>
      <c r="E1258" s="19" t="inlineStr">
        <is>
          <t>东南亚</t>
        </is>
      </c>
      <c r="F1258" s="19" t="inlineStr">
        <is>
          <t>03号泊位</t>
        </is>
      </c>
      <c r="G1258" s="20" t="n">
        <v>14891</v>
      </c>
      <c r="H1258" s="38" t="n">
        <v>11.74</v>
      </c>
      <c r="I1258" s="38" t="n">
        <v>1.95</v>
      </c>
      <c r="J1258" s="38" t="n">
        <v>11.28</v>
      </c>
      <c r="K1258" s="20" t="n">
        <v>0</v>
      </c>
      <c r="L1258" s="26">
        <f>IF(H1258&lt;=J1258,1,0)</f>
        <v>0</v>
      </c>
    </row>
    <row r="1259">
      <c r="A1259" s="24" t="inlineStr">
        <is>
          <t>QL-209-4</t>
        </is>
      </c>
      <c r="B1259" s="39" t="n">
        <v>45866</v>
      </c>
      <c r="C1259" s="40" t="inlineStr">
        <is>
          <t>进港</t>
        </is>
      </c>
      <c r="D1259" s="24" t="inlineStr">
        <is>
          <t>粮食</t>
        </is>
      </c>
      <c r="E1259" s="24" t="inlineStr">
        <is>
          <t>国内沿海</t>
        </is>
      </c>
      <c r="F1259" s="24" t="inlineStr">
        <is>
          <t>04号泊位</t>
        </is>
      </c>
      <c r="G1259" s="25" t="n">
        <v>11379</v>
      </c>
      <c r="H1259" s="41" t="n">
        <v>9.470000000000001</v>
      </c>
      <c r="I1259" s="41" t="n">
        <v>2.49</v>
      </c>
      <c r="J1259" s="41" t="n">
        <v>11.16</v>
      </c>
      <c r="K1259" s="25" t="n">
        <v>0</v>
      </c>
      <c r="L1259" s="26">
        <f>IF(H1259&lt;=J1259,1,0)</f>
        <v>1</v>
      </c>
    </row>
    <row r="1260">
      <c r="A1260" s="19" t="inlineStr">
        <is>
          <t>QL-209-5</t>
        </is>
      </c>
      <c r="B1260" s="36" t="n">
        <v>45866</v>
      </c>
      <c r="C1260" s="37" t="inlineStr">
        <is>
          <t>出港</t>
        </is>
      </c>
      <c r="D1260" s="19" t="inlineStr">
        <is>
          <t>液体散货</t>
        </is>
      </c>
      <c r="E1260" s="19" t="inlineStr">
        <is>
          <t>北美</t>
        </is>
      </c>
      <c r="F1260" s="19" t="inlineStr">
        <is>
          <t>05号泊位</t>
        </is>
      </c>
      <c r="G1260" s="20" t="n">
        <v>11739</v>
      </c>
      <c r="H1260" s="38" t="n">
        <v>8.09</v>
      </c>
      <c r="I1260" s="38" t="n">
        <v>0.82</v>
      </c>
      <c r="J1260" s="38" t="n">
        <v>8.15</v>
      </c>
      <c r="K1260" s="20" t="n">
        <v>0</v>
      </c>
      <c r="L1260" s="26">
        <f>IF(H1260&lt;=J1260,1,0)</f>
        <v>1</v>
      </c>
    </row>
    <row r="1261">
      <c r="A1261" s="24" t="inlineStr">
        <is>
          <t>QL-209-6</t>
        </is>
      </c>
      <c r="B1261" s="39" t="n">
        <v>45866</v>
      </c>
      <c r="C1261" s="40" t="inlineStr">
        <is>
          <t>出港</t>
        </is>
      </c>
      <c r="D1261" s="24" t="inlineStr">
        <is>
          <t>件杂货</t>
        </is>
      </c>
      <c r="E1261" s="24" t="inlineStr">
        <is>
          <t>东南亚</t>
        </is>
      </c>
      <c r="F1261" s="24" t="inlineStr">
        <is>
          <t>06号泊位</t>
        </is>
      </c>
      <c r="G1261" s="25" t="n">
        <v>3840</v>
      </c>
      <c r="H1261" s="41" t="n">
        <v>6.59</v>
      </c>
      <c r="I1261" s="41" t="n">
        <v>0.71</v>
      </c>
      <c r="J1261" s="41" t="n">
        <v>6.3</v>
      </c>
      <c r="K1261" s="25" t="n">
        <v>0</v>
      </c>
      <c r="L1261" s="26">
        <f>IF(H1261&lt;=J1261,1,0)</f>
        <v>0</v>
      </c>
    </row>
    <row r="1262">
      <c r="A1262" s="19" t="inlineStr">
        <is>
          <t>QL-210-1</t>
        </is>
      </c>
      <c r="B1262" s="36" t="n">
        <v>45867</v>
      </c>
      <c r="C1262" s="37" t="inlineStr">
        <is>
          <t>出港</t>
        </is>
      </c>
      <c r="D1262" s="19" t="inlineStr">
        <is>
          <t>集装箱货物</t>
        </is>
      </c>
      <c r="E1262" s="19" t="inlineStr">
        <is>
          <t>东南亚</t>
        </is>
      </c>
      <c r="F1262" s="19" t="inlineStr">
        <is>
          <t>01号泊位</t>
        </is>
      </c>
      <c r="G1262" s="20" t="n">
        <v>18899</v>
      </c>
      <c r="H1262" s="38" t="n">
        <v>24.28</v>
      </c>
      <c r="I1262" s="38" t="n">
        <v>0.64</v>
      </c>
      <c r="J1262" s="38" t="n">
        <v>21</v>
      </c>
      <c r="K1262" s="20" t="n">
        <v>1347</v>
      </c>
      <c r="L1262" s="26">
        <f>IF(H1262&lt;=J1262,1,0)</f>
        <v>0</v>
      </c>
    </row>
    <row r="1263">
      <c r="A1263" s="24" t="inlineStr">
        <is>
          <t>QL-210-2</t>
        </is>
      </c>
      <c r="B1263" s="39" t="n">
        <v>45867</v>
      </c>
      <c r="C1263" s="40" t="inlineStr">
        <is>
          <t>进港</t>
        </is>
      </c>
      <c r="D1263" s="24" t="inlineStr">
        <is>
          <t>金属矿石</t>
        </is>
      </c>
      <c r="E1263" s="24" t="inlineStr">
        <is>
          <t>东亚</t>
        </is>
      </c>
      <c r="F1263" s="24" t="inlineStr">
        <is>
          <t>02号泊位</t>
        </is>
      </c>
      <c r="G1263" s="25" t="n">
        <v>27784</v>
      </c>
      <c r="H1263" s="41" t="n">
        <v>16.69</v>
      </c>
      <c r="I1263" s="41" t="n">
        <v>4.79</v>
      </c>
      <c r="J1263" s="41" t="n">
        <v>17.93</v>
      </c>
      <c r="K1263" s="25" t="n">
        <v>0</v>
      </c>
      <c r="L1263" s="26">
        <f>IF(H1263&lt;=J1263,1,0)</f>
        <v>1</v>
      </c>
    </row>
    <row r="1264">
      <c r="A1264" s="19" t="inlineStr">
        <is>
          <t>QL-210-3</t>
        </is>
      </c>
      <c r="B1264" s="36" t="n">
        <v>45867</v>
      </c>
      <c r="C1264" s="37" t="inlineStr">
        <is>
          <t>进港</t>
        </is>
      </c>
      <c r="D1264" s="19" t="inlineStr">
        <is>
          <t>煤炭</t>
        </is>
      </c>
      <c r="E1264" s="19" t="inlineStr">
        <is>
          <t>国内沿海</t>
        </is>
      </c>
      <c r="F1264" s="19" t="inlineStr">
        <is>
          <t>03号泊位</t>
        </is>
      </c>
      <c r="G1264" s="20" t="n">
        <v>18900</v>
      </c>
      <c r="H1264" s="38" t="n">
        <v>15.23</v>
      </c>
      <c r="I1264" s="38" t="n">
        <v>1.16</v>
      </c>
      <c r="J1264" s="38" t="n">
        <v>14.32</v>
      </c>
      <c r="K1264" s="20" t="n">
        <v>0</v>
      </c>
      <c r="L1264" s="26">
        <f>IF(H1264&lt;=J1264,1,0)</f>
        <v>0</v>
      </c>
    </row>
    <row r="1265">
      <c r="A1265" s="24" t="inlineStr">
        <is>
          <t>QL-210-4</t>
        </is>
      </c>
      <c r="B1265" s="39" t="n">
        <v>45867</v>
      </c>
      <c r="C1265" s="40" t="inlineStr">
        <is>
          <t>进港</t>
        </is>
      </c>
      <c r="D1265" s="24" t="inlineStr">
        <is>
          <t>粮食</t>
        </is>
      </c>
      <c r="E1265" s="24" t="inlineStr">
        <is>
          <t>欧洲</t>
        </is>
      </c>
      <c r="F1265" s="24" t="inlineStr">
        <is>
          <t>04号泊位</t>
        </is>
      </c>
      <c r="G1265" s="25" t="n">
        <v>15087</v>
      </c>
      <c r="H1265" s="41" t="n">
        <v>14.9</v>
      </c>
      <c r="I1265" s="41" t="n">
        <v>4.72</v>
      </c>
      <c r="J1265" s="41" t="n">
        <v>14.79</v>
      </c>
      <c r="K1265" s="25" t="n">
        <v>0</v>
      </c>
      <c r="L1265" s="26">
        <f>IF(H1265&lt;=J1265,1,0)</f>
        <v>0</v>
      </c>
    </row>
    <row r="1266">
      <c r="A1266" s="19" t="inlineStr">
        <is>
          <t>QL-210-5</t>
        </is>
      </c>
      <c r="B1266" s="36" t="n">
        <v>45867</v>
      </c>
      <c r="C1266" s="37" t="inlineStr">
        <is>
          <t>进港</t>
        </is>
      </c>
      <c r="D1266" s="19" t="inlineStr">
        <is>
          <t>液体散货</t>
        </is>
      </c>
      <c r="E1266" s="19" t="inlineStr">
        <is>
          <t>欧洲</t>
        </is>
      </c>
      <c r="F1266" s="19" t="inlineStr">
        <is>
          <t>05号泊位</t>
        </is>
      </c>
      <c r="G1266" s="20" t="n">
        <v>17727</v>
      </c>
      <c r="H1266" s="38" t="n">
        <v>11.3</v>
      </c>
      <c r="I1266" s="38" t="n">
        <v>6.18</v>
      </c>
      <c r="J1266" s="38" t="n">
        <v>12.31</v>
      </c>
      <c r="K1266" s="20" t="n">
        <v>0</v>
      </c>
      <c r="L1266" s="26">
        <f>IF(H1266&lt;=J1266,1,0)</f>
        <v>1</v>
      </c>
    </row>
    <row r="1267">
      <c r="A1267" s="24" t="inlineStr">
        <is>
          <t>QL-210-6</t>
        </is>
      </c>
      <c r="B1267" s="39" t="n">
        <v>45867</v>
      </c>
      <c r="C1267" s="40" t="inlineStr">
        <is>
          <t>出港</t>
        </is>
      </c>
      <c r="D1267" s="24" t="inlineStr">
        <is>
          <t>件杂货</t>
        </is>
      </c>
      <c r="E1267" s="24" t="inlineStr">
        <is>
          <t>国内沿海</t>
        </is>
      </c>
      <c r="F1267" s="24" t="inlineStr">
        <is>
          <t>06号泊位</t>
        </is>
      </c>
      <c r="G1267" s="25" t="n">
        <v>6632</v>
      </c>
      <c r="H1267" s="41" t="n">
        <v>11.7</v>
      </c>
      <c r="I1267" s="41" t="n">
        <v>0.93</v>
      </c>
      <c r="J1267" s="41" t="n">
        <v>10.87</v>
      </c>
      <c r="K1267" s="25" t="n">
        <v>0</v>
      </c>
      <c r="L1267" s="26">
        <f>IF(H1267&lt;=J1267,1,0)</f>
        <v>0</v>
      </c>
    </row>
    <row r="1268">
      <c r="A1268" s="19" t="inlineStr">
        <is>
          <t>QL-211-1</t>
        </is>
      </c>
      <c r="B1268" s="36" t="n">
        <v>45868</v>
      </c>
      <c r="C1268" s="37" t="inlineStr">
        <is>
          <t>进港</t>
        </is>
      </c>
      <c r="D1268" s="19" t="inlineStr">
        <is>
          <t>集装箱货物</t>
        </is>
      </c>
      <c r="E1268" s="19" t="inlineStr">
        <is>
          <t>国内沿海</t>
        </is>
      </c>
      <c r="F1268" s="19" t="inlineStr">
        <is>
          <t>01号泊位</t>
        </is>
      </c>
      <c r="G1268" s="20" t="n">
        <v>6632</v>
      </c>
      <c r="H1268" s="38" t="n">
        <v>8.49</v>
      </c>
      <c r="I1268" s="38" t="n">
        <v>4.79</v>
      </c>
      <c r="J1268" s="38" t="n">
        <v>7.37</v>
      </c>
      <c r="K1268" s="20" t="n">
        <v>410</v>
      </c>
      <c r="L1268" s="26">
        <f>IF(H1268&lt;=J1268,1,0)</f>
        <v>0</v>
      </c>
    </row>
    <row r="1269">
      <c r="A1269" s="24" t="inlineStr">
        <is>
          <t>QL-211-2</t>
        </is>
      </c>
      <c r="B1269" s="39" t="n">
        <v>45868</v>
      </c>
      <c r="C1269" s="40" t="inlineStr">
        <is>
          <t>进港</t>
        </is>
      </c>
      <c r="D1269" s="24" t="inlineStr">
        <is>
          <t>金属矿石</t>
        </is>
      </c>
      <c r="E1269" s="24" t="inlineStr">
        <is>
          <t>欧洲</t>
        </is>
      </c>
      <c r="F1269" s="24" t="inlineStr">
        <is>
          <t>02号泊位</t>
        </is>
      </c>
      <c r="G1269" s="25" t="n">
        <v>16659</v>
      </c>
      <c r="H1269" s="41" t="n">
        <v>12.19</v>
      </c>
      <c r="I1269" s="41" t="n">
        <v>2.95</v>
      </c>
      <c r="J1269" s="41" t="n">
        <v>10.75</v>
      </c>
      <c r="K1269" s="25" t="n">
        <v>0</v>
      </c>
      <c r="L1269" s="26">
        <f>IF(H1269&lt;=J1269,1,0)</f>
        <v>0</v>
      </c>
    </row>
    <row r="1270">
      <c r="A1270" s="19" t="inlineStr">
        <is>
          <t>QL-211-3</t>
        </is>
      </c>
      <c r="B1270" s="36" t="n">
        <v>45868</v>
      </c>
      <c r="C1270" s="37" t="inlineStr">
        <is>
          <t>出港</t>
        </is>
      </c>
      <c r="D1270" s="19" t="inlineStr">
        <is>
          <t>煤炭</t>
        </is>
      </c>
      <c r="E1270" s="19" t="inlineStr">
        <is>
          <t>东南亚</t>
        </is>
      </c>
      <c r="F1270" s="19" t="inlineStr">
        <is>
          <t>03号泊位</t>
        </is>
      </c>
      <c r="G1270" s="20" t="n">
        <v>25460</v>
      </c>
      <c r="H1270" s="38" t="n">
        <v>17.75</v>
      </c>
      <c r="I1270" s="38" t="n">
        <v>4.77</v>
      </c>
      <c r="J1270" s="38" t="n">
        <v>19.29</v>
      </c>
      <c r="K1270" s="20" t="n">
        <v>0</v>
      </c>
      <c r="L1270" s="26">
        <f>IF(H1270&lt;=J1270,1,0)</f>
        <v>1</v>
      </c>
    </row>
    <row r="1271">
      <c r="A1271" s="24" t="inlineStr">
        <is>
          <t>QL-211-4</t>
        </is>
      </c>
      <c r="B1271" s="39" t="n">
        <v>45868</v>
      </c>
      <c r="C1271" s="40" t="inlineStr">
        <is>
          <t>进港</t>
        </is>
      </c>
      <c r="D1271" s="24" t="inlineStr">
        <is>
          <t>粮食</t>
        </is>
      </c>
      <c r="E1271" s="24" t="inlineStr">
        <is>
          <t>东亚</t>
        </is>
      </c>
      <c r="F1271" s="24" t="inlineStr">
        <is>
          <t>04号泊位</t>
        </is>
      </c>
      <c r="G1271" s="25" t="n">
        <v>7791</v>
      </c>
      <c r="H1271" s="41" t="n">
        <v>7.71</v>
      </c>
      <c r="I1271" s="41" t="n">
        <v>1.6</v>
      </c>
      <c r="J1271" s="41" t="n">
        <v>7.64</v>
      </c>
      <c r="K1271" s="25" t="n">
        <v>0</v>
      </c>
      <c r="L1271" s="26">
        <f>IF(H1271&lt;=J1271,1,0)</f>
        <v>0</v>
      </c>
    </row>
    <row r="1272">
      <c r="A1272" s="19" t="inlineStr">
        <is>
          <t>QL-211-5</t>
        </is>
      </c>
      <c r="B1272" s="36" t="n">
        <v>45868</v>
      </c>
      <c r="C1272" s="37" t="inlineStr">
        <is>
          <t>出港</t>
        </is>
      </c>
      <c r="D1272" s="19" t="inlineStr">
        <is>
          <t>液体散货</t>
        </is>
      </c>
      <c r="E1272" s="19" t="inlineStr">
        <is>
          <t>北美</t>
        </is>
      </c>
      <c r="F1272" s="19" t="inlineStr">
        <is>
          <t>05号泊位</t>
        </is>
      </c>
      <c r="G1272" s="20" t="n">
        <v>21424</v>
      </c>
      <c r="H1272" s="38" t="n">
        <v>15.56</v>
      </c>
      <c r="I1272" s="38" t="n">
        <v>0.85</v>
      </c>
      <c r="J1272" s="38" t="n">
        <v>14.88</v>
      </c>
      <c r="K1272" s="20" t="n">
        <v>0</v>
      </c>
      <c r="L1272" s="26">
        <f>IF(H1272&lt;=J1272,1,0)</f>
        <v>0</v>
      </c>
    </row>
    <row r="1273">
      <c r="A1273" s="24" t="inlineStr">
        <is>
          <t>QL-211-6</t>
        </is>
      </c>
      <c r="B1273" s="39" t="n">
        <v>45868</v>
      </c>
      <c r="C1273" s="40" t="inlineStr">
        <is>
          <t>出港</t>
        </is>
      </c>
      <c r="D1273" s="24" t="inlineStr">
        <is>
          <t>件杂货</t>
        </is>
      </c>
      <c r="E1273" s="24" t="inlineStr">
        <is>
          <t>东亚</t>
        </is>
      </c>
      <c r="F1273" s="24" t="inlineStr">
        <is>
          <t>06号泊位</t>
        </is>
      </c>
      <c r="G1273" s="25" t="n">
        <v>5769</v>
      </c>
      <c r="H1273" s="41" t="n">
        <v>9.960000000000001</v>
      </c>
      <c r="I1273" s="41" t="n">
        <v>1.4</v>
      </c>
      <c r="J1273" s="41" t="n">
        <v>9.460000000000001</v>
      </c>
      <c r="K1273" s="25" t="n">
        <v>0</v>
      </c>
      <c r="L1273" s="26">
        <f>IF(H1273&lt;=J1273,1,0)</f>
        <v>0</v>
      </c>
    </row>
    <row r="1274">
      <c r="A1274" s="19" t="inlineStr">
        <is>
          <t>QL-212-1</t>
        </is>
      </c>
      <c r="B1274" s="36" t="n">
        <v>45869</v>
      </c>
      <c r="C1274" s="37" t="inlineStr">
        <is>
          <t>进港</t>
        </is>
      </c>
      <c r="D1274" s="19" t="inlineStr">
        <is>
          <t>集装箱货物</t>
        </is>
      </c>
      <c r="E1274" s="19" t="inlineStr">
        <is>
          <t>东南亚</t>
        </is>
      </c>
      <c r="F1274" s="19" t="inlineStr">
        <is>
          <t>01号泊位</t>
        </is>
      </c>
      <c r="G1274" s="20" t="n">
        <v>10894</v>
      </c>
      <c r="H1274" s="38" t="n">
        <v>11.78</v>
      </c>
      <c r="I1274" s="38" t="n">
        <v>1.56</v>
      </c>
      <c r="J1274" s="38" t="n">
        <v>12.1</v>
      </c>
      <c r="K1274" s="20" t="n">
        <v>658</v>
      </c>
      <c r="L1274" s="26">
        <f>IF(H1274&lt;=J1274,1,0)</f>
        <v>1</v>
      </c>
    </row>
    <row r="1275">
      <c r="A1275" s="24" t="inlineStr">
        <is>
          <t>QL-212-2</t>
        </is>
      </c>
      <c r="B1275" s="39" t="n">
        <v>45869</v>
      </c>
      <c r="C1275" s="40" t="inlineStr">
        <is>
          <t>进港</t>
        </is>
      </c>
      <c r="D1275" s="24" t="inlineStr">
        <is>
          <t>金属矿石</t>
        </is>
      </c>
      <c r="E1275" s="24" t="inlineStr">
        <is>
          <t>国内沿海</t>
        </is>
      </c>
      <c r="F1275" s="24" t="inlineStr">
        <is>
          <t>02号泊位</t>
        </is>
      </c>
      <c r="G1275" s="25" t="n">
        <v>17595</v>
      </c>
      <c r="H1275" s="41" t="n">
        <v>9.68</v>
      </c>
      <c r="I1275" s="41" t="n">
        <v>0.79</v>
      </c>
      <c r="J1275" s="41" t="n">
        <v>11.35</v>
      </c>
      <c r="K1275" s="25" t="n">
        <v>0</v>
      </c>
      <c r="L1275" s="26">
        <f>IF(H1275&lt;=J1275,1,0)</f>
        <v>1</v>
      </c>
    </row>
    <row r="1276">
      <c r="A1276" s="19" t="inlineStr">
        <is>
          <t>QL-212-3</t>
        </is>
      </c>
      <c r="B1276" s="36" t="n">
        <v>45869</v>
      </c>
      <c r="C1276" s="37" t="inlineStr">
        <is>
          <t>进港</t>
        </is>
      </c>
      <c r="D1276" s="19" t="inlineStr">
        <is>
          <t>煤炭</t>
        </is>
      </c>
      <c r="E1276" s="19" t="inlineStr">
        <is>
          <t>东亚</t>
        </is>
      </c>
      <c r="F1276" s="19" t="inlineStr">
        <is>
          <t>03号泊位</t>
        </is>
      </c>
      <c r="G1276" s="20" t="n">
        <v>19278</v>
      </c>
      <c r="H1276" s="38" t="n">
        <v>12.28</v>
      </c>
      <c r="I1276" s="38" t="n">
        <v>1.73</v>
      </c>
      <c r="J1276" s="38" t="n">
        <v>14.6</v>
      </c>
      <c r="K1276" s="20" t="n">
        <v>0</v>
      </c>
      <c r="L1276" s="26">
        <f>IF(H1276&lt;=J1276,1,0)</f>
        <v>1</v>
      </c>
    </row>
    <row r="1277">
      <c r="A1277" s="24" t="inlineStr">
        <is>
          <t>QL-212-4</t>
        </is>
      </c>
      <c r="B1277" s="39" t="n">
        <v>45869</v>
      </c>
      <c r="C1277" s="40" t="inlineStr">
        <is>
          <t>进港</t>
        </is>
      </c>
      <c r="D1277" s="24" t="inlineStr">
        <is>
          <t>粮食</t>
        </is>
      </c>
      <c r="E1277" s="24" t="inlineStr">
        <is>
          <t>东南亚</t>
        </is>
      </c>
      <c r="F1277" s="24" t="inlineStr">
        <is>
          <t>04号泊位</t>
        </is>
      </c>
      <c r="G1277" s="25" t="n">
        <v>8996</v>
      </c>
      <c r="H1277" s="41" t="n">
        <v>8.279999999999999</v>
      </c>
      <c r="I1277" s="41" t="n">
        <v>0.79</v>
      </c>
      <c r="J1277" s="41" t="n">
        <v>8.82</v>
      </c>
      <c r="K1277" s="25" t="n">
        <v>0</v>
      </c>
      <c r="L1277" s="26">
        <f>IF(H1277&lt;=J1277,1,0)</f>
        <v>1</v>
      </c>
    </row>
    <row r="1278">
      <c r="A1278" s="19" t="inlineStr">
        <is>
          <t>QL-212-5</t>
        </is>
      </c>
      <c r="B1278" s="36" t="n">
        <v>45869</v>
      </c>
      <c r="C1278" s="37" t="inlineStr">
        <is>
          <t>进港</t>
        </is>
      </c>
      <c r="D1278" s="19" t="inlineStr">
        <is>
          <t>液体散货</t>
        </is>
      </c>
      <c r="E1278" s="19" t="inlineStr">
        <is>
          <t>欧洲</t>
        </is>
      </c>
      <c r="F1278" s="19" t="inlineStr">
        <is>
          <t>05号泊位</t>
        </is>
      </c>
      <c r="G1278" s="20" t="n">
        <v>20315</v>
      </c>
      <c r="H1278" s="38" t="n">
        <v>14.41</v>
      </c>
      <c r="I1278" s="38" t="n">
        <v>1.76</v>
      </c>
      <c r="J1278" s="38" t="n">
        <v>14.11</v>
      </c>
      <c r="K1278" s="20" t="n">
        <v>0</v>
      </c>
      <c r="L1278" s="26">
        <f>IF(H1278&lt;=J1278,1,0)</f>
        <v>0</v>
      </c>
    </row>
    <row r="1279">
      <c r="A1279" s="24" t="inlineStr">
        <is>
          <t>QL-212-6</t>
        </is>
      </c>
      <c r="B1279" s="39" t="n">
        <v>45869</v>
      </c>
      <c r="C1279" s="40" t="inlineStr">
        <is>
          <t>出港</t>
        </is>
      </c>
      <c r="D1279" s="24" t="inlineStr">
        <is>
          <t>件杂货</t>
        </is>
      </c>
      <c r="E1279" s="24" t="inlineStr">
        <is>
          <t>国内沿海</t>
        </is>
      </c>
      <c r="F1279" s="24" t="inlineStr">
        <is>
          <t>06号泊位</t>
        </is>
      </c>
      <c r="G1279" s="25" t="n">
        <v>5716</v>
      </c>
      <c r="H1279" s="41" t="n">
        <v>10.68</v>
      </c>
      <c r="I1279" s="41" t="n">
        <v>0.92</v>
      </c>
      <c r="J1279" s="41" t="n">
        <v>9.369999999999999</v>
      </c>
      <c r="K1279" s="25" t="n">
        <v>0</v>
      </c>
      <c r="L1279" s="26">
        <f>IF(H1279&lt;=J1279,1,0)</f>
        <v>0</v>
      </c>
    </row>
    <row r="1280">
      <c r="A1280" s="19" t="inlineStr">
        <is>
          <t>QL-213-1</t>
        </is>
      </c>
      <c r="B1280" s="36" t="n">
        <v>45870</v>
      </c>
      <c r="C1280" s="37" t="inlineStr">
        <is>
          <t>出港</t>
        </is>
      </c>
      <c r="D1280" s="19" t="inlineStr">
        <is>
          <t>集装箱货物</t>
        </is>
      </c>
      <c r="E1280" s="19" t="inlineStr">
        <is>
          <t>北美</t>
        </is>
      </c>
      <c r="F1280" s="19" t="inlineStr">
        <is>
          <t>01号泊位</t>
        </is>
      </c>
      <c r="G1280" s="20" t="n">
        <v>7817</v>
      </c>
      <c r="H1280" s="38" t="n">
        <v>9.32</v>
      </c>
      <c r="I1280" s="38" t="n">
        <v>5.92</v>
      </c>
      <c r="J1280" s="38" t="n">
        <v>8.69</v>
      </c>
      <c r="K1280" s="20" t="n">
        <v>575</v>
      </c>
      <c r="L1280" s="26">
        <f>IF(H1280&lt;=J1280,1,0)</f>
        <v>0</v>
      </c>
    </row>
    <row r="1281">
      <c r="A1281" s="24" t="inlineStr">
        <is>
          <t>QL-213-2</t>
        </is>
      </c>
      <c r="B1281" s="39" t="n">
        <v>45870</v>
      </c>
      <c r="C1281" s="40" t="inlineStr">
        <is>
          <t>进港</t>
        </is>
      </c>
      <c r="D1281" s="24" t="inlineStr">
        <is>
          <t>金属矿石</t>
        </is>
      </c>
      <c r="E1281" s="24" t="inlineStr">
        <is>
          <t>国内沿海</t>
        </is>
      </c>
      <c r="F1281" s="24" t="inlineStr">
        <is>
          <t>02号泊位</t>
        </is>
      </c>
      <c r="G1281" s="25" t="n">
        <v>21571</v>
      </c>
      <c r="H1281" s="41" t="n">
        <v>13.8</v>
      </c>
      <c r="I1281" s="41" t="n">
        <v>0.78</v>
      </c>
      <c r="J1281" s="41" t="n">
        <v>13.92</v>
      </c>
      <c r="K1281" s="25" t="n">
        <v>0</v>
      </c>
      <c r="L1281" s="26">
        <f>IF(H1281&lt;=J1281,1,0)</f>
        <v>1</v>
      </c>
    </row>
    <row r="1282">
      <c r="A1282" s="19" t="inlineStr">
        <is>
          <t>QL-213-3</t>
        </is>
      </c>
      <c r="B1282" s="36" t="n">
        <v>45870</v>
      </c>
      <c r="C1282" s="37" t="inlineStr">
        <is>
          <t>进港</t>
        </is>
      </c>
      <c r="D1282" s="19" t="inlineStr">
        <is>
          <t>煤炭</t>
        </is>
      </c>
      <c r="E1282" s="19" t="inlineStr">
        <is>
          <t>东南亚</t>
        </is>
      </c>
      <c r="F1282" s="19" t="inlineStr">
        <is>
          <t>03号泊位</t>
        </is>
      </c>
      <c r="G1282" s="20" t="n">
        <v>12167</v>
      </c>
      <c r="H1282" s="38" t="n">
        <v>9.42</v>
      </c>
      <c r="I1282" s="38" t="n">
        <v>1.42</v>
      </c>
      <c r="J1282" s="38" t="n">
        <v>9.220000000000001</v>
      </c>
      <c r="K1282" s="20" t="n">
        <v>0</v>
      </c>
      <c r="L1282" s="26">
        <f>IF(H1282&lt;=J1282,1,0)</f>
        <v>0</v>
      </c>
    </row>
    <row r="1283">
      <c r="A1283" s="24" t="inlineStr">
        <is>
          <t>QL-213-4</t>
        </is>
      </c>
      <c r="B1283" s="39" t="n">
        <v>45870</v>
      </c>
      <c r="C1283" s="40" t="inlineStr">
        <is>
          <t>进港</t>
        </is>
      </c>
      <c r="D1283" s="24" t="inlineStr">
        <is>
          <t>粮食</t>
        </is>
      </c>
      <c r="E1283" s="24" t="inlineStr">
        <is>
          <t>东南亚</t>
        </is>
      </c>
      <c r="F1283" s="24" t="inlineStr">
        <is>
          <t>04号泊位</t>
        </is>
      </c>
      <c r="G1283" s="25" t="n">
        <v>8172</v>
      </c>
      <c r="H1283" s="41" t="n">
        <v>7.52</v>
      </c>
      <c r="I1283" s="41" t="n">
        <v>1.21</v>
      </c>
      <c r="J1283" s="41" t="n">
        <v>8.01</v>
      </c>
      <c r="K1283" s="25" t="n">
        <v>0</v>
      </c>
      <c r="L1283" s="26">
        <f>IF(H1283&lt;=J1283,1,0)</f>
        <v>1</v>
      </c>
    </row>
    <row r="1284">
      <c r="A1284" s="19" t="inlineStr">
        <is>
          <t>QL-213-5</t>
        </is>
      </c>
      <c r="B1284" s="36" t="n">
        <v>45870</v>
      </c>
      <c r="C1284" s="37" t="inlineStr">
        <is>
          <t>进港</t>
        </is>
      </c>
      <c r="D1284" s="19" t="inlineStr">
        <is>
          <t>液体散货</t>
        </is>
      </c>
      <c r="E1284" s="19" t="inlineStr">
        <is>
          <t>国内沿海</t>
        </is>
      </c>
      <c r="F1284" s="19" t="inlineStr">
        <is>
          <t>05号泊位</t>
        </is>
      </c>
      <c r="G1284" s="20" t="n">
        <v>11601</v>
      </c>
      <c r="H1284" s="38" t="n">
        <v>8.69</v>
      </c>
      <c r="I1284" s="38" t="n">
        <v>3.46</v>
      </c>
      <c r="J1284" s="38" t="n">
        <v>8.06</v>
      </c>
      <c r="K1284" s="20" t="n">
        <v>0</v>
      </c>
      <c r="L1284" s="26">
        <f>IF(H1284&lt;=J1284,1,0)</f>
        <v>0</v>
      </c>
    </row>
    <row r="1285">
      <c r="A1285" s="24" t="inlineStr">
        <is>
          <t>QL-213-6</t>
        </is>
      </c>
      <c r="B1285" s="39" t="n">
        <v>45870</v>
      </c>
      <c r="C1285" s="40" t="inlineStr">
        <is>
          <t>出港</t>
        </is>
      </c>
      <c r="D1285" s="24" t="inlineStr">
        <is>
          <t>件杂货</t>
        </is>
      </c>
      <c r="E1285" s="24" t="inlineStr">
        <is>
          <t>北美</t>
        </is>
      </c>
      <c r="F1285" s="24" t="inlineStr">
        <is>
          <t>06号泊位</t>
        </is>
      </c>
      <c r="G1285" s="25" t="n">
        <v>4181</v>
      </c>
      <c r="H1285" s="41" t="n">
        <v>6.81</v>
      </c>
      <c r="I1285" s="41" t="n">
        <v>3.82</v>
      </c>
      <c r="J1285" s="41" t="n">
        <v>6.85</v>
      </c>
      <c r="K1285" s="25" t="n">
        <v>0</v>
      </c>
      <c r="L1285" s="26">
        <f>IF(H1285&lt;=J1285,1,0)</f>
        <v>1</v>
      </c>
    </row>
    <row r="1286">
      <c r="A1286" s="19" t="inlineStr">
        <is>
          <t>QL-214-1</t>
        </is>
      </c>
      <c r="B1286" s="36" t="n">
        <v>45871</v>
      </c>
      <c r="C1286" s="37" t="inlineStr">
        <is>
          <t>进港</t>
        </is>
      </c>
      <c r="D1286" s="19" t="inlineStr">
        <is>
          <t>集装箱货物</t>
        </is>
      </c>
      <c r="E1286" s="19" t="inlineStr">
        <is>
          <t>北美</t>
        </is>
      </c>
      <c r="F1286" s="19" t="inlineStr">
        <is>
          <t>01号泊位</t>
        </is>
      </c>
      <c r="G1286" s="20" t="n">
        <v>14924</v>
      </c>
      <c r="H1286" s="38" t="n">
        <v>17.54</v>
      </c>
      <c r="I1286" s="38" t="n">
        <v>3.47</v>
      </c>
      <c r="J1286" s="38" t="n">
        <v>16.58</v>
      </c>
      <c r="K1286" s="20" t="n">
        <v>879</v>
      </c>
      <c r="L1286" s="26">
        <f>IF(H1286&lt;=J1286,1,0)</f>
        <v>0</v>
      </c>
    </row>
    <row r="1287">
      <c r="A1287" s="24" t="inlineStr">
        <is>
          <t>QL-214-2</t>
        </is>
      </c>
      <c r="B1287" s="39" t="n">
        <v>45871</v>
      </c>
      <c r="C1287" s="40" t="inlineStr">
        <is>
          <t>出港</t>
        </is>
      </c>
      <c r="D1287" s="24" t="inlineStr">
        <is>
          <t>金属矿石</t>
        </is>
      </c>
      <c r="E1287" s="24" t="inlineStr">
        <is>
          <t>东南亚</t>
        </is>
      </c>
      <c r="F1287" s="24" t="inlineStr">
        <is>
          <t>02号泊位</t>
        </is>
      </c>
      <c r="G1287" s="25" t="n">
        <v>19022</v>
      </c>
      <c r="H1287" s="41" t="n">
        <v>11.31</v>
      </c>
      <c r="I1287" s="41" t="n">
        <v>2.77</v>
      </c>
      <c r="J1287" s="41" t="n">
        <v>12.27</v>
      </c>
      <c r="K1287" s="25" t="n">
        <v>0</v>
      </c>
      <c r="L1287" s="26">
        <f>IF(H1287&lt;=J1287,1,0)</f>
        <v>1</v>
      </c>
    </row>
    <row r="1288">
      <c r="A1288" s="19" t="inlineStr">
        <is>
          <t>QL-214-3</t>
        </is>
      </c>
      <c r="B1288" s="36" t="n">
        <v>45871</v>
      </c>
      <c r="C1288" s="37" t="inlineStr">
        <is>
          <t>进港</t>
        </is>
      </c>
      <c r="D1288" s="19" t="inlineStr">
        <is>
          <t>煤炭</t>
        </is>
      </c>
      <c r="E1288" s="19" t="inlineStr">
        <is>
          <t>东亚</t>
        </is>
      </c>
      <c r="F1288" s="19" t="inlineStr">
        <is>
          <t>03号泊位</t>
        </is>
      </c>
      <c r="G1288" s="20" t="n">
        <v>20666</v>
      </c>
      <c r="H1288" s="38" t="n">
        <v>13.46</v>
      </c>
      <c r="I1288" s="38" t="n">
        <v>2.73</v>
      </c>
      <c r="J1288" s="38" t="n">
        <v>15.66</v>
      </c>
      <c r="K1288" s="20" t="n">
        <v>0</v>
      </c>
      <c r="L1288" s="26">
        <f>IF(H1288&lt;=J1288,1,0)</f>
        <v>1</v>
      </c>
    </row>
    <row r="1289">
      <c r="A1289" s="24" t="inlineStr">
        <is>
          <t>QL-214-4</t>
        </is>
      </c>
      <c r="B1289" s="39" t="n">
        <v>45871</v>
      </c>
      <c r="C1289" s="40" t="inlineStr">
        <is>
          <t>进港</t>
        </is>
      </c>
      <c r="D1289" s="24" t="inlineStr">
        <is>
          <t>粮食</t>
        </is>
      </c>
      <c r="E1289" s="24" t="inlineStr">
        <is>
          <t>欧洲</t>
        </is>
      </c>
      <c r="F1289" s="24" t="inlineStr">
        <is>
          <t>04号泊位</t>
        </is>
      </c>
      <c r="G1289" s="25" t="n">
        <v>7869</v>
      </c>
      <c r="H1289" s="41" t="n">
        <v>8.19</v>
      </c>
      <c r="I1289" s="41" t="n">
        <v>0.64</v>
      </c>
      <c r="J1289" s="41" t="n">
        <v>7.71</v>
      </c>
      <c r="K1289" s="25" t="n">
        <v>0</v>
      </c>
      <c r="L1289" s="26">
        <f>IF(H1289&lt;=J1289,1,0)</f>
        <v>0</v>
      </c>
    </row>
    <row r="1290">
      <c r="A1290" s="19" t="inlineStr">
        <is>
          <t>QL-214-5</t>
        </is>
      </c>
      <c r="B1290" s="36" t="n">
        <v>45871</v>
      </c>
      <c r="C1290" s="37" t="inlineStr">
        <is>
          <t>进港</t>
        </is>
      </c>
      <c r="D1290" s="19" t="inlineStr">
        <is>
          <t>液体散货</t>
        </is>
      </c>
      <c r="E1290" s="19" t="inlineStr">
        <is>
          <t>东亚</t>
        </is>
      </c>
      <c r="F1290" s="19" t="inlineStr">
        <is>
          <t>05号泊位</t>
        </is>
      </c>
      <c r="G1290" s="20" t="n">
        <v>12746</v>
      </c>
      <c r="H1290" s="38" t="n">
        <v>9.85</v>
      </c>
      <c r="I1290" s="38" t="n">
        <v>0.9399999999999999</v>
      </c>
      <c r="J1290" s="38" t="n">
        <v>8.85</v>
      </c>
      <c r="K1290" s="20" t="n">
        <v>0</v>
      </c>
      <c r="L1290" s="26">
        <f>IF(H1290&lt;=J1290,1,0)</f>
        <v>0</v>
      </c>
    </row>
    <row r="1291">
      <c r="A1291" s="24" t="inlineStr">
        <is>
          <t>QL-214-6</t>
        </is>
      </c>
      <c r="B1291" s="39" t="n">
        <v>45871</v>
      </c>
      <c r="C1291" s="40" t="inlineStr">
        <is>
          <t>出港</t>
        </is>
      </c>
      <c r="D1291" s="24" t="inlineStr">
        <is>
          <t>件杂货</t>
        </is>
      </c>
      <c r="E1291" s="24" t="inlineStr">
        <is>
          <t>北美</t>
        </is>
      </c>
      <c r="F1291" s="24" t="inlineStr">
        <is>
          <t>06号泊位</t>
        </is>
      </c>
      <c r="G1291" s="25" t="n">
        <v>5130</v>
      </c>
      <c r="H1291" s="41" t="n">
        <v>8.199999999999999</v>
      </c>
      <c r="I1291" s="41" t="n">
        <v>0.33</v>
      </c>
      <c r="J1291" s="41" t="n">
        <v>8.41</v>
      </c>
      <c r="K1291" s="25" t="n">
        <v>0</v>
      </c>
      <c r="L1291" s="26">
        <f>IF(H1291&lt;=J1291,1,0)</f>
        <v>1</v>
      </c>
    </row>
    <row r="1292">
      <c r="A1292" s="19" t="inlineStr">
        <is>
          <t>QL-215-1</t>
        </is>
      </c>
      <c r="B1292" s="36" t="n">
        <v>45872</v>
      </c>
      <c r="C1292" s="37" t="inlineStr">
        <is>
          <t>进港</t>
        </is>
      </c>
      <c r="D1292" s="19" t="inlineStr">
        <is>
          <t>集装箱货物</t>
        </is>
      </c>
      <c r="E1292" s="19" t="inlineStr">
        <is>
          <t>东南亚</t>
        </is>
      </c>
      <c r="F1292" s="19" t="inlineStr">
        <is>
          <t>01号泊位</t>
        </is>
      </c>
      <c r="G1292" s="20" t="n">
        <v>12244</v>
      </c>
      <c r="H1292" s="38" t="n">
        <v>15.43</v>
      </c>
      <c r="I1292" s="38" t="n">
        <v>1.4</v>
      </c>
      <c r="J1292" s="38" t="n">
        <v>13.6</v>
      </c>
      <c r="K1292" s="20" t="n">
        <v>1001</v>
      </c>
      <c r="L1292" s="26">
        <f>IF(H1292&lt;=J1292,1,0)</f>
        <v>0</v>
      </c>
    </row>
    <row r="1293">
      <c r="A1293" s="24" t="inlineStr">
        <is>
          <t>QL-215-2</t>
        </is>
      </c>
      <c r="B1293" s="39" t="n">
        <v>45872</v>
      </c>
      <c r="C1293" s="40" t="inlineStr">
        <is>
          <t>进港</t>
        </is>
      </c>
      <c r="D1293" s="24" t="inlineStr">
        <is>
          <t>金属矿石</t>
        </is>
      </c>
      <c r="E1293" s="24" t="inlineStr">
        <is>
          <t>国内沿海</t>
        </is>
      </c>
      <c r="F1293" s="24" t="inlineStr">
        <is>
          <t>02号泊位</t>
        </is>
      </c>
      <c r="G1293" s="25" t="n">
        <v>26453</v>
      </c>
      <c r="H1293" s="41" t="n">
        <v>16.97</v>
      </c>
      <c r="I1293" s="41" t="n">
        <v>5.28</v>
      </c>
      <c r="J1293" s="41" t="n">
        <v>17.07</v>
      </c>
      <c r="K1293" s="25" t="n">
        <v>0</v>
      </c>
      <c r="L1293" s="26">
        <f>IF(H1293&lt;=J1293,1,0)</f>
        <v>1</v>
      </c>
    </row>
    <row r="1294">
      <c r="A1294" s="19" t="inlineStr">
        <is>
          <t>QL-215-3</t>
        </is>
      </c>
      <c r="B1294" s="36" t="n">
        <v>45872</v>
      </c>
      <c r="C1294" s="37" t="inlineStr">
        <is>
          <t>进港</t>
        </is>
      </c>
      <c r="D1294" s="19" t="inlineStr">
        <is>
          <t>煤炭</t>
        </is>
      </c>
      <c r="E1294" s="19" t="inlineStr">
        <is>
          <t>国内沿海</t>
        </is>
      </c>
      <c r="F1294" s="19" t="inlineStr">
        <is>
          <t>03号泊位</t>
        </is>
      </c>
      <c r="G1294" s="20" t="n">
        <v>10510</v>
      </c>
      <c r="H1294" s="38" t="n">
        <v>9.210000000000001</v>
      </c>
      <c r="I1294" s="38" t="n">
        <v>1.2</v>
      </c>
      <c r="J1294" s="38" t="n">
        <v>7.96</v>
      </c>
      <c r="K1294" s="20" t="n">
        <v>0</v>
      </c>
      <c r="L1294" s="26">
        <f>IF(H1294&lt;=J1294,1,0)</f>
        <v>0</v>
      </c>
    </row>
    <row r="1295">
      <c r="A1295" s="24" t="inlineStr">
        <is>
          <t>QL-215-4</t>
        </is>
      </c>
      <c r="B1295" s="39" t="n">
        <v>45872</v>
      </c>
      <c r="C1295" s="40" t="inlineStr">
        <is>
          <t>进港</t>
        </is>
      </c>
      <c r="D1295" s="24" t="inlineStr">
        <is>
          <t>粮食</t>
        </is>
      </c>
      <c r="E1295" s="24" t="inlineStr">
        <is>
          <t>欧洲</t>
        </is>
      </c>
      <c r="F1295" s="24" t="inlineStr">
        <is>
          <t>04号泊位</t>
        </is>
      </c>
      <c r="G1295" s="25" t="n">
        <v>9587</v>
      </c>
      <c r="H1295" s="41" t="n">
        <v>9.609999999999999</v>
      </c>
      <c r="I1295" s="41" t="n">
        <v>3.92</v>
      </c>
      <c r="J1295" s="41" t="n">
        <v>9.4</v>
      </c>
      <c r="K1295" s="25" t="n">
        <v>0</v>
      </c>
      <c r="L1295" s="26">
        <f>IF(H1295&lt;=J1295,1,0)</f>
        <v>0</v>
      </c>
    </row>
    <row r="1296">
      <c r="A1296" s="19" t="inlineStr">
        <is>
          <t>QL-215-5</t>
        </is>
      </c>
      <c r="B1296" s="36" t="n">
        <v>45872</v>
      </c>
      <c r="C1296" s="37" t="inlineStr">
        <is>
          <t>出港</t>
        </is>
      </c>
      <c r="D1296" s="19" t="inlineStr">
        <is>
          <t>液体散货</t>
        </is>
      </c>
      <c r="E1296" s="19" t="inlineStr">
        <is>
          <t>东南亚</t>
        </is>
      </c>
      <c r="F1296" s="19" t="inlineStr">
        <is>
          <t>05号泊位</t>
        </is>
      </c>
      <c r="G1296" s="20" t="n">
        <v>14141</v>
      </c>
      <c r="H1296" s="38" t="n">
        <v>10.02</v>
      </c>
      <c r="I1296" s="38" t="n">
        <v>1.75</v>
      </c>
      <c r="J1296" s="38" t="n">
        <v>9.82</v>
      </c>
      <c r="K1296" s="20" t="n">
        <v>0</v>
      </c>
      <c r="L1296" s="26">
        <f>IF(H1296&lt;=J1296,1,0)</f>
        <v>0</v>
      </c>
    </row>
    <row r="1297">
      <c r="A1297" s="24" t="inlineStr">
        <is>
          <t>QL-215-6</t>
        </is>
      </c>
      <c r="B1297" s="39" t="n">
        <v>45872</v>
      </c>
      <c r="C1297" s="40" t="inlineStr">
        <is>
          <t>出港</t>
        </is>
      </c>
      <c r="D1297" s="24" t="inlineStr">
        <is>
          <t>件杂货</t>
        </is>
      </c>
      <c r="E1297" s="24" t="inlineStr">
        <is>
          <t>东南亚</t>
        </is>
      </c>
      <c r="F1297" s="24" t="inlineStr">
        <is>
          <t>06号泊位</t>
        </is>
      </c>
      <c r="G1297" s="25" t="n">
        <v>4894</v>
      </c>
      <c r="H1297" s="41" t="n">
        <v>7.2</v>
      </c>
      <c r="I1297" s="41" t="n">
        <v>1.49</v>
      </c>
      <c r="J1297" s="41" t="n">
        <v>8.02</v>
      </c>
      <c r="K1297" s="25" t="n">
        <v>0</v>
      </c>
      <c r="L1297" s="26">
        <f>IF(H1297&lt;=J1297,1,0)</f>
        <v>1</v>
      </c>
    </row>
    <row r="1298">
      <c r="A1298" s="19" t="inlineStr">
        <is>
          <t>QL-216-1</t>
        </is>
      </c>
      <c r="B1298" s="36" t="n">
        <v>45873</v>
      </c>
      <c r="C1298" s="37" t="inlineStr">
        <is>
          <t>进港</t>
        </is>
      </c>
      <c r="D1298" s="19" t="inlineStr">
        <is>
          <t>集装箱货物</t>
        </is>
      </c>
      <c r="E1298" s="19" t="inlineStr">
        <is>
          <t>东南亚</t>
        </is>
      </c>
      <c r="F1298" s="19" t="inlineStr">
        <is>
          <t>01号泊位</t>
        </is>
      </c>
      <c r="G1298" s="20" t="n">
        <v>9200</v>
      </c>
      <c r="H1298" s="38" t="n">
        <v>9.039999999999999</v>
      </c>
      <c r="I1298" s="38" t="n">
        <v>3.9</v>
      </c>
      <c r="J1298" s="38" t="n">
        <v>10.22</v>
      </c>
      <c r="K1298" s="20" t="n">
        <v>674</v>
      </c>
      <c r="L1298" s="26">
        <f>IF(H1298&lt;=J1298,1,0)</f>
        <v>1</v>
      </c>
    </row>
    <row r="1299">
      <c r="A1299" s="24" t="inlineStr">
        <is>
          <t>QL-216-2</t>
        </is>
      </c>
      <c r="B1299" s="39" t="n">
        <v>45873</v>
      </c>
      <c r="C1299" s="40" t="inlineStr">
        <is>
          <t>出港</t>
        </is>
      </c>
      <c r="D1299" s="24" t="inlineStr">
        <is>
          <t>金属矿石</t>
        </is>
      </c>
      <c r="E1299" s="24" t="inlineStr">
        <is>
          <t>东南亚</t>
        </is>
      </c>
      <c r="F1299" s="24" t="inlineStr">
        <is>
          <t>02号泊位</t>
        </is>
      </c>
      <c r="G1299" s="25" t="n">
        <v>36101</v>
      </c>
      <c r="H1299" s="41" t="n">
        <v>24.95</v>
      </c>
      <c r="I1299" s="41" t="n">
        <v>2.92</v>
      </c>
      <c r="J1299" s="41" t="n">
        <v>23.29</v>
      </c>
      <c r="K1299" s="25" t="n">
        <v>0</v>
      </c>
      <c r="L1299" s="26">
        <f>IF(H1299&lt;=J1299,1,0)</f>
        <v>0</v>
      </c>
    </row>
    <row r="1300">
      <c r="A1300" s="19" t="inlineStr">
        <is>
          <t>QL-216-3</t>
        </is>
      </c>
      <c r="B1300" s="36" t="n">
        <v>45873</v>
      </c>
      <c r="C1300" s="37" t="inlineStr">
        <is>
          <t>进港</t>
        </is>
      </c>
      <c r="D1300" s="19" t="inlineStr">
        <is>
          <t>煤炭</t>
        </is>
      </c>
      <c r="E1300" s="19" t="inlineStr">
        <is>
          <t>东亚</t>
        </is>
      </c>
      <c r="F1300" s="19" t="inlineStr">
        <is>
          <t>03号泊位</t>
        </is>
      </c>
      <c r="G1300" s="20" t="n">
        <v>16226</v>
      </c>
      <c r="H1300" s="38" t="n">
        <v>12.63</v>
      </c>
      <c r="I1300" s="38" t="n">
        <v>2.39</v>
      </c>
      <c r="J1300" s="38" t="n">
        <v>12.29</v>
      </c>
      <c r="K1300" s="20" t="n">
        <v>0</v>
      </c>
      <c r="L1300" s="26">
        <f>IF(H1300&lt;=J1300,1,0)</f>
        <v>0</v>
      </c>
    </row>
    <row r="1301">
      <c r="A1301" s="24" t="inlineStr">
        <is>
          <t>QL-216-4</t>
        </is>
      </c>
      <c r="B1301" s="39" t="n">
        <v>45873</v>
      </c>
      <c r="C1301" s="40" t="inlineStr">
        <is>
          <t>进港</t>
        </is>
      </c>
      <c r="D1301" s="24" t="inlineStr">
        <is>
          <t>粮食</t>
        </is>
      </c>
      <c r="E1301" s="24" t="inlineStr">
        <is>
          <t>北美</t>
        </is>
      </c>
      <c r="F1301" s="24" t="inlineStr">
        <is>
          <t>04号泊位</t>
        </is>
      </c>
      <c r="G1301" s="25" t="n">
        <v>10653</v>
      </c>
      <c r="H1301" s="41" t="n">
        <v>11.35</v>
      </c>
      <c r="I1301" s="41" t="n">
        <v>4.31</v>
      </c>
      <c r="J1301" s="41" t="n">
        <v>10.44</v>
      </c>
      <c r="K1301" s="25" t="n">
        <v>0</v>
      </c>
      <c r="L1301" s="26">
        <f>IF(H1301&lt;=J1301,1,0)</f>
        <v>0</v>
      </c>
    </row>
    <row r="1302">
      <c r="A1302" s="19" t="inlineStr">
        <is>
          <t>QL-216-5</t>
        </is>
      </c>
      <c r="B1302" s="36" t="n">
        <v>45873</v>
      </c>
      <c r="C1302" s="37" t="inlineStr">
        <is>
          <t>进港</t>
        </is>
      </c>
      <c r="D1302" s="19" t="inlineStr">
        <is>
          <t>液体散货</t>
        </is>
      </c>
      <c r="E1302" s="19" t="inlineStr">
        <is>
          <t>欧洲</t>
        </is>
      </c>
      <c r="F1302" s="19" t="inlineStr">
        <is>
          <t>05号泊位</t>
        </is>
      </c>
      <c r="G1302" s="20" t="n">
        <v>9322</v>
      </c>
      <c r="H1302" s="38" t="n">
        <v>6.44</v>
      </c>
      <c r="I1302" s="38" t="n">
        <v>0.93</v>
      </c>
      <c r="J1302" s="38" t="n">
        <v>6.47</v>
      </c>
      <c r="K1302" s="20" t="n">
        <v>0</v>
      </c>
      <c r="L1302" s="26">
        <f>IF(H1302&lt;=J1302,1,0)</f>
        <v>1</v>
      </c>
    </row>
    <row r="1303">
      <c r="A1303" s="24" t="inlineStr">
        <is>
          <t>QL-216-6</t>
        </is>
      </c>
      <c r="B1303" s="39" t="n">
        <v>45873</v>
      </c>
      <c r="C1303" s="40" t="inlineStr">
        <is>
          <t>出港</t>
        </is>
      </c>
      <c r="D1303" s="24" t="inlineStr">
        <is>
          <t>件杂货</t>
        </is>
      </c>
      <c r="E1303" s="24" t="inlineStr">
        <is>
          <t>东南亚</t>
        </is>
      </c>
      <c r="F1303" s="24" t="inlineStr">
        <is>
          <t>06号泊位</t>
        </is>
      </c>
      <c r="G1303" s="25" t="n">
        <v>6435</v>
      </c>
      <c r="H1303" s="41" t="n">
        <v>11.89</v>
      </c>
      <c r="I1303" s="41" t="n">
        <v>1.24</v>
      </c>
      <c r="J1303" s="41" t="n">
        <v>10.55</v>
      </c>
      <c r="K1303" s="25" t="n">
        <v>0</v>
      </c>
      <c r="L1303" s="26">
        <f>IF(H1303&lt;=J1303,1,0)</f>
        <v>0</v>
      </c>
    </row>
    <row r="1304">
      <c r="A1304" s="19" t="inlineStr">
        <is>
          <t>QL-217-1</t>
        </is>
      </c>
      <c r="B1304" s="36" t="n">
        <v>45874</v>
      </c>
      <c r="C1304" s="37" t="inlineStr">
        <is>
          <t>进港</t>
        </is>
      </c>
      <c r="D1304" s="19" t="inlineStr">
        <is>
          <t>集装箱货物</t>
        </is>
      </c>
      <c r="E1304" s="19" t="inlineStr">
        <is>
          <t>东南亚</t>
        </is>
      </c>
      <c r="F1304" s="19" t="inlineStr">
        <is>
          <t>01号泊位</t>
        </is>
      </c>
      <c r="G1304" s="20" t="n">
        <v>11770</v>
      </c>
      <c r="H1304" s="38" t="n">
        <v>15.5</v>
      </c>
      <c r="I1304" s="38" t="n">
        <v>4.27</v>
      </c>
      <c r="J1304" s="38" t="n">
        <v>13.08</v>
      </c>
      <c r="K1304" s="20" t="n">
        <v>868</v>
      </c>
      <c r="L1304" s="26">
        <f>IF(H1304&lt;=J1304,1,0)</f>
        <v>0</v>
      </c>
    </row>
    <row r="1305">
      <c r="A1305" s="24" t="inlineStr">
        <is>
          <t>QL-217-2</t>
        </is>
      </c>
      <c r="B1305" s="39" t="n">
        <v>45874</v>
      </c>
      <c r="C1305" s="40" t="inlineStr">
        <is>
          <t>进港</t>
        </is>
      </c>
      <c r="D1305" s="24" t="inlineStr">
        <is>
          <t>金属矿石</t>
        </is>
      </c>
      <c r="E1305" s="24" t="inlineStr">
        <is>
          <t>国内沿海</t>
        </is>
      </c>
      <c r="F1305" s="24" t="inlineStr">
        <is>
          <t>02号泊位</t>
        </is>
      </c>
      <c r="G1305" s="25" t="n">
        <v>14195</v>
      </c>
      <c r="H1305" s="41" t="n">
        <v>8.23</v>
      </c>
      <c r="I1305" s="41" t="n">
        <v>2.35</v>
      </c>
      <c r="J1305" s="41" t="n">
        <v>9.16</v>
      </c>
      <c r="K1305" s="25" t="n">
        <v>0</v>
      </c>
      <c r="L1305" s="26">
        <f>IF(H1305&lt;=J1305,1,0)</f>
        <v>1</v>
      </c>
    </row>
    <row r="1306">
      <c r="A1306" s="19" t="inlineStr">
        <is>
          <t>QL-217-3</t>
        </is>
      </c>
      <c r="B1306" s="36" t="n">
        <v>45874</v>
      </c>
      <c r="C1306" s="37" t="inlineStr">
        <is>
          <t>进港</t>
        </is>
      </c>
      <c r="D1306" s="19" t="inlineStr">
        <is>
          <t>煤炭</t>
        </is>
      </c>
      <c r="E1306" s="19" t="inlineStr">
        <is>
          <t>北美</t>
        </is>
      </c>
      <c r="F1306" s="19" t="inlineStr">
        <is>
          <t>03号泊位</t>
        </is>
      </c>
      <c r="G1306" s="20" t="n">
        <v>12283</v>
      </c>
      <c r="H1306" s="38" t="n">
        <v>7.7</v>
      </c>
      <c r="I1306" s="38" t="n">
        <v>3.19</v>
      </c>
      <c r="J1306" s="38" t="n">
        <v>9.31</v>
      </c>
      <c r="K1306" s="20" t="n">
        <v>0</v>
      </c>
      <c r="L1306" s="26">
        <f>IF(H1306&lt;=J1306,1,0)</f>
        <v>1</v>
      </c>
    </row>
    <row r="1307">
      <c r="A1307" s="24" t="inlineStr">
        <is>
          <t>QL-217-4</t>
        </is>
      </c>
      <c r="B1307" s="39" t="n">
        <v>45874</v>
      </c>
      <c r="C1307" s="40" t="inlineStr">
        <is>
          <t>出港</t>
        </is>
      </c>
      <c r="D1307" s="24" t="inlineStr">
        <is>
          <t>粮食</t>
        </is>
      </c>
      <c r="E1307" s="24" t="inlineStr">
        <is>
          <t>东南亚</t>
        </is>
      </c>
      <c r="F1307" s="24" t="inlineStr">
        <is>
          <t>04号泊位</t>
        </is>
      </c>
      <c r="G1307" s="25" t="n">
        <v>9000</v>
      </c>
      <c r="H1307" s="41" t="n">
        <v>9.18</v>
      </c>
      <c r="I1307" s="41" t="n">
        <v>4.38</v>
      </c>
      <c r="J1307" s="41" t="n">
        <v>8.82</v>
      </c>
      <c r="K1307" s="25" t="n">
        <v>0</v>
      </c>
      <c r="L1307" s="26">
        <f>IF(H1307&lt;=J1307,1,0)</f>
        <v>0</v>
      </c>
    </row>
    <row r="1308">
      <c r="A1308" s="19" t="inlineStr">
        <is>
          <t>QL-217-5</t>
        </is>
      </c>
      <c r="B1308" s="36" t="n">
        <v>45874</v>
      </c>
      <c r="C1308" s="37" t="inlineStr">
        <is>
          <t>进港</t>
        </is>
      </c>
      <c r="D1308" s="19" t="inlineStr">
        <is>
          <t>液体散货</t>
        </is>
      </c>
      <c r="E1308" s="19" t="inlineStr">
        <is>
          <t>东亚</t>
        </is>
      </c>
      <c r="F1308" s="19" t="inlineStr">
        <is>
          <t>05号泊位</t>
        </is>
      </c>
      <c r="G1308" s="20" t="n">
        <v>9926</v>
      </c>
      <c r="H1308" s="38" t="n">
        <v>5.93</v>
      </c>
      <c r="I1308" s="38" t="n">
        <v>2.54</v>
      </c>
      <c r="J1308" s="38" t="n">
        <v>6.89</v>
      </c>
      <c r="K1308" s="20" t="n">
        <v>0</v>
      </c>
      <c r="L1308" s="26">
        <f>IF(H1308&lt;=J1308,1,0)</f>
        <v>1</v>
      </c>
    </row>
    <row r="1309">
      <c r="A1309" s="24" t="inlineStr">
        <is>
          <t>QL-217-6</t>
        </is>
      </c>
      <c r="B1309" s="39" t="n">
        <v>45874</v>
      </c>
      <c r="C1309" s="40" t="inlineStr">
        <is>
          <t>出港</t>
        </is>
      </c>
      <c r="D1309" s="24" t="inlineStr">
        <is>
          <t>件杂货</t>
        </is>
      </c>
      <c r="E1309" s="24" t="inlineStr">
        <is>
          <t>东南亚</t>
        </is>
      </c>
      <c r="F1309" s="24" t="inlineStr">
        <is>
          <t>06号泊位</t>
        </is>
      </c>
      <c r="G1309" s="25" t="n">
        <v>6659</v>
      </c>
      <c r="H1309" s="41" t="n">
        <v>11.04</v>
      </c>
      <c r="I1309" s="41" t="n">
        <v>1.71</v>
      </c>
      <c r="J1309" s="41" t="n">
        <v>10.92</v>
      </c>
      <c r="K1309" s="25" t="n">
        <v>0</v>
      </c>
      <c r="L1309" s="26">
        <f>IF(H1309&lt;=J1309,1,0)</f>
        <v>0</v>
      </c>
    </row>
    <row r="1310">
      <c r="A1310" s="19" t="inlineStr">
        <is>
          <t>QL-218-1</t>
        </is>
      </c>
      <c r="B1310" s="36" t="n">
        <v>45875</v>
      </c>
      <c r="C1310" s="37" t="inlineStr">
        <is>
          <t>出港</t>
        </is>
      </c>
      <c r="D1310" s="19" t="inlineStr">
        <is>
          <t>集装箱货物</t>
        </is>
      </c>
      <c r="E1310" s="19" t="inlineStr">
        <is>
          <t>欧洲</t>
        </is>
      </c>
      <c r="F1310" s="19" t="inlineStr">
        <is>
          <t>01号泊位</t>
        </is>
      </c>
      <c r="G1310" s="20" t="n">
        <v>9421</v>
      </c>
      <c r="H1310" s="38" t="n">
        <v>12.38</v>
      </c>
      <c r="I1310" s="38" t="n">
        <v>3.61</v>
      </c>
      <c r="J1310" s="38" t="n">
        <v>10.47</v>
      </c>
      <c r="K1310" s="20" t="n">
        <v>658</v>
      </c>
      <c r="L1310" s="26">
        <f>IF(H1310&lt;=J1310,1,0)</f>
        <v>0</v>
      </c>
    </row>
    <row r="1311">
      <c r="A1311" s="24" t="inlineStr">
        <is>
          <t>QL-218-2</t>
        </is>
      </c>
      <c r="B1311" s="39" t="n">
        <v>45875</v>
      </c>
      <c r="C1311" s="40" t="inlineStr">
        <is>
          <t>进港</t>
        </is>
      </c>
      <c r="D1311" s="24" t="inlineStr">
        <is>
          <t>金属矿石</t>
        </is>
      </c>
      <c r="E1311" s="24" t="inlineStr">
        <is>
          <t>东亚</t>
        </is>
      </c>
      <c r="F1311" s="24" t="inlineStr">
        <is>
          <t>02号泊位</t>
        </is>
      </c>
      <c r="G1311" s="25" t="n">
        <v>13176</v>
      </c>
      <c r="H1311" s="41" t="n">
        <v>9.140000000000001</v>
      </c>
      <c r="I1311" s="41" t="n">
        <v>0.72</v>
      </c>
      <c r="J1311" s="41" t="n">
        <v>8.5</v>
      </c>
      <c r="K1311" s="25" t="n">
        <v>0</v>
      </c>
      <c r="L1311" s="26">
        <f>IF(H1311&lt;=J1311,1,0)</f>
        <v>0</v>
      </c>
    </row>
    <row r="1312">
      <c r="A1312" s="19" t="inlineStr">
        <is>
          <t>QL-218-3</t>
        </is>
      </c>
      <c r="B1312" s="36" t="n">
        <v>45875</v>
      </c>
      <c r="C1312" s="37" t="inlineStr">
        <is>
          <t>进港</t>
        </is>
      </c>
      <c r="D1312" s="19" t="inlineStr">
        <is>
          <t>煤炭</t>
        </is>
      </c>
      <c r="E1312" s="19" t="inlineStr">
        <is>
          <t>国内沿海</t>
        </is>
      </c>
      <c r="F1312" s="19" t="inlineStr">
        <is>
          <t>03号泊位</t>
        </is>
      </c>
      <c r="G1312" s="20" t="n">
        <v>18155</v>
      </c>
      <c r="H1312" s="38" t="n">
        <v>15.44</v>
      </c>
      <c r="I1312" s="38" t="n">
        <v>2.64</v>
      </c>
      <c r="J1312" s="38" t="n">
        <v>13.75</v>
      </c>
      <c r="K1312" s="20" t="n">
        <v>0</v>
      </c>
      <c r="L1312" s="26">
        <f>IF(H1312&lt;=J1312,1,0)</f>
        <v>0</v>
      </c>
    </row>
    <row r="1313">
      <c r="A1313" s="24" t="inlineStr">
        <is>
          <t>QL-218-4</t>
        </is>
      </c>
      <c r="B1313" s="39" t="n">
        <v>45875</v>
      </c>
      <c r="C1313" s="40" t="inlineStr">
        <is>
          <t>进港</t>
        </is>
      </c>
      <c r="D1313" s="24" t="inlineStr">
        <is>
          <t>粮食</t>
        </is>
      </c>
      <c r="E1313" s="24" t="inlineStr">
        <is>
          <t>北美</t>
        </is>
      </c>
      <c r="F1313" s="24" t="inlineStr">
        <is>
          <t>04号泊位</t>
        </is>
      </c>
      <c r="G1313" s="25" t="n">
        <v>8988</v>
      </c>
      <c r="H1313" s="41" t="n">
        <v>7.41</v>
      </c>
      <c r="I1313" s="41" t="n">
        <v>2.78</v>
      </c>
      <c r="J1313" s="41" t="n">
        <v>8.81</v>
      </c>
      <c r="K1313" s="25" t="n">
        <v>0</v>
      </c>
      <c r="L1313" s="26">
        <f>IF(H1313&lt;=J1313,1,0)</f>
        <v>1</v>
      </c>
    </row>
    <row r="1314">
      <c r="A1314" s="19" t="inlineStr">
        <is>
          <t>QL-218-5</t>
        </is>
      </c>
      <c r="B1314" s="36" t="n">
        <v>45875</v>
      </c>
      <c r="C1314" s="37" t="inlineStr">
        <is>
          <t>进港</t>
        </is>
      </c>
      <c r="D1314" s="19" t="inlineStr">
        <is>
          <t>液体散货</t>
        </is>
      </c>
      <c r="E1314" s="19" t="inlineStr">
        <is>
          <t>欧洲</t>
        </is>
      </c>
      <c r="F1314" s="19" t="inlineStr">
        <is>
          <t>05号泊位</t>
        </is>
      </c>
      <c r="G1314" s="20" t="n">
        <v>15936</v>
      </c>
      <c r="H1314" s="38" t="n">
        <v>9.800000000000001</v>
      </c>
      <c r="I1314" s="38" t="n">
        <v>3.37</v>
      </c>
      <c r="J1314" s="38" t="n">
        <v>11.07</v>
      </c>
      <c r="K1314" s="20" t="n">
        <v>0</v>
      </c>
      <c r="L1314" s="26">
        <f>IF(H1314&lt;=J1314,1,0)</f>
        <v>1</v>
      </c>
    </row>
    <row r="1315">
      <c r="A1315" s="24" t="inlineStr">
        <is>
          <t>QL-218-6</t>
        </is>
      </c>
      <c r="B1315" s="39" t="n">
        <v>45875</v>
      </c>
      <c r="C1315" s="40" t="inlineStr">
        <is>
          <t>出港</t>
        </is>
      </c>
      <c r="D1315" s="24" t="inlineStr">
        <is>
          <t>件杂货</t>
        </is>
      </c>
      <c r="E1315" s="24" t="inlineStr">
        <is>
          <t>东南亚</t>
        </is>
      </c>
      <c r="F1315" s="24" t="inlineStr">
        <is>
          <t>06号泊位</t>
        </is>
      </c>
      <c r="G1315" s="25" t="n">
        <v>6626</v>
      </c>
      <c r="H1315" s="41" t="n">
        <v>13.05</v>
      </c>
      <c r="I1315" s="41" t="n">
        <v>4.01</v>
      </c>
      <c r="J1315" s="41" t="n">
        <v>10.86</v>
      </c>
      <c r="K1315" s="25" t="n">
        <v>0</v>
      </c>
      <c r="L1315" s="26">
        <f>IF(H1315&lt;=J1315,1,0)</f>
        <v>0</v>
      </c>
    </row>
    <row r="1316">
      <c r="A1316" s="19" t="inlineStr">
        <is>
          <t>QL-219-1</t>
        </is>
      </c>
      <c r="B1316" s="36" t="n">
        <v>45876</v>
      </c>
      <c r="C1316" s="37" t="inlineStr">
        <is>
          <t>出港</t>
        </is>
      </c>
      <c r="D1316" s="19" t="inlineStr">
        <is>
          <t>集装箱货物</t>
        </is>
      </c>
      <c r="E1316" s="19" t="inlineStr">
        <is>
          <t>东南亚</t>
        </is>
      </c>
      <c r="F1316" s="19" t="inlineStr">
        <is>
          <t>01号泊位</t>
        </is>
      </c>
      <c r="G1316" s="20" t="n">
        <v>11350</v>
      </c>
      <c r="H1316" s="38" t="n">
        <v>11.03</v>
      </c>
      <c r="I1316" s="38" t="n">
        <v>3.1</v>
      </c>
      <c r="J1316" s="38" t="n">
        <v>12.61</v>
      </c>
      <c r="K1316" s="20" t="n">
        <v>787</v>
      </c>
      <c r="L1316" s="26">
        <f>IF(H1316&lt;=J1316,1,0)</f>
        <v>1</v>
      </c>
    </row>
    <row r="1317">
      <c r="A1317" s="24" t="inlineStr">
        <is>
          <t>QL-219-2</t>
        </is>
      </c>
      <c r="B1317" s="39" t="n">
        <v>45876</v>
      </c>
      <c r="C1317" s="40" t="inlineStr">
        <is>
          <t>进港</t>
        </is>
      </c>
      <c r="D1317" s="24" t="inlineStr">
        <is>
          <t>金属矿石</t>
        </is>
      </c>
      <c r="E1317" s="24" t="inlineStr">
        <is>
          <t>东亚</t>
        </is>
      </c>
      <c r="F1317" s="24" t="inlineStr">
        <is>
          <t>02号泊位</t>
        </is>
      </c>
      <c r="G1317" s="25" t="n">
        <v>18392</v>
      </c>
      <c r="H1317" s="41" t="n">
        <v>10.78</v>
      </c>
      <c r="I1317" s="41" t="n">
        <v>2.85</v>
      </c>
      <c r="J1317" s="41" t="n">
        <v>11.87</v>
      </c>
      <c r="K1317" s="25" t="n">
        <v>0</v>
      </c>
      <c r="L1317" s="26">
        <f>IF(H1317&lt;=J1317,1,0)</f>
        <v>1</v>
      </c>
    </row>
    <row r="1318">
      <c r="A1318" s="19" t="inlineStr">
        <is>
          <t>QL-219-3</t>
        </is>
      </c>
      <c r="B1318" s="36" t="n">
        <v>45876</v>
      </c>
      <c r="C1318" s="37" t="inlineStr">
        <is>
          <t>进港</t>
        </is>
      </c>
      <c r="D1318" s="19" t="inlineStr">
        <is>
          <t>煤炭</t>
        </is>
      </c>
      <c r="E1318" s="19" t="inlineStr">
        <is>
          <t>国内沿海</t>
        </is>
      </c>
      <c r="F1318" s="19" t="inlineStr">
        <is>
          <t>03号泊位</t>
        </is>
      </c>
      <c r="G1318" s="20" t="n">
        <v>12133</v>
      </c>
      <c r="H1318" s="38" t="n">
        <v>10.24</v>
      </c>
      <c r="I1318" s="38" t="n">
        <v>3.6</v>
      </c>
      <c r="J1318" s="38" t="n">
        <v>9.19</v>
      </c>
      <c r="K1318" s="20" t="n">
        <v>0</v>
      </c>
      <c r="L1318" s="26">
        <f>IF(H1318&lt;=J1318,1,0)</f>
        <v>0</v>
      </c>
    </row>
    <row r="1319">
      <c r="A1319" s="24" t="inlineStr">
        <is>
          <t>QL-219-4</t>
        </is>
      </c>
      <c r="B1319" s="39" t="n">
        <v>45876</v>
      </c>
      <c r="C1319" s="40" t="inlineStr">
        <is>
          <t>出港</t>
        </is>
      </c>
      <c r="D1319" s="24" t="inlineStr">
        <is>
          <t>粮食</t>
        </is>
      </c>
      <c r="E1319" s="24" t="inlineStr">
        <is>
          <t>东南亚</t>
        </is>
      </c>
      <c r="F1319" s="24" t="inlineStr">
        <is>
          <t>04号泊位</t>
        </is>
      </c>
      <c r="G1319" s="25" t="n">
        <v>10261</v>
      </c>
      <c r="H1319" s="41" t="n">
        <v>11.49</v>
      </c>
      <c r="I1319" s="41" t="n">
        <v>2.36</v>
      </c>
      <c r="J1319" s="41" t="n">
        <v>10.06</v>
      </c>
      <c r="K1319" s="25" t="n">
        <v>0</v>
      </c>
      <c r="L1319" s="26">
        <f>IF(H1319&lt;=J1319,1,0)</f>
        <v>0</v>
      </c>
    </row>
    <row r="1320">
      <c r="A1320" s="19" t="inlineStr">
        <is>
          <t>QL-219-5</t>
        </is>
      </c>
      <c r="B1320" s="36" t="n">
        <v>45876</v>
      </c>
      <c r="C1320" s="37" t="inlineStr">
        <is>
          <t>出港</t>
        </is>
      </c>
      <c r="D1320" s="19" t="inlineStr">
        <is>
          <t>液体散货</t>
        </is>
      </c>
      <c r="E1320" s="19" t="inlineStr">
        <is>
          <t>东亚</t>
        </is>
      </c>
      <c r="F1320" s="19" t="inlineStr">
        <is>
          <t>05号泊位</t>
        </is>
      </c>
      <c r="G1320" s="20" t="n">
        <v>14981</v>
      </c>
      <c r="H1320" s="38" t="n">
        <v>10.29</v>
      </c>
      <c r="I1320" s="38" t="n">
        <v>2.29</v>
      </c>
      <c r="J1320" s="38" t="n">
        <v>10.4</v>
      </c>
      <c r="K1320" s="20" t="n">
        <v>0</v>
      </c>
      <c r="L1320" s="26">
        <f>IF(H1320&lt;=J1320,1,0)</f>
        <v>1</v>
      </c>
    </row>
    <row r="1321">
      <c r="A1321" s="24" t="inlineStr">
        <is>
          <t>QL-219-6</t>
        </is>
      </c>
      <c r="B1321" s="39" t="n">
        <v>45876</v>
      </c>
      <c r="C1321" s="40" t="inlineStr">
        <is>
          <t>出港</t>
        </is>
      </c>
      <c r="D1321" s="24" t="inlineStr">
        <is>
          <t>件杂货</t>
        </is>
      </c>
      <c r="E1321" s="24" t="inlineStr">
        <is>
          <t>国内沿海</t>
        </is>
      </c>
      <c r="F1321" s="24" t="inlineStr">
        <is>
          <t>06号泊位</t>
        </is>
      </c>
      <c r="G1321" s="25" t="n">
        <v>5772</v>
      </c>
      <c r="H1321" s="41" t="n">
        <v>11.22</v>
      </c>
      <c r="I1321" s="41" t="n">
        <v>3.65</v>
      </c>
      <c r="J1321" s="41" t="n">
        <v>9.460000000000001</v>
      </c>
      <c r="K1321" s="25" t="n">
        <v>0</v>
      </c>
      <c r="L1321" s="26">
        <f>IF(H1321&lt;=J1321,1,0)</f>
        <v>0</v>
      </c>
    </row>
    <row r="1322">
      <c r="A1322" s="19" t="inlineStr">
        <is>
          <t>QL-220-1</t>
        </is>
      </c>
      <c r="B1322" s="36" t="n">
        <v>45877</v>
      </c>
      <c r="C1322" s="37" t="inlineStr">
        <is>
          <t>进港</t>
        </is>
      </c>
      <c r="D1322" s="19" t="inlineStr">
        <is>
          <t>集装箱货物</t>
        </is>
      </c>
      <c r="E1322" s="19" t="inlineStr">
        <is>
          <t>东亚</t>
        </is>
      </c>
      <c r="F1322" s="19" t="inlineStr">
        <is>
          <t>01号泊位</t>
        </is>
      </c>
      <c r="G1322" s="20" t="n">
        <v>7105</v>
      </c>
      <c r="H1322" s="38" t="n">
        <v>8.73</v>
      </c>
      <c r="I1322" s="38" t="n">
        <v>4.32</v>
      </c>
      <c r="J1322" s="38" t="n">
        <v>7.89</v>
      </c>
      <c r="K1322" s="20" t="n">
        <v>427</v>
      </c>
      <c r="L1322" s="26">
        <f>IF(H1322&lt;=J1322,1,0)</f>
        <v>0</v>
      </c>
    </row>
    <row r="1323">
      <c r="A1323" s="24" t="inlineStr">
        <is>
          <t>QL-220-2</t>
        </is>
      </c>
      <c r="B1323" s="39" t="n">
        <v>45877</v>
      </c>
      <c r="C1323" s="40" t="inlineStr">
        <is>
          <t>进港</t>
        </is>
      </c>
      <c r="D1323" s="24" t="inlineStr">
        <is>
          <t>金属矿石</t>
        </is>
      </c>
      <c r="E1323" s="24" t="inlineStr">
        <is>
          <t>欧洲</t>
        </is>
      </c>
      <c r="F1323" s="24" t="inlineStr">
        <is>
          <t>02号泊位</t>
        </is>
      </c>
      <c r="G1323" s="25" t="n">
        <v>22559</v>
      </c>
      <c r="H1323" s="41" t="n">
        <v>14.39</v>
      </c>
      <c r="I1323" s="41" t="n">
        <v>1.54</v>
      </c>
      <c r="J1323" s="41" t="n">
        <v>14.55</v>
      </c>
      <c r="K1323" s="25" t="n">
        <v>0</v>
      </c>
      <c r="L1323" s="26">
        <f>IF(H1323&lt;=J1323,1,0)</f>
        <v>1</v>
      </c>
    </row>
    <row r="1324">
      <c r="A1324" s="19" t="inlineStr">
        <is>
          <t>QL-220-3</t>
        </is>
      </c>
      <c r="B1324" s="36" t="n">
        <v>45877</v>
      </c>
      <c r="C1324" s="37" t="inlineStr">
        <is>
          <t>进港</t>
        </is>
      </c>
      <c r="D1324" s="19" t="inlineStr">
        <is>
          <t>煤炭</t>
        </is>
      </c>
      <c r="E1324" s="19" t="inlineStr">
        <is>
          <t>东南亚</t>
        </is>
      </c>
      <c r="F1324" s="19" t="inlineStr">
        <is>
          <t>03号泊位</t>
        </is>
      </c>
      <c r="G1324" s="20" t="n">
        <v>16754</v>
      </c>
      <c r="H1324" s="38" t="n">
        <v>12.91</v>
      </c>
      <c r="I1324" s="38" t="n">
        <v>1.55</v>
      </c>
      <c r="J1324" s="38" t="n">
        <v>12.69</v>
      </c>
      <c r="K1324" s="20" t="n">
        <v>0</v>
      </c>
      <c r="L1324" s="26">
        <f>IF(H1324&lt;=J1324,1,0)</f>
        <v>0</v>
      </c>
    </row>
    <row r="1325">
      <c r="A1325" s="24" t="inlineStr">
        <is>
          <t>QL-220-4</t>
        </is>
      </c>
      <c r="B1325" s="39" t="n">
        <v>45877</v>
      </c>
      <c r="C1325" s="40" t="inlineStr">
        <is>
          <t>出港</t>
        </is>
      </c>
      <c r="D1325" s="24" t="inlineStr">
        <is>
          <t>粮食</t>
        </is>
      </c>
      <c r="E1325" s="24" t="inlineStr">
        <is>
          <t>国内沿海</t>
        </is>
      </c>
      <c r="F1325" s="24" t="inlineStr">
        <is>
          <t>04号泊位</t>
        </is>
      </c>
      <c r="G1325" s="25" t="n">
        <v>10915</v>
      </c>
      <c r="H1325" s="41" t="n">
        <v>9.34</v>
      </c>
      <c r="I1325" s="41" t="n">
        <v>1.36</v>
      </c>
      <c r="J1325" s="41" t="n">
        <v>10.7</v>
      </c>
      <c r="K1325" s="25" t="n">
        <v>0</v>
      </c>
      <c r="L1325" s="26">
        <f>IF(H1325&lt;=J1325,1,0)</f>
        <v>1</v>
      </c>
    </row>
    <row r="1326">
      <c r="A1326" s="19" t="inlineStr">
        <is>
          <t>QL-220-5</t>
        </is>
      </c>
      <c r="B1326" s="36" t="n">
        <v>45877</v>
      </c>
      <c r="C1326" s="37" t="inlineStr">
        <is>
          <t>出港</t>
        </is>
      </c>
      <c r="D1326" s="19" t="inlineStr">
        <is>
          <t>液体散货</t>
        </is>
      </c>
      <c r="E1326" s="19" t="inlineStr">
        <is>
          <t>东亚</t>
        </is>
      </c>
      <c r="F1326" s="19" t="inlineStr">
        <is>
          <t>05号泊位</t>
        </is>
      </c>
      <c r="G1326" s="20" t="n">
        <v>15352</v>
      </c>
      <c r="H1326" s="38" t="n">
        <v>9.859999999999999</v>
      </c>
      <c r="I1326" s="38" t="n">
        <v>3.91</v>
      </c>
      <c r="J1326" s="38" t="n">
        <v>10.66</v>
      </c>
      <c r="K1326" s="20" t="n">
        <v>0</v>
      </c>
      <c r="L1326" s="26">
        <f>IF(H1326&lt;=J1326,1,0)</f>
        <v>1</v>
      </c>
    </row>
    <row r="1327">
      <c r="A1327" s="24" t="inlineStr">
        <is>
          <t>QL-220-6</t>
        </is>
      </c>
      <c r="B1327" s="39" t="n">
        <v>45877</v>
      </c>
      <c r="C1327" s="40" t="inlineStr">
        <is>
          <t>进港</t>
        </is>
      </c>
      <c r="D1327" s="24" t="inlineStr">
        <is>
          <t>件杂货</t>
        </is>
      </c>
      <c r="E1327" s="24" t="inlineStr">
        <is>
          <t>欧洲</t>
        </is>
      </c>
      <c r="F1327" s="24" t="inlineStr">
        <is>
          <t>06号泊位</t>
        </is>
      </c>
      <c r="G1327" s="25" t="n">
        <v>5625</v>
      </c>
      <c r="H1327" s="41" t="n">
        <v>10.39</v>
      </c>
      <c r="I1327" s="41" t="n">
        <v>2.92</v>
      </c>
      <c r="J1327" s="41" t="n">
        <v>9.220000000000001</v>
      </c>
      <c r="K1327" s="25" t="n">
        <v>0</v>
      </c>
      <c r="L1327" s="26">
        <f>IF(H1327&lt;=J1327,1,0)</f>
        <v>0</v>
      </c>
    </row>
    <row r="1328">
      <c r="A1328" s="19" t="inlineStr">
        <is>
          <t>QL-221-1</t>
        </is>
      </c>
      <c r="B1328" s="36" t="n">
        <v>45878</v>
      </c>
      <c r="C1328" s="37" t="inlineStr">
        <is>
          <t>进港</t>
        </is>
      </c>
      <c r="D1328" s="19" t="inlineStr">
        <is>
          <t>集装箱货物</t>
        </is>
      </c>
      <c r="E1328" s="19" t="inlineStr">
        <is>
          <t>欧洲</t>
        </is>
      </c>
      <c r="F1328" s="19" t="inlineStr">
        <is>
          <t>01号泊位</t>
        </is>
      </c>
      <c r="G1328" s="20" t="n">
        <v>10565</v>
      </c>
      <c r="H1328" s="38" t="n">
        <v>10.53</v>
      </c>
      <c r="I1328" s="38" t="n">
        <v>0.99</v>
      </c>
      <c r="J1328" s="38" t="n">
        <v>11.74</v>
      </c>
      <c r="K1328" s="20" t="n">
        <v>795</v>
      </c>
      <c r="L1328" s="26">
        <f>IF(H1328&lt;=J1328,1,0)</f>
        <v>1</v>
      </c>
    </row>
    <row r="1329">
      <c r="A1329" s="24" t="inlineStr">
        <is>
          <t>QL-221-2</t>
        </is>
      </c>
      <c r="B1329" s="39" t="n">
        <v>45878</v>
      </c>
      <c r="C1329" s="40" t="inlineStr">
        <is>
          <t>进港</t>
        </is>
      </c>
      <c r="D1329" s="24" t="inlineStr">
        <is>
          <t>金属矿石</t>
        </is>
      </c>
      <c r="E1329" s="24" t="inlineStr">
        <is>
          <t>欧洲</t>
        </is>
      </c>
      <c r="F1329" s="24" t="inlineStr">
        <is>
          <t>02号泊位</t>
        </is>
      </c>
      <c r="G1329" s="25" t="n">
        <v>20157</v>
      </c>
      <c r="H1329" s="41" t="n">
        <v>11.02</v>
      </c>
      <c r="I1329" s="41" t="n">
        <v>3.34</v>
      </c>
      <c r="J1329" s="41" t="n">
        <v>13</v>
      </c>
      <c r="K1329" s="25" t="n">
        <v>0</v>
      </c>
      <c r="L1329" s="26">
        <f>IF(H1329&lt;=J1329,1,0)</f>
        <v>1</v>
      </c>
    </row>
    <row r="1330">
      <c r="A1330" s="19" t="inlineStr">
        <is>
          <t>QL-221-3</t>
        </is>
      </c>
      <c r="B1330" s="36" t="n">
        <v>45878</v>
      </c>
      <c r="C1330" s="37" t="inlineStr">
        <is>
          <t>出港</t>
        </is>
      </c>
      <c r="D1330" s="19" t="inlineStr">
        <is>
          <t>煤炭</t>
        </is>
      </c>
      <c r="E1330" s="19" t="inlineStr">
        <is>
          <t>欧洲</t>
        </is>
      </c>
      <c r="F1330" s="19" t="inlineStr">
        <is>
          <t>03号泊位</t>
        </is>
      </c>
      <c r="G1330" s="20" t="n">
        <v>18283</v>
      </c>
      <c r="H1330" s="38" t="n">
        <v>13.82</v>
      </c>
      <c r="I1330" s="38" t="n">
        <v>2.75</v>
      </c>
      <c r="J1330" s="38" t="n">
        <v>13.85</v>
      </c>
      <c r="K1330" s="20" t="n">
        <v>0</v>
      </c>
      <c r="L1330" s="26">
        <f>IF(H1330&lt;=J1330,1,0)</f>
        <v>1</v>
      </c>
    </row>
    <row r="1331">
      <c r="A1331" s="24" t="inlineStr">
        <is>
          <t>QL-221-4</t>
        </is>
      </c>
      <c r="B1331" s="39" t="n">
        <v>45878</v>
      </c>
      <c r="C1331" s="40" t="inlineStr">
        <is>
          <t>进港</t>
        </is>
      </c>
      <c r="D1331" s="24" t="inlineStr">
        <is>
          <t>粮食</t>
        </is>
      </c>
      <c r="E1331" s="24" t="inlineStr">
        <is>
          <t>东南亚</t>
        </is>
      </c>
      <c r="F1331" s="24" t="inlineStr">
        <is>
          <t>04号泊位</t>
        </is>
      </c>
      <c r="G1331" s="25" t="n">
        <v>10762</v>
      </c>
      <c r="H1331" s="41" t="n">
        <v>10.35</v>
      </c>
      <c r="I1331" s="41" t="n">
        <v>0.92</v>
      </c>
      <c r="J1331" s="41" t="n">
        <v>10.55</v>
      </c>
      <c r="K1331" s="25" t="n">
        <v>0</v>
      </c>
      <c r="L1331" s="26">
        <f>IF(H1331&lt;=J1331,1,0)</f>
        <v>1</v>
      </c>
    </row>
    <row r="1332">
      <c r="A1332" s="19" t="inlineStr">
        <is>
          <t>QL-221-5</t>
        </is>
      </c>
      <c r="B1332" s="36" t="n">
        <v>45878</v>
      </c>
      <c r="C1332" s="37" t="inlineStr">
        <is>
          <t>出港</t>
        </is>
      </c>
      <c r="D1332" s="19" t="inlineStr">
        <is>
          <t>液体散货</t>
        </is>
      </c>
      <c r="E1332" s="19" t="inlineStr">
        <is>
          <t>欧洲</t>
        </is>
      </c>
      <c r="F1332" s="19" t="inlineStr">
        <is>
          <t>05号泊位</t>
        </is>
      </c>
      <c r="G1332" s="20" t="n">
        <v>20178</v>
      </c>
      <c r="H1332" s="38" t="n">
        <v>13.38</v>
      </c>
      <c r="I1332" s="38" t="n">
        <v>1.16</v>
      </c>
      <c r="J1332" s="38" t="n">
        <v>14.01</v>
      </c>
      <c r="K1332" s="20" t="n">
        <v>0</v>
      </c>
      <c r="L1332" s="26">
        <f>IF(H1332&lt;=J1332,1,0)</f>
        <v>1</v>
      </c>
    </row>
    <row r="1333">
      <c r="A1333" s="24" t="inlineStr">
        <is>
          <t>QL-221-6</t>
        </is>
      </c>
      <c r="B1333" s="39" t="n">
        <v>45878</v>
      </c>
      <c r="C1333" s="40" t="inlineStr">
        <is>
          <t>出港</t>
        </is>
      </c>
      <c r="D1333" s="24" t="inlineStr">
        <is>
          <t>件杂货</t>
        </is>
      </c>
      <c r="E1333" s="24" t="inlineStr">
        <is>
          <t>欧洲</t>
        </is>
      </c>
      <c r="F1333" s="24" t="inlineStr">
        <is>
          <t>06号泊位</t>
        </is>
      </c>
      <c r="G1333" s="25" t="n">
        <v>3065</v>
      </c>
      <c r="H1333" s="41" t="n">
        <v>5.69</v>
      </c>
      <c r="I1333" s="41" t="n">
        <v>8.74</v>
      </c>
      <c r="J1333" s="41" t="n">
        <v>5.02</v>
      </c>
      <c r="K1333" s="25" t="n">
        <v>0</v>
      </c>
      <c r="L1333" s="26">
        <f>IF(H1333&lt;=J1333,1,0)</f>
        <v>0</v>
      </c>
    </row>
    <row r="1334">
      <c r="A1334" s="19" t="inlineStr">
        <is>
          <t>QL-222-1</t>
        </is>
      </c>
      <c r="B1334" s="36" t="n">
        <v>45879</v>
      </c>
      <c r="C1334" s="37" t="inlineStr">
        <is>
          <t>进港</t>
        </is>
      </c>
      <c r="D1334" s="19" t="inlineStr">
        <is>
          <t>集装箱货物</t>
        </is>
      </c>
      <c r="E1334" s="19" t="inlineStr">
        <is>
          <t>国内沿海</t>
        </is>
      </c>
      <c r="F1334" s="19" t="inlineStr">
        <is>
          <t>01号泊位</t>
        </is>
      </c>
      <c r="G1334" s="20" t="n">
        <v>10917</v>
      </c>
      <c r="H1334" s="38" t="n">
        <v>13.88</v>
      </c>
      <c r="I1334" s="38" t="n">
        <v>1.69</v>
      </c>
      <c r="J1334" s="38" t="n">
        <v>12.13</v>
      </c>
      <c r="K1334" s="20" t="n">
        <v>772</v>
      </c>
      <c r="L1334" s="26">
        <f>IF(H1334&lt;=J1334,1,0)</f>
        <v>0</v>
      </c>
    </row>
    <row r="1335">
      <c r="A1335" s="24" t="inlineStr">
        <is>
          <t>QL-222-2</t>
        </is>
      </c>
      <c r="B1335" s="39" t="n">
        <v>45879</v>
      </c>
      <c r="C1335" s="40" t="inlineStr">
        <is>
          <t>进港</t>
        </is>
      </c>
      <c r="D1335" s="24" t="inlineStr">
        <is>
          <t>金属矿石</t>
        </is>
      </c>
      <c r="E1335" s="24" t="inlineStr">
        <is>
          <t>国内沿海</t>
        </is>
      </c>
      <c r="F1335" s="24" t="inlineStr">
        <is>
          <t>02号泊位</t>
        </is>
      </c>
      <c r="G1335" s="25" t="n">
        <v>10154</v>
      </c>
      <c r="H1335" s="41" t="n">
        <v>5.57</v>
      </c>
      <c r="I1335" s="41" t="n">
        <v>4.14</v>
      </c>
      <c r="J1335" s="41" t="n">
        <v>6.55</v>
      </c>
      <c r="K1335" s="25" t="n">
        <v>0</v>
      </c>
      <c r="L1335" s="26">
        <f>IF(H1335&lt;=J1335,1,0)</f>
        <v>1</v>
      </c>
    </row>
    <row r="1336">
      <c r="A1336" s="19" t="inlineStr">
        <is>
          <t>QL-222-3</t>
        </is>
      </c>
      <c r="B1336" s="36" t="n">
        <v>45879</v>
      </c>
      <c r="C1336" s="37" t="inlineStr">
        <is>
          <t>进港</t>
        </is>
      </c>
      <c r="D1336" s="19" t="inlineStr">
        <is>
          <t>煤炭</t>
        </is>
      </c>
      <c r="E1336" s="19" t="inlineStr">
        <is>
          <t>东南亚</t>
        </is>
      </c>
      <c r="F1336" s="19" t="inlineStr">
        <is>
          <t>03号泊位</t>
        </is>
      </c>
      <c r="G1336" s="20" t="n">
        <v>16780</v>
      </c>
      <c r="H1336" s="38" t="n">
        <v>10.85</v>
      </c>
      <c r="I1336" s="38" t="n">
        <v>4.7</v>
      </c>
      <c r="J1336" s="38" t="n">
        <v>12.71</v>
      </c>
      <c r="K1336" s="20" t="n">
        <v>0</v>
      </c>
      <c r="L1336" s="26">
        <f>IF(H1336&lt;=J1336,1,0)</f>
        <v>1</v>
      </c>
    </row>
    <row r="1337">
      <c r="A1337" s="24" t="inlineStr">
        <is>
          <t>QL-222-4</t>
        </is>
      </c>
      <c r="B1337" s="39" t="n">
        <v>45879</v>
      </c>
      <c r="C1337" s="40" t="inlineStr">
        <is>
          <t>进港</t>
        </is>
      </c>
      <c r="D1337" s="24" t="inlineStr">
        <is>
          <t>粮食</t>
        </is>
      </c>
      <c r="E1337" s="24" t="inlineStr">
        <is>
          <t>国内沿海</t>
        </is>
      </c>
      <c r="F1337" s="24" t="inlineStr">
        <is>
          <t>04号泊位</t>
        </is>
      </c>
      <c r="G1337" s="25" t="n">
        <v>11156</v>
      </c>
      <c r="H1337" s="41" t="n">
        <v>10.06</v>
      </c>
      <c r="I1337" s="41" t="n">
        <v>1.2</v>
      </c>
      <c r="J1337" s="41" t="n">
        <v>10.94</v>
      </c>
      <c r="K1337" s="25" t="n">
        <v>0</v>
      </c>
      <c r="L1337" s="26">
        <f>IF(H1337&lt;=J1337,1,0)</f>
        <v>1</v>
      </c>
    </row>
    <row r="1338">
      <c r="A1338" s="19" t="inlineStr">
        <is>
          <t>QL-222-5</t>
        </is>
      </c>
      <c r="B1338" s="36" t="n">
        <v>45879</v>
      </c>
      <c r="C1338" s="37" t="inlineStr">
        <is>
          <t>进港</t>
        </is>
      </c>
      <c r="D1338" s="19" t="inlineStr">
        <is>
          <t>液体散货</t>
        </is>
      </c>
      <c r="E1338" s="19" t="inlineStr">
        <is>
          <t>东亚</t>
        </is>
      </c>
      <c r="F1338" s="19" t="inlineStr">
        <is>
          <t>05号泊位</t>
        </is>
      </c>
      <c r="G1338" s="20" t="n">
        <v>11706</v>
      </c>
      <c r="H1338" s="38" t="n">
        <v>8.550000000000001</v>
      </c>
      <c r="I1338" s="38" t="n">
        <v>3.74</v>
      </c>
      <c r="J1338" s="38" t="n">
        <v>8.130000000000001</v>
      </c>
      <c r="K1338" s="20" t="n">
        <v>0</v>
      </c>
      <c r="L1338" s="26">
        <f>IF(H1338&lt;=J1338,1,0)</f>
        <v>0</v>
      </c>
    </row>
    <row r="1339">
      <c r="A1339" s="24" t="inlineStr">
        <is>
          <t>QL-222-6</t>
        </is>
      </c>
      <c r="B1339" s="39" t="n">
        <v>45879</v>
      </c>
      <c r="C1339" s="40" t="inlineStr">
        <is>
          <t>出港</t>
        </is>
      </c>
      <c r="D1339" s="24" t="inlineStr">
        <is>
          <t>件杂货</t>
        </is>
      </c>
      <c r="E1339" s="24" t="inlineStr">
        <is>
          <t>国内沿海</t>
        </is>
      </c>
      <c r="F1339" s="24" t="inlineStr">
        <is>
          <t>06号泊位</t>
        </is>
      </c>
      <c r="G1339" s="25" t="n">
        <v>4320</v>
      </c>
      <c r="H1339" s="41" t="n">
        <v>7.84</v>
      </c>
      <c r="I1339" s="41" t="n">
        <v>0.53</v>
      </c>
      <c r="J1339" s="41" t="n">
        <v>7.08</v>
      </c>
      <c r="K1339" s="25" t="n">
        <v>0</v>
      </c>
      <c r="L1339" s="26">
        <f>IF(H1339&lt;=J1339,1,0)</f>
        <v>0</v>
      </c>
    </row>
    <row r="1340">
      <c r="A1340" s="19" t="inlineStr">
        <is>
          <t>QL-223-1</t>
        </is>
      </c>
      <c r="B1340" s="36" t="n">
        <v>45880</v>
      </c>
      <c r="C1340" s="37" t="inlineStr">
        <is>
          <t>进港</t>
        </is>
      </c>
      <c r="D1340" s="19" t="inlineStr">
        <is>
          <t>集装箱货物</t>
        </is>
      </c>
      <c r="E1340" s="19" t="inlineStr">
        <is>
          <t>欧洲</t>
        </is>
      </c>
      <c r="F1340" s="19" t="inlineStr">
        <is>
          <t>01号泊位</t>
        </is>
      </c>
      <c r="G1340" s="20" t="n">
        <v>5746</v>
      </c>
      <c r="H1340" s="38" t="n">
        <v>6.87</v>
      </c>
      <c r="I1340" s="38" t="n">
        <v>2.91</v>
      </c>
      <c r="J1340" s="38" t="n">
        <v>6.38</v>
      </c>
      <c r="K1340" s="20" t="n">
        <v>342</v>
      </c>
      <c r="L1340" s="26">
        <f>IF(H1340&lt;=J1340,1,0)</f>
        <v>0</v>
      </c>
    </row>
    <row r="1341">
      <c r="A1341" s="24" t="inlineStr">
        <is>
          <t>QL-223-2</t>
        </is>
      </c>
      <c r="B1341" s="39" t="n">
        <v>45880</v>
      </c>
      <c r="C1341" s="40" t="inlineStr">
        <is>
          <t>进港</t>
        </is>
      </c>
      <c r="D1341" s="24" t="inlineStr">
        <is>
          <t>金属矿石</t>
        </is>
      </c>
      <c r="E1341" s="24" t="inlineStr">
        <is>
          <t>东南亚</t>
        </is>
      </c>
      <c r="F1341" s="24" t="inlineStr">
        <is>
          <t>02号泊位</t>
        </is>
      </c>
      <c r="G1341" s="25" t="n">
        <v>19389</v>
      </c>
      <c r="H1341" s="41" t="n">
        <v>10.49</v>
      </c>
      <c r="I1341" s="41" t="n">
        <v>1.04</v>
      </c>
      <c r="J1341" s="41" t="n">
        <v>12.51</v>
      </c>
      <c r="K1341" s="25" t="n">
        <v>0</v>
      </c>
      <c r="L1341" s="26">
        <f>IF(H1341&lt;=J1341,1,0)</f>
        <v>1</v>
      </c>
    </row>
    <row r="1342">
      <c r="A1342" s="19" t="inlineStr">
        <is>
          <t>QL-223-3</t>
        </is>
      </c>
      <c r="B1342" s="36" t="n">
        <v>45880</v>
      </c>
      <c r="C1342" s="37" t="inlineStr">
        <is>
          <t>出港</t>
        </is>
      </c>
      <c r="D1342" s="19" t="inlineStr">
        <is>
          <t>煤炭</t>
        </is>
      </c>
      <c r="E1342" s="19" t="inlineStr">
        <is>
          <t>欧洲</t>
        </is>
      </c>
      <c r="F1342" s="19" t="inlineStr">
        <is>
          <t>03号泊位</t>
        </is>
      </c>
      <c r="G1342" s="20" t="n">
        <v>18102</v>
      </c>
      <c r="H1342" s="38" t="n">
        <v>12.8</v>
      </c>
      <c r="I1342" s="38" t="n">
        <v>0.72</v>
      </c>
      <c r="J1342" s="38" t="n">
        <v>13.71</v>
      </c>
      <c r="K1342" s="20" t="n">
        <v>0</v>
      </c>
      <c r="L1342" s="26">
        <f>IF(H1342&lt;=J1342,1,0)</f>
        <v>1</v>
      </c>
    </row>
    <row r="1343">
      <c r="A1343" s="24" t="inlineStr">
        <is>
          <t>QL-223-4</t>
        </is>
      </c>
      <c r="B1343" s="39" t="n">
        <v>45880</v>
      </c>
      <c r="C1343" s="40" t="inlineStr">
        <is>
          <t>进港</t>
        </is>
      </c>
      <c r="D1343" s="24" t="inlineStr">
        <is>
          <t>粮食</t>
        </is>
      </c>
      <c r="E1343" s="24" t="inlineStr">
        <is>
          <t>东亚</t>
        </is>
      </c>
      <c r="F1343" s="24" t="inlineStr">
        <is>
          <t>04号泊位</t>
        </is>
      </c>
      <c r="G1343" s="25" t="n">
        <v>13751</v>
      </c>
      <c r="H1343" s="41" t="n">
        <v>14.49</v>
      </c>
      <c r="I1343" s="41" t="n">
        <v>0.47</v>
      </c>
      <c r="J1343" s="41" t="n">
        <v>13.48</v>
      </c>
      <c r="K1343" s="25" t="n">
        <v>0</v>
      </c>
      <c r="L1343" s="26">
        <f>IF(H1343&lt;=J1343,1,0)</f>
        <v>0</v>
      </c>
    </row>
    <row r="1344">
      <c r="A1344" s="19" t="inlineStr">
        <is>
          <t>QL-223-5</t>
        </is>
      </c>
      <c r="B1344" s="36" t="n">
        <v>45880</v>
      </c>
      <c r="C1344" s="37" t="inlineStr">
        <is>
          <t>进港</t>
        </is>
      </c>
      <c r="D1344" s="19" t="inlineStr">
        <is>
          <t>液体散货</t>
        </is>
      </c>
      <c r="E1344" s="19" t="inlineStr">
        <is>
          <t>东亚</t>
        </is>
      </c>
      <c r="F1344" s="19" t="inlineStr">
        <is>
          <t>05号泊位</t>
        </is>
      </c>
      <c r="G1344" s="20" t="n">
        <v>19369</v>
      </c>
      <c r="H1344" s="38" t="n">
        <v>13.96</v>
      </c>
      <c r="I1344" s="38" t="n">
        <v>1.47</v>
      </c>
      <c r="J1344" s="38" t="n">
        <v>13.45</v>
      </c>
      <c r="K1344" s="20" t="n">
        <v>0</v>
      </c>
      <c r="L1344" s="26">
        <f>IF(H1344&lt;=J1344,1,0)</f>
        <v>0</v>
      </c>
    </row>
    <row r="1345">
      <c r="A1345" s="24" t="inlineStr">
        <is>
          <t>QL-223-6</t>
        </is>
      </c>
      <c r="B1345" s="39" t="n">
        <v>45880</v>
      </c>
      <c r="C1345" s="40" t="inlineStr">
        <is>
          <t>出港</t>
        </is>
      </c>
      <c r="D1345" s="24" t="inlineStr">
        <is>
          <t>件杂货</t>
        </is>
      </c>
      <c r="E1345" s="24" t="inlineStr">
        <is>
          <t>国内沿海</t>
        </is>
      </c>
      <c r="F1345" s="24" t="inlineStr">
        <is>
          <t>06号泊位</t>
        </is>
      </c>
      <c r="G1345" s="25" t="n">
        <v>7147</v>
      </c>
      <c r="H1345" s="41" t="n">
        <v>10.22</v>
      </c>
      <c r="I1345" s="41" t="n">
        <v>1.17</v>
      </c>
      <c r="J1345" s="41" t="n">
        <v>11.72</v>
      </c>
      <c r="K1345" s="25" t="n">
        <v>0</v>
      </c>
      <c r="L1345" s="26">
        <f>IF(H1345&lt;=J1345,1,0)</f>
        <v>1</v>
      </c>
    </row>
    <row r="1346">
      <c r="A1346" s="19" t="inlineStr">
        <is>
          <t>QL-224-1</t>
        </is>
      </c>
      <c r="B1346" s="36" t="n">
        <v>45881</v>
      </c>
      <c r="C1346" s="37" t="inlineStr">
        <is>
          <t>出港</t>
        </is>
      </c>
      <c r="D1346" s="19" t="inlineStr">
        <is>
          <t>集装箱货物</t>
        </is>
      </c>
      <c r="E1346" s="19" t="inlineStr">
        <is>
          <t>国内沿海</t>
        </is>
      </c>
      <c r="F1346" s="19" t="inlineStr">
        <is>
          <t>01号泊位</t>
        </is>
      </c>
      <c r="G1346" s="20" t="n">
        <v>11957</v>
      </c>
      <c r="H1346" s="38" t="n">
        <v>13.45</v>
      </c>
      <c r="I1346" s="38" t="n">
        <v>2.29</v>
      </c>
      <c r="J1346" s="38" t="n">
        <v>13.29</v>
      </c>
      <c r="K1346" s="20" t="n">
        <v>769</v>
      </c>
      <c r="L1346" s="26">
        <f>IF(H1346&lt;=J1346,1,0)</f>
        <v>0</v>
      </c>
    </row>
    <row r="1347">
      <c r="A1347" s="24" t="inlineStr">
        <is>
          <t>QL-224-2</t>
        </is>
      </c>
      <c r="B1347" s="39" t="n">
        <v>45881</v>
      </c>
      <c r="C1347" s="40" t="inlineStr">
        <is>
          <t>出港</t>
        </is>
      </c>
      <c r="D1347" s="24" t="inlineStr">
        <is>
          <t>金属矿石</t>
        </is>
      </c>
      <c r="E1347" s="24" t="inlineStr">
        <is>
          <t>国内沿海</t>
        </is>
      </c>
      <c r="F1347" s="24" t="inlineStr">
        <is>
          <t>02号泊位</t>
        </is>
      </c>
      <c r="G1347" s="25" t="n">
        <v>23766</v>
      </c>
      <c r="H1347" s="41" t="n">
        <v>17.72</v>
      </c>
      <c r="I1347" s="41" t="n">
        <v>1.95</v>
      </c>
      <c r="J1347" s="41" t="n">
        <v>15.33</v>
      </c>
      <c r="K1347" s="25" t="n">
        <v>0</v>
      </c>
      <c r="L1347" s="26">
        <f>IF(H1347&lt;=J1347,1,0)</f>
        <v>0</v>
      </c>
    </row>
    <row r="1348">
      <c r="A1348" s="19" t="inlineStr">
        <is>
          <t>QL-224-3</t>
        </is>
      </c>
      <c r="B1348" s="36" t="n">
        <v>45881</v>
      </c>
      <c r="C1348" s="37" t="inlineStr">
        <is>
          <t>出港</t>
        </is>
      </c>
      <c r="D1348" s="19" t="inlineStr">
        <is>
          <t>煤炭</t>
        </is>
      </c>
      <c r="E1348" s="19" t="inlineStr">
        <is>
          <t>东亚</t>
        </is>
      </c>
      <c r="F1348" s="19" t="inlineStr">
        <is>
          <t>03号泊位</t>
        </is>
      </c>
      <c r="G1348" s="20" t="n">
        <v>15781</v>
      </c>
      <c r="H1348" s="38" t="n">
        <v>10.51</v>
      </c>
      <c r="I1348" s="38" t="n">
        <v>1.52</v>
      </c>
      <c r="J1348" s="38" t="n">
        <v>11.96</v>
      </c>
      <c r="K1348" s="20" t="n">
        <v>0</v>
      </c>
      <c r="L1348" s="26">
        <f>IF(H1348&lt;=J1348,1,0)</f>
        <v>1</v>
      </c>
    </row>
    <row r="1349">
      <c r="A1349" s="24" t="inlineStr">
        <is>
          <t>QL-224-4</t>
        </is>
      </c>
      <c r="B1349" s="39" t="n">
        <v>45881</v>
      </c>
      <c r="C1349" s="40" t="inlineStr">
        <is>
          <t>出港</t>
        </is>
      </c>
      <c r="D1349" s="24" t="inlineStr">
        <is>
          <t>粮食</t>
        </is>
      </c>
      <c r="E1349" s="24" t="inlineStr">
        <is>
          <t>东南亚</t>
        </is>
      </c>
      <c r="F1349" s="24" t="inlineStr">
        <is>
          <t>04号泊位</t>
        </is>
      </c>
      <c r="G1349" s="25" t="n">
        <v>17878</v>
      </c>
      <c r="H1349" s="41" t="n">
        <v>14.44</v>
      </c>
      <c r="I1349" s="41" t="n">
        <v>1.2</v>
      </c>
      <c r="J1349" s="41" t="n">
        <v>17.53</v>
      </c>
      <c r="K1349" s="25" t="n">
        <v>0</v>
      </c>
      <c r="L1349" s="26">
        <f>IF(H1349&lt;=J1349,1,0)</f>
        <v>1</v>
      </c>
    </row>
    <row r="1350">
      <c r="A1350" s="19" t="inlineStr">
        <is>
          <t>QL-224-5</t>
        </is>
      </c>
      <c r="B1350" s="36" t="n">
        <v>45881</v>
      </c>
      <c r="C1350" s="37" t="inlineStr">
        <is>
          <t>出港</t>
        </is>
      </c>
      <c r="D1350" s="19" t="inlineStr">
        <is>
          <t>液体散货</t>
        </is>
      </c>
      <c r="E1350" s="19" t="inlineStr">
        <is>
          <t>国内沿海</t>
        </is>
      </c>
      <c r="F1350" s="19" t="inlineStr">
        <is>
          <t>05号泊位</t>
        </is>
      </c>
      <c r="G1350" s="20" t="n">
        <v>13827</v>
      </c>
      <c r="H1350" s="38" t="n">
        <v>11.02</v>
      </c>
      <c r="I1350" s="38" t="n">
        <v>0.8100000000000001</v>
      </c>
      <c r="J1350" s="38" t="n">
        <v>9.6</v>
      </c>
      <c r="K1350" s="20" t="n">
        <v>0</v>
      </c>
      <c r="L1350" s="26">
        <f>IF(H1350&lt;=J1350,1,0)</f>
        <v>0</v>
      </c>
    </row>
    <row r="1351">
      <c r="A1351" s="24" t="inlineStr">
        <is>
          <t>QL-224-6</t>
        </is>
      </c>
      <c r="B1351" s="39" t="n">
        <v>45881</v>
      </c>
      <c r="C1351" s="40" t="inlineStr">
        <is>
          <t>出港</t>
        </is>
      </c>
      <c r="D1351" s="24" t="inlineStr">
        <is>
          <t>件杂货</t>
        </is>
      </c>
      <c r="E1351" s="24" t="inlineStr">
        <is>
          <t>东亚</t>
        </is>
      </c>
      <c r="F1351" s="24" t="inlineStr">
        <is>
          <t>06号泊位</t>
        </is>
      </c>
      <c r="G1351" s="25" t="n">
        <v>8523</v>
      </c>
      <c r="H1351" s="41" t="n">
        <v>13.87</v>
      </c>
      <c r="I1351" s="41" t="n">
        <v>1.46</v>
      </c>
      <c r="J1351" s="41" t="n">
        <v>13.97</v>
      </c>
      <c r="K1351" s="25" t="n">
        <v>0</v>
      </c>
      <c r="L1351" s="26">
        <f>IF(H1351&lt;=J1351,1,0)</f>
        <v>1</v>
      </c>
    </row>
    <row r="1352">
      <c r="A1352" s="19" t="inlineStr">
        <is>
          <t>QL-225-1</t>
        </is>
      </c>
      <c r="B1352" s="36" t="n">
        <v>45882</v>
      </c>
      <c r="C1352" s="37" t="inlineStr">
        <is>
          <t>出港</t>
        </is>
      </c>
      <c r="D1352" s="19" t="inlineStr">
        <is>
          <t>集装箱货物</t>
        </is>
      </c>
      <c r="E1352" s="19" t="inlineStr">
        <is>
          <t>东南亚</t>
        </is>
      </c>
      <c r="F1352" s="19" t="inlineStr">
        <is>
          <t>01号泊位</t>
        </is>
      </c>
      <c r="G1352" s="20" t="n">
        <v>10698</v>
      </c>
      <c r="H1352" s="38" t="n">
        <v>13.5</v>
      </c>
      <c r="I1352" s="38" t="n">
        <v>0.38</v>
      </c>
      <c r="J1352" s="38" t="n">
        <v>11.89</v>
      </c>
      <c r="K1352" s="20" t="n">
        <v>861</v>
      </c>
      <c r="L1352" s="26">
        <f>IF(H1352&lt;=J1352,1,0)</f>
        <v>0</v>
      </c>
    </row>
    <row r="1353">
      <c r="A1353" s="24" t="inlineStr">
        <is>
          <t>QL-225-2</t>
        </is>
      </c>
      <c r="B1353" s="39" t="n">
        <v>45882</v>
      </c>
      <c r="C1353" s="40" t="inlineStr">
        <is>
          <t>出港</t>
        </is>
      </c>
      <c r="D1353" s="24" t="inlineStr">
        <is>
          <t>金属矿石</t>
        </is>
      </c>
      <c r="E1353" s="24" t="inlineStr">
        <is>
          <t>欧洲</t>
        </is>
      </c>
      <c r="F1353" s="24" t="inlineStr">
        <is>
          <t>02号泊位</t>
        </is>
      </c>
      <c r="G1353" s="25" t="n">
        <v>20724</v>
      </c>
      <c r="H1353" s="41" t="n">
        <v>14.63</v>
      </c>
      <c r="I1353" s="41" t="n">
        <v>10.93</v>
      </c>
      <c r="J1353" s="41" t="n">
        <v>13.37</v>
      </c>
      <c r="K1353" s="25" t="n">
        <v>0</v>
      </c>
      <c r="L1353" s="26">
        <f>IF(H1353&lt;=J1353,1,0)</f>
        <v>0</v>
      </c>
    </row>
    <row r="1354">
      <c r="A1354" s="19" t="inlineStr">
        <is>
          <t>QL-225-3</t>
        </is>
      </c>
      <c r="B1354" s="36" t="n">
        <v>45882</v>
      </c>
      <c r="C1354" s="37" t="inlineStr">
        <is>
          <t>进港</t>
        </is>
      </c>
      <c r="D1354" s="19" t="inlineStr">
        <is>
          <t>煤炭</t>
        </is>
      </c>
      <c r="E1354" s="19" t="inlineStr">
        <is>
          <t>欧洲</t>
        </is>
      </c>
      <c r="F1354" s="19" t="inlineStr">
        <is>
          <t>03号泊位</t>
        </is>
      </c>
      <c r="G1354" s="20" t="n">
        <v>18812</v>
      </c>
      <c r="H1354" s="38" t="n">
        <v>15.1</v>
      </c>
      <c r="I1354" s="38" t="n">
        <v>2.79</v>
      </c>
      <c r="J1354" s="38" t="n">
        <v>14.25</v>
      </c>
      <c r="K1354" s="20" t="n">
        <v>0</v>
      </c>
      <c r="L1354" s="26">
        <f>IF(H1354&lt;=J1354,1,0)</f>
        <v>0</v>
      </c>
    </row>
    <row r="1355">
      <c r="A1355" s="24" t="inlineStr">
        <is>
          <t>QL-225-4</t>
        </is>
      </c>
      <c r="B1355" s="39" t="n">
        <v>45882</v>
      </c>
      <c r="C1355" s="40" t="inlineStr">
        <is>
          <t>进港</t>
        </is>
      </c>
      <c r="D1355" s="24" t="inlineStr">
        <is>
          <t>粮食</t>
        </is>
      </c>
      <c r="E1355" s="24" t="inlineStr">
        <is>
          <t>东亚</t>
        </is>
      </c>
      <c r="F1355" s="24" t="inlineStr">
        <is>
          <t>04号泊位</t>
        </is>
      </c>
      <c r="G1355" s="25" t="n">
        <v>13263</v>
      </c>
      <c r="H1355" s="41" t="n">
        <v>12.9</v>
      </c>
      <c r="I1355" s="41" t="n">
        <v>2.08</v>
      </c>
      <c r="J1355" s="41" t="n">
        <v>13</v>
      </c>
      <c r="K1355" s="25" t="n">
        <v>0</v>
      </c>
      <c r="L1355" s="26">
        <f>IF(H1355&lt;=J1355,1,0)</f>
        <v>1</v>
      </c>
    </row>
    <row r="1356">
      <c r="A1356" s="19" t="inlineStr">
        <is>
          <t>QL-225-5</t>
        </is>
      </c>
      <c r="B1356" s="36" t="n">
        <v>45882</v>
      </c>
      <c r="C1356" s="37" t="inlineStr">
        <is>
          <t>出港</t>
        </is>
      </c>
      <c r="D1356" s="19" t="inlineStr">
        <is>
          <t>液体散货</t>
        </is>
      </c>
      <c r="E1356" s="19" t="inlineStr">
        <is>
          <t>国内沿海</t>
        </is>
      </c>
      <c r="F1356" s="19" t="inlineStr">
        <is>
          <t>05号泊位</t>
        </is>
      </c>
      <c r="G1356" s="20" t="n">
        <v>10332</v>
      </c>
      <c r="H1356" s="38" t="n">
        <v>8.01</v>
      </c>
      <c r="I1356" s="38" t="n">
        <v>0.9399999999999999</v>
      </c>
      <c r="J1356" s="38" t="n">
        <v>7.17</v>
      </c>
      <c r="K1356" s="20" t="n">
        <v>0</v>
      </c>
      <c r="L1356" s="26">
        <f>IF(H1356&lt;=J1356,1,0)</f>
        <v>0</v>
      </c>
    </row>
    <row r="1357">
      <c r="A1357" s="24" t="inlineStr">
        <is>
          <t>QL-225-6</t>
        </is>
      </c>
      <c r="B1357" s="39" t="n">
        <v>45882</v>
      </c>
      <c r="C1357" s="40" t="inlineStr">
        <is>
          <t>出港</t>
        </is>
      </c>
      <c r="D1357" s="24" t="inlineStr">
        <is>
          <t>件杂货</t>
        </is>
      </c>
      <c r="E1357" s="24" t="inlineStr">
        <is>
          <t>欧洲</t>
        </is>
      </c>
      <c r="F1357" s="24" t="inlineStr">
        <is>
          <t>06号泊位</t>
        </is>
      </c>
      <c r="G1357" s="25" t="n">
        <v>9457</v>
      </c>
      <c r="H1357" s="41" t="n">
        <v>13.3</v>
      </c>
      <c r="I1357" s="41" t="n">
        <v>1.26</v>
      </c>
      <c r="J1357" s="41" t="n">
        <v>15.5</v>
      </c>
      <c r="K1357" s="25" t="n">
        <v>0</v>
      </c>
      <c r="L1357" s="26">
        <f>IF(H1357&lt;=J1357,1,0)</f>
        <v>1</v>
      </c>
    </row>
    <row r="1358">
      <c r="A1358" s="19" t="inlineStr">
        <is>
          <t>QL-226-1</t>
        </is>
      </c>
      <c r="B1358" s="36" t="n">
        <v>45883</v>
      </c>
      <c r="C1358" s="37" t="inlineStr">
        <is>
          <t>进港</t>
        </is>
      </c>
      <c r="D1358" s="19" t="inlineStr">
        <is>
          <t>集装箱货物</t>
        </is>
      </c>
      <c r="E1358" s="19" t="inlineStr">
        <is>
          <t>东南亚</t>
        </is>
      </c>
      <c r="F1358" s="19" t="inlineStr">
        <is>
          <t>01号泊位</t>
        </is>
      </c>
      <c r="G1358" s="20" t="n">
        <v>17649</v>
      </c>
      <c r="H1358" s="38" t="n">
        <v>22.5</v>
      </c>
      <c r="I1358" s="38" t="n">
        <v>1.12</v>
      </c>
      <c r="J1358" s="38" t="n">
        <v>19.61</v>
      </c>
      <c r="K1358" s="20" t="n">
        <v>1164</v>
      </c>
      <c r="L1358" s="26">
        <f>IF(H1358&lt;=J1358,1,0)</f>
        <v>0</v>
      </c>
    </row>
    <row r="1359">
      <c r="A1359" s="24" t="inlineStr">
        <is>
          <t>QL-226-2</t>
        </is>
      </c>
      <c r="B1359" s="39" t="n">
        <v>45883</v>
      </c>
      <c r="C1359" s="40" t="inlineStr">
        <is>
          <t>出港</t>
        </is>
      </c>
      <c r="D1359" s="24" t="inlineStr">
        <is>
          <t>金属矿石</t>
        </is>
      </c>
      <c r="E1359" s="24" t="inlineStr">
        <is>
          <t>东亚</t>
        </is>
      </c>
      <c r="F1359" s="24" t="inlineStr">
        <is>
          <t>02号泊位</t>
        </is>
      </c>
      <c r="G1359" s="25" t="n">
        <v>42232</v>
      </c>
      <c r="H1359" s="41" t="n">
        <v>28.24</v>
      </c>
      <c r="I1359" s="41" t="n">
        <v>0.82</v>
      </c>
      <c r="J1359" s="41" t="n">
        <v>27.25</v>
      </c>
      <c r="K1359" s="25" t="n">
        <v>0</v>
      </c>
      <c r="L1359" s="26">
        <f>IF(H1359&lt;=J1359,1,0)</f>
        <v>0</v>
      </c>
    </row>
    <row r="1360">
      <c r="A1360" s="19" t="inlineStr">
        <is>
          <t>QL-226-3</t>
        </is>
      </c>
      <c r="B1360" s="36" t="n">
        <v>45883</v>
      </c>
      <c r="C1360" s="37" t="inlineStr">
        <is>
          <t>进港</t>
        </is>
      </c>
      <c r="D1360" s="19" t="inlineStr">
        <is>
          <t>煤炭</t>
        </is>
      </c>
      <c r="E1360" s="19" t="inlineStr">
        <is>
          <t>欧洲</t>
        </is>
      </c>
      <c r="F1360" s="19" t="inlineStr">
        <is>
          <t>03号泊位</t>
        </is>
      </c>
      <c r="G1360" s="20" t="n">
        <v>14830</v>
      </c>
      <c r="H1360" s="38" t="n">
        <v>11.71</v>
      </c>
      <c r="I1360" s="38" t="n">
        <v>4.44</v>
      </c>
      <c r="J1360" s="38" t="n">
        <v>11.23</v>
      </c>
      <c r="K1360" s="20" t="n">
        <v>0</v>
      </c>
      <c r="L1360" s="26">
        <f>IF(H1360&lt;=J1360,1,0)</f>
        <v>0</v>
      </c>
    </row>
    <row r="1361">
      <c r="A1361" s="24" t="inlineStr">
        <is>
          <t>QL-226-4</t>
        </is>
      </c>
      <c r="B1361" s="39" t="n">
        <v>45883</v>
      </c>
      <c r="C1361" s="40" t="inlineStr">
        <is>
          <t>出港</t>
        </is>
      </c>
      <c r="D1361" s="24" t="inlineStr">
        <is>
          <t>粮食</t>
        </is>
      </c>
      <c r="E1361" s="24" t="inlineStr">
        <is>
          <t>东南亚</t>
        </is>
      </c>
      <c r="F1361" s="24" t="inlineStr">
        <is>
          <t>04号泊位</t>
        </is>
      </c>
      <c r="G1361" s="25" t="n">
        <v>10494</v>
      </c>
      <c r="H1361" s="41" t="n">
        <v>9.49</v>
      </c>
      <c r="I1361" s="41" t="n">
        <v>4.86</v>
      </c>
      <c r="J1361" s="41" t="n">
        <v>10.29</v>
      </c>
      <c r="K1361" s="25" t="n">
        <v>0</v>
      </c>
      <c r="L1361" s="26">
        <f>IF(H1361&lt;=J1361,1,0)</f>
        <v>1</v>
      </c>
    </row>
    <row r="1362">
      <c r="A1362" s="19" t="inlineStr">
        <is>
          <t>QL-226-5</t>
        </is>
      </c>
      <c r="B1362" s="36" t="n">
        <v>45883</v>
      </c>
      <c r="C1362" s="37" t="inlineStr">
        <is>
          <t>出港</t>
        </is>
      </c>
      <c r="D1362" s="19" t="inlineStr">
        <is>
          <t>液体散货</t>
        </is>
      </c>
      <c r="E1362" s="19" t="inlineStr">
        <is>
          <t>东亚</t>
        </is>
      </c>
      <c r="F1362" s="19" t="inlineStr">
        <is>
          <t>05号泊位</t>
        </is>
      </c>
      <c r="G1362" s="20" t="n">
        <v>21554</v>
      </c>
      <c r="H1362" s="38" t="n">
        <v>16.16</v>
      </c>
      <c r="I1362" s="38" t="n">
        <v>1.03</v>
      </c>
      <c r="J1362" s="38" t="n">
        <v>14.97</v>
      </c>
      <c r="K1362" s="20" t="n">
        <v>0</v>
      </c>
      <c r="L1362" s="26">
        <f>IF(H1362&lt;=J1362,1,0)</f>
        <v>0</v>
      </c>
    </row>
    <row r="1363">
      <c r="A1363" s="24" t="inlineStr">
        <is>
          <t>QL-226-6</t>
        </is>
      </c>
      <c r="B1363" s="39" t="n">
        <v>45883</v>
      </c>
      <c r="C1363" s="40" t="inlineStr">
        <is>
          <t>出港</t>
        </is>
      </c>
      <c r="D1363" s="24" t="inlineStr">
        <is>
          <t>件杂货</t>
        </is>
      </c>
      <c r="E1363" s="24" t="inlineStr">
        <is>
          <t>东亚</t>
        </is>
      </c>
      <c r="F1363" s="24" t="inlineStr">
        <is>
          <t>06号泊位</t>
        </is>
      </c>
      <c r="G1363" s="25" t="n">
        <v>7278</v>
      </c>
      <c r="H1363" s="41" t="n">
        <v>12.08</v>
      </c>
      <c r="I1363" s="41" t="n">
        <v>2.09</v>
      </c>
      <c r="J1363" s="41" t="n">
        <v>11.93</v>
      </c>
      <c r="K1363" s="25" t="n">
        <v>0</v>
      </c>
      <c r="L1363" s="26">
        <f>IF(H1363&lt;=J1363,1,0)</f>
        <v>0</v>
      </c>
    </row>
    <row r="1364">
      <c r="A1364" s="19" t="inlineStr">
        <is>
          <t>QL-227-1</t>
        </is>
      </c>
      <c r="B1364" s="36" t="n">
        <v>45884</v>
      </c>
      <c r="C1364" s="37" t="inlineStr">
        <is>
          <t>进港</t>
        </is>
      </c>
      <c r="D1364" s="19" t="inlineStr">
        <is>
          <t>集装箱货物</t>
        </is>
      </c>
      <c r="E1364" s="19" t="inlineStr">
        <is>
          <t>东亚</t>
        </is>
      </c>
      <c r="F1364" s="19" t="inlineStr">
        <is>
          <t>01号泊位</t>
        </is>
      </c>
      <c r="G1364" s="20" t="n">
        <v>11717</v>
      </c>
      <c r="H1364" s="38" t="n">
        <v>13.87</v>
      </c>
      <c r="I1364" s="38" t="n">
        <v>2.53</v>
      </c>
      <c r="J1364" s="38" t="n">
        <v>13.02</v>
      </c>
      <c r="K1364" s="20" t="n">
        <v>810</v>
      </c>
      <c r="L1364" s="26">
        <f>IF(H1364&lt;=J1364,1,0)</f>
        <v>0</v>
      </c>
    </row>
    <row r="1365">
      <c r="A1365" s="24" t="inlineStr">
        <is>
          <t>QL-227-2</t>
        </is>
      </c>
      <c r="B1365" s="39" t="n">
        <v>45884</v>
      </c>
      <c r="C1365" s="40" t="inlineStr">
        <is>
          <t>进港</t>
        </is>
      </c>
      <c r="D1365" s="24" t="inlineStr">
        <is>
          <t>金属矿石</t>
        </is>
      </c>
      <c r="E1365" s="24" t="inlineStr">
        <is>
          <t>北美</t>
        </is>
      </c>
      <c r="F1365" s="24" t="inlineStr">
        <is>
          <t>02号泊位</t>
        </is>
      </c>
      <c r="G1365" s="25" t="n">
        <v>21893</v>
      </c>
      <c r="H1365" s="41" t="n">
        <v>12.59</v>
      </c>
      <c r="I1365" s="41" t="n">
        <v>1.12</v>
      </c>
      <c r="J1365" s="41" t="n">
        <v>14.12</v>
      </c>
      <c r="K1365" s="25" t="n">
        <v>0</v>
      </c>
      <c r="L1365" s="26">
        <f>IF(H1365&lt;=J1365,1,0)</f>
        <v>1</v>
      </c>
    </row>
    <row r="1366">
      <c r="A1366" s="19" t="inlineStr">
        <is>
          <t>QL-227-3</t>
        </is>
      </c>
      <c r="B1366" s="36" t="n">
        <v>45884</v>
      </c>
      <c r="C1366" s="37" t="inlineStr">
        <is>
          <t>进港</t>
        </is>
      </c>
      <c r="D1366" s="19" t="inlineStr">
        <is>
          <t>煤炭</t>
        </is>
      </c>
      <c r="E1366" s="19" t="inlineStr">
        <is>
          <t>东南亚</t>
        </is>
      </c>
      <c r="F1366" s="19" t="inlineStr">
        <is>
          <t>03号泊位</t>
        </is>
      </c>
      <c r="G1366" s="20" t="n">
        <v>17777</v>
      </c>
      <c r="H1366" s="38" t="n">
        <v>15.23</v>
      </c>
      <c r="I1366" s="38" t="n">
        <v>1.01</v>
      </c>
      <c r="J1366" s="38" t="n">
        <v>13.47</v>
      </c>
      <c r="K1366" s="20" t="n">
        <v>0</v>
      </c>
      <c r="L1366" s="26">
        <f>IF(H1366&lt;=J1366,1,0)</f>
        <v>0</v>
      </c>
    </row>
    <row r="1367">
      <c r="A1367" s="24" t="inlineStr">
        <is>
          <t>QL-227-4</t>
        </is>
      </c>
      <c r="B1367" s="39" t="n">
        <v>45884</v>
      </c>
      <c r="C1367" s="40" t="inlineStr">
        <is>
          <t>出港</t>
        </is>
      </c>
      <c r="D1367" s="24" t="inlineStr">
        <is>
          <t>粮食</t>
        </is>
      </c>
      <c r="E1367" s="24" t="inlineStr">
        <is>
          <t>东亚</t>
        </is>
      </c>
      <c r="F1367" s="24" t="inlineStr">
        <is>
          <t>04号泊位</t>
        </is>
      </c>
      <c r="G1367" s="25" t="n">
        <v>11477</v>
      </c>
      <c r="H1367" s="41" t="n">
        <v>9.74</v>
      </c>
      <c r="I1367" s="41" t="n">
        <v>1.35</v>
      </c>
      <c r="J1367" s="41" t="n">
        <v>11.25</v>
      </c>
      <c r="K1367" s="25" t="n">
        <v>0</v>
      </c>
      <c r="L1367" s="26">
        <f>IF(H1367&lt;=J1367,1,0)</f>
        <v>1</v>
      </c>
    </row>
    <row r="1368">
      <c r="A1368" s="19" t="inlineStr">
        <is>
          <t>QL-227-5</t>
        </is>
      </c>
      <c r="B1368" s="36" t="n">
        <v>45884</v>
      </c>
      <c r="C1368" s="37" t="inlineStr">
        <is>
          <t>出港</t>
        </is>
      </c>
      <c r="D1368" s="19" t="inlineStr">
        <is>
          <t>液体散货</t>
        </is>
      </c>
      <c r="E1368" s="19" t="inlineStr">
        <is>
          <t>国内沿海</t>
        </is>
      </c>
      <c r="F1368" s="19" t="inlineStr">
        <is>
          <t>05号泊位</t>
        </is>
      </c>
      <c r="G1368" s="20" t="n">
        <v>11344</v>
      </c>
      <c r="H1368" s="38" t="n">
        <v>9.07</v>
      </c>
      <c r="I1368" s="38" t="n">
        <v>5.64</v>
      </c>
      <c r="J1368" s="38" t="n">
        <v>7.88</v>
      </c>
      <c r="K1368" s="20" t="n">
        <v>0</v>
      </c>
      <c r="L1368" s="26">
        <f>IF(H1368&lt;=J1368,1,0)</f>
        <v>0</v>
      </c>
    </row>
    <row r="1369">
      <c r="A1369" s="24" t="inlineStr">
        <is>
          <t>QL-227-6</t>
        </is>
      </c>
      <c r="B1369" s="39" t="n">
        <v>45884</v>
      </c>
      <c r="C1369" s="40" t="inlineStr">
        <is>
          <t>进港</t>
        </is>
      </c>
      <c r="D1369" s="24" t="inlineStr">
        <is>
          <t>件杂货</t>
        </is>
      </c>
      <c r="E1369" s="24" t="inlineStr">
        <is>
          <t>北美</t>
        </is>
      </c>
      <c r="F1369" s="24" t="inlineStr">
        <is>
          <t>06号泊位</t>
        </is>
      </c>
      <c r="G1369" s="25" t="n">
        <v>6203</v>
      </c>
      <c r="H1369" s="41" t="n">
        <v>9.18</v>
      </c>
      <c r="I1369" s="41" t="n">
        <v>1.62</v>
      </c>
      <c r="J1369" s="41" t="n">
        <v>10.17</v>
      </c>
      <c r="K1369" s="25" t="n">
        <v>0</v>
      </c>
      <c r="L1369" s="26">
        <f>IF(H1369&lt;=J1369,1,0)</f>
        <v>1</v>
      </c>
    </row>
    <row r="1370">
      <c r="A1370" s="19" t="inlineStr">
        <is>
          <t>QL-228-1</t>
        </is>
      </c>
      <c r="B1370" s="36" t="n">
        <v>45885</v>
      </c>
      <c r="C1370" s="37" t="inlineStr">
        <is>
          <t>出港</t>
        </is>
      </c>
      <c r="D1370" s="19" t="inlineStr">
        <is>
          <t>集装箱货物</t>
        </is>
      </c>
      <c r="E1370" s="19" t="inlineStr">
        <is>
          <t>东南亚</t>
        </is>
      </c>
      <c r="F1370" s="19" t="inlineStr">
        <is>
          <t>01号泊位</t>
        </is>
      </c>
      <c r="G1370" s="20" t="n">
        <v>9407</v>
      </c>
      <c r="H1370" s="38" t="n">
        <v>9.59</v>
      </c>
      <c r="I1370" s="38" t="n">
        <v>1.06</v>
      </c>
      <c r="J1370" s="38" t="n">
        <v>10.45</v>
      </c>
      <c r="K1370" s="20" t="n">
        <v>628</v>
      </c>
      <c r="L1370" s="26">
        <f>IF(H1370&lt;=J1370,1,0)</f>
        <v>1</v>
      </c>
    </row>
    <row r="1371">
      <c r="A1371" s="24" t="inlineStr">
        <is>
          <t>QL-228-2</t>
        </is>
      </c>
      <c r="B1371" s="39" t="n">
        <v>45885</v>
      </c>
      <c r="C1371" s="40" t="inlineStr">
        <is>
          <t>进港</t>
        </is>
      </c>
      <c r="D1371" s="24" t="inlineStr">
        <is>
          <t>金属矿石</t>
        </is>
      </c>
      <c r="E1371" s="24" t="inlineStr">
        <is>
          <t>欧洲</t>
        </is>
      </c>
      <c r="F1371" s="24" t="inlineStr">
        <is>
          <t>02号泊位</t>
        </is>
      </c>
      <c r="G1371" s="25" t="n">
        <v>24559</v>
      </c>
      <c r="H1371" s="41" t="n">
        <v>14.79</v>
      </c>
      <c r="I1371" s="41" t="n">
        <v>2.7</v>
      </c>
      <c r="J1371" s="41" t="n">
        <v>15.84</v>
      </c>
      <c r="K1371" s="25" t="n">
        <v>0</v>
      </c>
      <c r="L1371" s="26">
        <f>IF(H1371&lt;=J1371,1,0)</f>
        <v>1</v>
      </c>
    </row>
    <row r="1372">
      <c r="A1372" s="19" t="inlineStr">
        <is>
          <t>QL-228-3</t>
        </is>
      </c>
      <c r="B1372" s="36" t="n">
        <v>45885</v>
      </c>
      <c r="C1372" s="37" t="inlineStr">
        <is>
          <t>进港</t>
        </is>
      </c>
      <c r="D1372" s="19" t="inlineStr">
        <is>
          <t>煤炭</t>
        </is>
      </c>
      <c r="E1372" s="19" t="inlineStr">
        <is>
          <t>北美</t>
        </is>
      </c>
      <c r="F1372" s="19" t="inlineStr">
        <is>
          <t>03号泊位</t>
        </is>
      </c>
      <c r="G1372" s="20" t="n">
        <v>10671</v>
      </c>
      <c r="H1372" s="38" t="n">
        <v>6.96</v>
      </c>
      <c r="I1372" s="38" t="n">
        <v>1.27</v>
      </c>
      <c r="J1372" s="38" t="n">
        <v>8.08</v>
      </c>
      <c r="K1372" s="20" t="n">
        <v>0</v>
      </c>
      <c r="L1372" s="26">
        <f>IF(H1372&lt;=J1372,1,0)</f>
        <v>1</v>
      </c>
    </row>
    <row r="1373">
      <c r="A1373" s="24" t="inlineStr">
        <is>
          <t>QL-228-4</t>
        </is>
      </c>
      <c r="B1373" s="39" t="n">
        <v>45885</v>
      </c>
      <c r="C1373" s="40" t="inlineStr">
        <is>
          <t>进港</t>
        </is>
      </c>
      <c r="D1373" s="24" t="inlineStr">
        <is>
          <t>粮食</t>
        </is>
      </c>
      <c r="E1373" s="24" t="inlineStr">
        <is>
          <t>国内沿海</t>
        </is>
      </c>
      <c r="F1373" s="24" t="inlineStr">
        <is>
          <t>04号泊位</t>
        </is>
      </c>
      <c r="G1373" s="25" t="n">
        <v>11758</v>
      </c>
      <c r="H1373" s="41" t="n">
        <v>12.64</v>
      </c>
      <c r="I1373" s="41" t="n">
        <v>0.82</v>
      </c>
      <c r="J1373" s="41" t="n">
        <v>11.53</v>
      </c>
      <c r="K1373" s="25" t="n">
        <v>0</v>
      </c>
      <c r="L1373" s="26">
        <f>IF(H1373&lt;=J1373,1,0)</f>
        <v>0</v>
      </c>
    </row>
    <row r="1374">
      <c r="A1374" s="19" t="inlineStr">
        <is>
          <t>QL-228-5</t>
        </is>
      </c>
      <c r="B1374" s="36" t="n">
        <v>45885</v>
      </c>
      <c r="C1374" s="37" t="inlineStr">
        <is>
          <t>出港</t>
        </is>
      </c>
      <c r="D1374" s="19" t="inlineStr">
        <is>
          <t>液体散货</t>
        </is>
      </c>
      <c r="E1374" s="19" t="inlineStr">
        <is>
          <t>东亚</t>
        </is>
      </c>
      <c r="F1374" s="19" t="inlineStr">
        <is>
          <t>05号泊位</t>
        </is>
      </c>
      <c r="G1374" s="20" t="n">
        <v>18287</v>
      </c>
      <c r="H1374" s="38" t="n">
        <v>10.61</v>
      </c>
      <c r="I1374" s="38" t="n">
        <v>6.44</v>
      </c>
      <c r="J1374" s="38" t="n">
        <v>12.7</v>
      </c>
      <c r="K1374" s="20" t="n">
        <v>0</v>
      </c>
      <c r="L1374" s="26">
        <f>IF(H1374&lt;=J1374,1,0)</f>
        <v>1</v>
      </c>
    </row>
    <row r="1375">
      <c r="A1375" s="24" t="inlineStr">
        <is>
          <t>QL-228-6</t>
        </is>
      </c>
      <c r="B1375" s="39" t="n">
        <v>45885</v>
      </c>
      <c r="C1375" s="40" t="inlineStr">
        <is>
          <t>出港</t>
        </is>
      </c>
      <c r="D1375" s="24" t="inlineStr">
        <is>
          <t>件杂货</t>
        </is>
      </c>
      <c r="E1375" s="24" t="inlineStr">
        <is>
          <t>国内沿海</t>
        </is>
      </c>
      <c r="F1375" s="24" t="inlineStr">
        <is>
          <t>06号泊位</t>
        </is>
      </c>
      <c r="G1375" s="25" t="n">
        <v>6705</v>
      </c>
      <c r="H1375" s="41" t="n">
        <v>11.6</v>
      </c>
      <c r="I1375" s="41" t="n">
        <v>5.55</v>
      </c>
      <c r="J1375" s="41" t="n">
        <v>10.99</v>
      </c>
      <c r="K1375" s="25" t="n">
        <v>0</v>
      </c>
      <c r="L1375" s="26">
        <f>IF(H1375&lt;=J1375,1,0)</f>
        <v>0</v>
      </c>
    </row>
    <row r="1376">
      <c r="A1376" s="19" t="inlineStr">
        <is>
          <t>QL-229-1</t>
        </is>
      </c>
      <c r="B1376" s="36" t="n">
        <v>45886</v>
      </c>
      <c r="C1376" s="37" t="inlineStr">
        <is>
          <t>进港</t>
        </is>
      </c>
      <c r="D1376" s="19" t="inlineStr">
        <is>
          <t>集装箱货物</t>
        </is>
      </c>
      <c r="E1376" s="19" t="inlineStr">
        <is>
          <t>北美</t>
        </is>
      </c>
      <c r="F1376" s="19" t="inlineStr">
        <is>
          <t>01号泊位</t>
        </is>
      </c>
      <c r="G1376" s="20" t="n">
        <v>10816</v>
      </c>
      <c r="H1376" s="38" t="n">
        <v>10.3</v>
      </c>
      <c r="I1376" s="38" t="n">
        <v>4.06</v>
      </c>
      <c r="J1376" s="38" t="n">
        <v>12.02</v>
      </c>
      <c r="K1376" s="20" t="n">
        <v>658</v>
      </c>
      <c r="L1376" s="26">
        <f>IF(H1376&lt;=J1376,1,0)</f>
        <v>1</v>
      </c>
    </row>
    <row r="1377">
      <c r="A1377" s="24" t="inlineStr">
        <is>
          <t>QL-229-2</t>
        </is>
      </c>
      <c r="B1377" s="39" t="n">
        <v>45886</v>
      </c>
      <c r="C1377" s="40" t="inlineStr">
        <is>
          <t>出港</t>
        </is>
      </c>
      <c r="D1377" s="24" t="inlineStr">
        <is>
          <t>金属矿石</t>
        </is>
      </c>
      <c r="E1377" s="24" t="inlineStr">
        <is>
          <t>东南亚</t>
        </is>
      </c>
      <c r="F1377" s="24" t="inlineStr">
        <is>
          <t>02号泊位</t>
        </is>
      </c>
      <c r="G1377" s="25" t="n">
        <v>17543</v>
      </c>
      <c r="H1377" s="41" t="n">
        <v>12.37</v>
      </c>
      <c r="I1377" s="41" t="n">
        <v>3.65</v>
      </c>
      <c r="J1377" s="41" t="n">
        <v>11.32</v>
      </c>
      <c r="K1377" s="25" t="n">
        <v>0</v>
      </c>
      <c r="L1377" s="26">
        <f>IF(H1377&lt;=J1377,1,0)</f>
        <v>0</v>
      </c>
    </row>
    <row r="1378">
      <c r="A1378" s="19" t="inlineStr">
        <is>
          <t>QL-229-3</t>
        </is>
      </c>
      <c r="B1378" s="36" t="n">
        <v>45886</v>
      </c>
      <c r="C1378" s="37" t="inlineStr">
        <is>
          <t>出港</t>
        </is>
      </c>
      <c r="D1378" s="19" t="inlineStr">
        <is>
          <t>煤炭</t>
        </is>
      </c>
      <c r="E1378" s="19" t="inlineStr">
        <is>
          <t>东南亚</t>
        </is>
      </c>
      <c r="F1378" s="19" t="inlineStr">
        <is>
          <t>03号泊位</t>
        </is>
      </c>
      <c r="G1378" s="20" t="n">
        <v>13009</v>
      </c>
      <c r="H1378" s="38" t="n">
        <v>10.9</v>
      </c>
      <c r="I1378" s="38" t="n">
        <v>1.68</v>
      </c>
      <c r="J1378" s="38" t="n">
        <v>9.859999999999999</v>
      </c>
      <c r="K1378" s="20" t="n">
        <v>0</v>
      </c>
      <c r="L1378" s="26">
        <f>IF(H1378&lt;=J1378,1,0)</f>
        <v>0</v>
      </c>
    </row>
    <row r="1379">
      <c r="A1379" s="24" t="inlineStr">
        <is>
          <t>QL-229-4</t>
        </is>
      </c>
      <c r="B1379" s="39" t="n">
        <v>45886</v>
      </c>
      <c r="C1379" s="40" t="inlineStr">
        <is>
          <t>出港</t>
        </is>
      </c>
      <c r="D1379" s="24" t="inlineStr">
        <is>
          <t>粮食</t>
        </is>
      </c>
      <c r="E1379" s="24" t="inlineStr">
        <is>
          <t>国内沿海</t>
        </is>
      </c>
      <c r="F1379" s="24" t="inlineStr">
        <is>
          <t>04号泊位</t>
        </is>
      </c>
      <c r="G1379" s="25" t="n">
        <v>7816</v>
      </c>
      <c r="H1379" s="41" t="n">
        <v>8.390000000000001</v>
      </c>
      <c r="I1379" s="41" t="n">
        <v>1.99</v>
      </c>
      <c r="J1379" s="41" t="n">
        <v>7.66</v>
      </c>
      <c r="K1379" s="25" t="n">
        <v>0</v>
      </c>
      <c r="L1379" s="26">
        <f>IF(H1379&lt;=J1379,1,0)</f>
        <v>0</v>
      </c>
    </row>
    <row r="1380">
      <c r="A1380" s="19" t="inlineStr">
        <is>
          <t>QL-229-5</t>
        </is>
      </c>
      <c r="B1380" s="36" t="n">
        <v>45886</v>
      </c>
      <c r="C1380" s="37" t="inlineStr">
        <is>
          <t>进港</t>
        </is>
      </c>
      <c r="D1380" s="19" t="inlineStr">
        <is>
          <t>液体散货</t>
        </is>
      </c>
      <c r="E1380" s="19" t="inlineStr">
        <is>
          <t>国内沿海</t>
        </is>
      </c>
      <c r="F1380" s="19" t="inlineStr">
        <is>
          <t>05号泊位</t>
        </is>
      </c>
      <c r="G1380" s="20" t="n">
        <v>12849</v>
      </c>
      <c r="H1380" s="38" t="n">
        <v>8.34</v>
      </c>
      <c r="I1380" s="38" t="n">
        <v>2.96</v>
      </c>
      <c r="J1380" s="38" t="n">
        <v>8.92</v>
      </c>
      <c r="K1380" s="20" t="n">
        <v>0</v>
      </c>
      <c r="L1380" s="26">
        <f>IF(H1380&lt;=J1380,1,0)</f>
        <v>1</v>
      </c>
    </row>
    <row r="1381">
      <c r="A1381" s="24" t="inlineStr">
        <is>
          <t>QL-229-6</t>
        </is>
      </c>
      <c r="B1381" s="39" t="n">
        <v>45886</v>
      </c>
      <c r="C1381" s="40" t="inlineStr">
        <is>
          <t>出港</t>
        </is>
      </c>
      <c r="D1381" s="24" t="inlineStr">
        <is>
          <t>件杂货</t>
        </is>
      </c>
      <c r="E1381" s="24" t="inlineStr">
        <is>
          <t>欧洲</t>
        </is>
      </c>
      <c r="F1381" s="24" t="inlineStr">
        <is>
          <t>06号泊位</t>
        </is>
      </c>
      <c r="G1381" s="25" t="n">
        <v>5471</v>
      </c>
      <c r="H1381" s="41" t="n">
        <v>9</v>
      </c>
      <c r="I1381" s="41" t="n">
        <v>1.06</v>
      </c>
      <c r="J1381" s="41" t="n">
        <v>8.970000000000001</v>
      </c>
      <c r="K1381" s="25" t="n">
        <v>0</v>
      </c>
      <c r="L1381" s="26">
        <f>IF(H1381&lt;=J1381,1,0)</f>
        <v>0</v>
      </c>
    </row>
    <row r="1382">
      <c r="A1382" s="19" t="inlineStr">
        <is>
          <t>QL-230-1</t>
        </is>
      </c>
      <c r="B1382" s="36" t="n">
        <v>45887</v>
      </c>
      <c r="C1382" s="37" t="inlineStr">
        <is>
          <t>出港</t>
        </is>
      </c>
      <c r="D1382" s="19" t="inlineStr">
        <is>
          <t>集装箱货物</t>
        </is>
      </c>
      <c r="E1382" s="19" t="inlineStr">
        <is>
          <t>东南亚</t>
        </is>
      </c>
      <c r="F1382" s="19" t="inlineStr">
        <is>
          <t>01号泊位</t>
        </is>
      </c>
      <c r="G1382" s="20" t="n">
        <v>10036</v>
      </c>
      <c r="H1382" s="38" t="n">
        <v>10.74</v>
      </c>
      <c r="I1382" s="38" t="n">
        <v>2.65</v>
      </c>
      <c r="J1382" s="38" t="n">
        <v>11.15</v>
      </c>
      <c r="K1382" s="20" t="n">
        <v>665</v>
      </c>
      <c r="L1382" s="26">
        <f>IF(H1382&lt;=J1382,1,0)</f>
        <v>1</v>
      </c>
    </row>
    <row r="1383">
      <c r="A1383" s="24" t="inlineStr">
        <is>
          <t>QL-230-2</t>
        </is>
      </c>
      <c r="B1383" s="39" t="n">
        <v>45887</v>
      </c>
      <c r="C1383" s="40" t="inlineStr">
        <is>
          <t>出港</t>
        </is>
      </c>
      <c r="D1383" s="24" t="inlineStr">
        <is>
          <t>金属矿石</t>
        </is>
      </c>
      <c r="E1383" s="24" t="inlineStr">
        <is>
          <t>东南亚</t>
        </is>
      </c>
      <c r="F1383" s="24" t="inlineStr">
        <is>
          <t>02号泊位</t>
        </is>
      </c>
      <c r="G1383" s="25" t="n">
        <v>34886</v>
      </c>
      <c r="H1383" s="41" t="n">
        <v>20.33</v>
      </c>
      <c r="I1383" s="41" t="n">
        <v>0.9399999999999999</v>
      </c>
      <c r="J1383" s="41" t="n">
        <v>22.51</v>
      </c>
      <c r="K1383" s="25" t="n">
        <v>0</v>
      </c>
      <c r="L1383" s="26">
        <f>IF(H1383&lt;=J1383,1,0)</f>
        <v>1</v>
      </c>
    </row>
    <row r="1384">
      <c r="A1384" s="19" t="inlineStr">
        <is>
          <t>QL-230-3</t>
        </is>
      </c>
      <c r="B1384" s="36" t="n">
        <v>45887</v>
      </c>
      <c r="C1384" s="37" t="inlineStr">
        <is>
          <t>进港</t>
        </is>
      </c>
      <c r="D1384" s="19" t="inlineStr">
        <is>
          <t>煤炭</t>
        </is>
      </c>
      <c r="E1384" s="19" t="inlineStr">
        <is>
          <t>东南亚</t>
        </is>
      </c>
      <c r="F1384" s="19" t="inlineStr">
        <is>
          <t>03号泊位</t>
        </is>
      </c>
      <c r="G1384" s="20" t="n">
        <v>18103</v>
      </c>
      <c r="H1384" s="38" t="n">
        <v>12.62</v>
      </c>
      <c r="I1384" s="38" t="n">
        <v>0.76</v>
      </c>
      <c r="J1384" s="38" t="n">
        <v>13.71</v>
      </c>
      <c r="K1384" s="20" t="n">
        <v>0</v>
      </c>
      <c r="L1384" s="26">
        <f>IF(H1384&lt;=J1384,1,0)</f>
        <v>1</v>
      </c>
    </row>
    <row r="1385">
      <c r="A1385" s="24" t="inlineStr">
        <is>
          <t>QL-230-4</t>
        </is>
      </c>
      <c r="B1385" s="39" t="n">
        <v>45887</v>
      </c>
      <c r="C1385" s="40" t="inlineStr">
        <is>
          <t>进港</t>
        </is>
      </c>
      <c r="D1385" s="24" t="inlineStr">
        <is>
          <t>粮食</t>
        </is>
      </c>
      <c r="E1385" s="24" t="inlineStr">
        <is>
          <t>欧洲</t>
        </is>
      </c>
      <c r="F1385" s="24" t="inlineStr">
        <is>
          <t>04号泊位</t>
        </is>
      </c>
      <c r="G1385" s="25" t="n">
        <v>6071</v>
      </c>
      <c r="H1385" s="41" t="n">
        <v>5.92</v>
      </c>
      <c r="I1385" s="41" t="n">
        <v>0.42</v>
      </c>
      <c r="J1385" s="41" t="n">
        <v>5.95</v>
      </c>
      <c r="K1385" s="25" t="n">
        <v>0</v>
      </c>
      <c r="L1385" s="26">
        <f>IF(H1385&lt;=J1385,1,0)</f>
        <v>1</v>
      </c>
    </row>
    <row r="1386">
      <c r="A1386" s="19" t="inlineStr">
        <is>
          <t>QL-230-5</t>
        </is>
      </c>
      <c r="B1386" s="36" t="n">
        <v>45887</v>
      </c>
      <c r="C1386" s="37" t="inlineStr">
        <is>
          <t>进港</t>
        </is>
      </c>
      <c r="D1386" s="19" t="inlineStr">
        <is>
          <t>液体散货</t>
        </is>
      </c>
      <c r="E1386" s="19" t="inlineStr">
        <is>
          <t>东南亚</t>
        </is>
      </c>
      <c r="F1386" s="19" t="inlineStr">
        <is>
          <t>05号泊位</t>
        </is>
      </c>
      <c r="G1386" s="20" t="n">
        <v>21430</v>
      </c>
      <c r="H1386" s="38" t="n">
        <v>14.2</v>
      </c>
      <c r="I1386" s="38" t="n">
        <v>2.18</v>
      </c>
      <c r="J1386" s="38" t="n">
        <v>14.88</v>
      </c>
      <c r="K1386" s="20" t="n">
        <v>0</v>
      </c>
      <c r="L1386" s="26">
        <f>IF(H1386&lt;=J1386,1,0)</f>
        <v>1</v>
      </c>
    </row>
    <row r="1387">
      <c r="A1387" s="24" t="inlineStr">
        <is>
          <t>QL-230-6</t>
        </is>
      </c>
      <c r="B1387" s="39" t="n">
        <v>45887</v>
      </c>
      <c r="C1387" s="40" t="inlineStr">
        <is>
          <t>出港</t>
        </is>
      </c>
      <c r="D1387" s="24" t="inlineStr">
        <is>
          <t>件杂货</t>
        </is>
      </c>
      <c r="E1387" s="24" t="inlineStr">
        <is>
          <t>东亚</t>
        </is>
      </c>
      <c r="F1387" s="24" t="inlineStr">
        <is>
          <t>06号泊位</t>
        </is>
      </c>
      <c r="G1387" s="25" t="n">
        <v>5572</v>
      </c>
      <c r="H1387" s="41" t="n">
        <v>10.94</v>
      </c>
      <c r="I1387" s="41" t="n">
        <v>0.82</v>
      </c>
      <c r="J1387" s="41" t="n">
        <v>9.130000000000001</v>
      </c>
      <c r="K1387" s="25" t="n">
        <v>0</v>
      </c>
      <c r="L1387" s="26">
        <f>IF(H1387&lt;=J1387,1,0)</f>
        <v>0</v>
      </c>
    </row>
    <row r="1388">
      <c r="A1388" s="19" t="inlineStr">
        <is>
          <t>QL-231-1</t>
        </is>
      </c>
      <c r="B1388" s="36" t="n">
        <v>45888</v>
      </c>
      <c r="C1388" s="37" t="inlineStr">
        <is>
          <t>出港</t>
        </is>
      </c>
      <c r="D1388" s="19" t="inlineStr">
        <is>
          <t>集装箱货物</t>
        </is>
      </c>
      <c r="E1388" s="19" t="inlineStr">
        <is>
          <t>东南亚</t>
        </is>
      </c>
      <c r="F1388" s="19" t="inlineStr">
        <is>
          <t>01号泊位</t>
        </is>
      </c>
      <c r="G1388" s="20" t="n">
        <v>7891</v>
      </c>
      <c r="H1388" s="38" t="n">
        <v>10.15</v>
      </c>
      <c r="I1388" s="38" t="n">
        <v>2.57</v>
      </c>
      <c r="J1388" s="38" t="n">
        <v>8.77</v>
      </c>
      <c r="K1388" s="20" t="n">
        <v>495</v>
      </c>
      <c r="L1388" s="26">
        <f>IF(H1388&lt;=J1388,1,0)</f>
        <v>0</v>
      </c>
    </row>
    <row r="1389">
      <c r="A1389" s="24" t="inlineStr">
        <is>
          <t>QL-231-2</t>
        </is>
      </c>
      <c r="B1389" s="39" t="n">
        <v>45888</v>
      </c>
      <c r="C1389" s="40" t="inlineStr">
        <is>
          <t>出港</t>
        </is>
      </c>
      <c r="D1389" s="24" t="inlineStr">
        <is>
          <t>金属矿石</t>
        </is>
      </c>
      <c r="E1389" s="24" t="inlineStr">
        <is>
          <t>东南亚</t>
        </is>
      </c>
      <c r="F1389" s="24" t="inlineStr">
        <is>
          <t>02号泊位</t>
        </is>
      </c>
      <c r="G1389" s="25" t="n">
        <v>21866</v>
      </c>
      <c r="H1389" s="41" t="n">
        <v>11.97</v>
      </c>
      <c r="I1389" s="41" t="n">
        <v>1.86</v>
      </c>
      <c r="J1389" s="41" t="n">
        <v>14.11</v>
      </c>
      <c r="K1389" s="25" t="n">
        <v>0</v>
      </c>
      <c r="L1389" s="26">
        <f>IF(H1389&lt;=J1389,1,0)</f>
        <v>1</v>
      </c>
    </row>
    <row r="1390">
      <c r="A1390" s="19" t="inlineStr">
        <is>
          <t>QL-231-3</t>
        </is>
      </c>
      <c r="B1390" s="36" t="n">
        <v>45888</v>
      </c>
      <c r="C1390" s="37" t="inlineStr">
        <is>
          <t>出港</t>
        </is>
      </c>
      <c r="D1390" s="19" t="inlineStr">
        <is>
          <t>煤炭</t>
        </is>
      </c>
      <c r="E1390" s="19" t="inlineStr">
        <is>
          <t>北美</t>
        </is>
      </c>
      <c r="F1390" s="19" t="inlineStr">
        <is>
          <t>03号泊位</t>
        </is>
      </c>
      <c r="G1390" s="20" t="n">
        <v>17423</v>
      </c>
      <c r="H1390" s="38" t="n">
        <v>12.26</v>
      </c>
      <c r="I1390" s="38" t="n">
        <v>2.48</v>
      </c>
      <c r="J1390" s="38" t="n">
        <v>13.2</v>
      </c>
      <c r="K1390" s="20" t="n">
        <v>0</v>
      </c>
      <c r="L1390" s="26">
        <f>IF(H1390&lt;=J1390,1,0)</f>
        <v>1</v>
      </c>
    </row>
    <row r="1391">
      <c r="A1391" s="24" t="inlineStr">
        <is>
          <t>QL-231-4</t>
        </is>
      </c>
      <c r="B1391" s="39" t="n">
        <v>45888</v>
      </c>
      <c r="C1391" s="40" t="inlineStr">
        <is>
          <t>进港</t>
        </is>
      </c>
      <c r="D1391" s="24" t="inlineStr">
        <is>
          <t>粮食</t>
        </is>
      </c>
      <c r="E1391" s="24" t="inlineStr">
        <is>
          <t>东亚</t>
        </is>
      </c>
      <c r="F1391" s="24" t="inlineStr">
        <is>
          <t>04号泊位</t>
        </is>
      </c>
      <c r="G1391" s="25" t="n">
        <v>6871</v>
      </c>
      <c r="H1391" s="41" t="n">
        <v>5.6</v>
      </c>
      <c r="I1391" s="41" t="n">
        <v>4.43</v>
      </c>
      <c r="J1391" s="41" t="n">
        <v>6.74</v>
      </c>
      <c r="K1391" s="25" t="n">
        <v>0</v>
      </c>
      <c r="L1391" s="26">
        <f>IF(H1391&lt;=J1391,1,0)</f>
        <v>1</v>
      </c>
    </row>
    <row r="1392">
      <c r="A1392" s="19" t="inlineStr">
        <is>
          <t>QL-231-5</t>
        </is>
      </c>
      <c r="B1392" s="36" t="n">
        <v>45888</v>
      </c>
      <c r="C1392" s="37" t="inlineStr">
        <is>
          <t>出港</t>
        </is>
      </c>
      <c r="D1392" s="19" t="inlineStr">
        <is>
          <t>液体散货</t>
        </is>
      </c>
      <c r="E1392" s="19" t="inlineStr">
        <is>
          <t>东亚</t>
        </is>
      </c>
      <c r="F1392" s="19" t="inlineStr">
        <is>
          <t>05号泊位</t>
        </is>
      </c>
      <c r="G1392" s="20" t="n">
        <v>16218</v>
      </c>
      <c r="H1392" s="38" t="n">
        <v>10.76</v>
      </c>
      <c r="I1392" s="38" t="n">
        <v>0.88</v>
      </c>
      <c r="J1392" s="38" t="n">
        <v>11.26</v>
      </c>
      <c r="K1392" s="20" t="n">
        <v>0</v>
      </c>
      <c r="L1392" s="26">
        <f>IF(H1392&lt;=J1392,1,0)</f>
        <v>1</v>
      </c>
    </row>
    <row r="1393">
      <c r="A1393" s="24" t="inlineStr">
        <is>
          <t>QL-231-6</t>
        </is>
      </c>
      <c r="B1393" s="39" t="n">
        <v>45888</v>
      </c>
      <c r="C1393" s="40" t="inlineStr">
        <is>
          <t>进港</t>
        </is>
      </c>
      <c r="D1393" s="24" t="inlineStr">
        <is>
          <t>件杂货</t>
        </is>
      </c>
      <c r="E1393" s="24" t="inlineStr">
        <is>
          <t>东南亚</t>
        </is>
      </c>
      <c r="F1393" s="24" t="inlineStr">
        <is>
          <t>06号泊位</t>
        </is>
      </c>
      <c r="G1393" s="25" t="n">
        <v>8660</v>
      </c>
      <c r="H1393" s="41" t="n">
        <v>16.76</v>
      </c>
      <c r="I1393" s="41" t="n">
        <v>3.29</v>
      </c>
      <c r="J1393" s="41" t="n">
        <v>14.2</v>
      </c>
      <c r="K1393" s="25" t="n">
        <v>0</v>
      </c>
      <c r="L1393" s="26">
        <f>IF(H1393&lt;=J1393,1,0)</f>
        <v>0</v>
      </c>
    </row>
    <row r="1394">
      <c r="A1394" s="19" t="inlineStr">
        <is>
          <t>QL-232-1</t>
        </is>
      </c>
      <c r="B1394" s="36" t="n">
        <v>45889</v>
      </c>
      <c r="C1394" s="37" t="inlineStr">
        <is>
          <t>进港</t>
        </is>
      </c>
      <c r="D1394" s="19" t="inlineStr">
        <is>
          <t>集装箱货物</t>
        </is>
      </c>
      <c r="E1394" s="19" t="inlineStr">
        <is>
          <t>东亚</t>
        </is>
      </c>
      <c r="F1394" s="19" t="inlineStr">
        <is>
          <t>01号泊位</t>
        </is>
      </c>
      <c r="G1394" s="20" t="n">
        <v>9281</v>
      </c>
      <c r="H1394" s="38" t="n">
        <v>10.72</v>
      </c>
      <c r="I1394" s="38" t="n">
        <v>1.06</v>
      </c>
      <c r="J1394" s="38" t="n">
        <v>10.31</v>
      </c>
      <c r="K1394" s="20" t="n">
        <v>568</v>
      </c>
      <c r="L1394" s="26">
        <f>IF(H1394&lt;=J1394,1,0)</f>
        <v>0</v>
      </c>
    </row>
    <row r="1395">
      <c r="A1395" s="24" t="inlineStr">
        <is>
          <t>QL-232-2</t>
        </is>
      </c>
      <c r="B1395" s="39" t="n">
        <v>45889</v>
      </c>
      <c r="C1395" s="40" t="inlineStr">
        <is>
          <t>进港</t>
        </is>
      </c>
      <c r="D1395" s="24" t="inlineStr">
        <is>
          <t>金属矿石</t>
        </is>
      </c>
      <c r="E1395" s="24" t="inlineStr">
        <is>
          <t>东南亚</t>
        </is>
      </c>
      <c r="F1395" s="24" t="inlineStr">
        <is>
          <t>02号泊位</t>
        </is>
      </c>
      <c r="G1395" s="25" t="n">
        <v>23670</v>
      </c>
      <c r="H1395" s="41" t="n">
        <v>15.43</v>
      </c>
      <c r="I1395" s="41" t="n">
        <v>3.3</v>
      </c>
      <c r="J1395" s="41" t="n">
        <v>15.27</v>
      </c>
      <c r="K1395" s="25" t="n">
        <v>0</v>
      </c>
      <c r="L1395" s="26">
        <f>IF(H1395&lt;=J1395,1,0)</f>
        <v>0</v>
      </c>
    </row>
    <row r="1396">
      <c r="A1396" s="19" t="inlineStr">
        <is>
          <t>QL-232-3</t>
        </is>
      </c>
      <c r="B1396" s="36" t="n">
        <v>45889</v>
      </c>
      <c r="C1396" s="37" t="inlineStr">
        <is>
          <t>进港</t>
        </is>
      </c>
      <c r="D1396" s="19" t="inlineStr">
        <is>
          <t>煤炭</t>
        </is>
      </c>
      <c r="E1396" s="19" t="inlineStr">
        <is>
          <t>东南亚</t>
        </is>
      </c>
      <c r="F1396" s="19" t="inlineStr">
        <is>
          <t>03号泊位</t>
        </is>
      </c>
      <c r="G1396" s="20" t="n">
        <v>17392</v>
      </c>
      <c r="H1396" s="38" t="n">
        <v>11.41</v>
      </c>
      <c r="I1396" s="38" t="n">
        <v>0.64</v>
      </c>
      <c r="J1396" s="38" t="n">
        <v>13.18</v>
      </c>
      <c r="K1396" s="20" t="n">
        <v>0</v>
      </c>
      <c r="L1396" s="26">
        <f>IF(H1396&lt;=J1396,1,0)</f>
        <v>1</v>
      </c>
    </row>
    <row r="1397">
      <c r="A1397" s="24" t="inlineStr">
        <is>
          <t>QL-232-4</t>
        </is>
      </c>
      <c r="B1397" s="39" t="n">
        <v>45889</v>
      </c>
      <c r="C1397" s="40" t="inlineStr">
        <is>
          <t>进港</t>
        </is>
      </c>
      <c r="D1397" s="24" t="inlineStr">
        <is>
          <t>粮食</t>
        </is>
      </c>
      <c r="E1397" s="24" t="inlineStr">
        <is>
          <t>东南亚</t>
        </is>
      </c>
      <c r="F1397" s="24" t="inlineStr">
        <is>
          <t>04号泊位</t>
        </is>
      </c>
      <c r="G1397" s="25" t="n">
        <v>8732</v>
      </c>
      <c r="H1397" s="41" t="n">
        <v>8.69</v>
      </c>
      <c r="I1397" s="41" t="n">
        <v>3.53</v>
      </c>
      <c r="J1397" s="41" t="n">
        <v>8.56</v>
      </c>
      <c r="K1397" s="25" t="n">
        <v>0</v>
      </c>
      <c r="L1397" s="26">
        <f>IF(H1397&lt;=J1397,1,0)</f>
        <v>0</v>
      </c>
    </row>
    <row r="1398">
      <c r="A1398" s="19" t="inlineStr">
        <is>
          <t>QL-232-5</t>
        </is>
      </c>
      <c r="B1398" s="36" t="n">
        <v>45889</v>
      </c>
      <c r="C1398" s="37" t="inlineStr">
        <is>
          <t>出港</t>
        </is>
      </c>
      <c r="D1398" s="19" t="inlineStr">
        <is>
          <t>液体散货</t>
        </is>
      </c>
      <c r="E1398" s="19" t="inlineStr">
        <is>
          <t>东南亚</t>
        </is>
      </c>
      <c r="F1398" s="19" t="inlineStr">
        <is>
          <t>05号泊位</t>
        </is>
      </c>
      <c r="G1398" s="20" t="n">
        <v>13575</v>
      </c>
      <c r="H1398" s="38" t="n">
        <v>10.38</v>
      </c>
      <c r="I1398" s="38" t="n">
        <v>0.44</v>
      </c>
      <c r="J1398" s="38" t="n">
        <v>9.43</v>
      </c>
      <c r="K1398" s="20" t="n">
        <v>0</v>
      </c>
      <c r="L1398" s="26">
        <f>IF(H1398&lt;=J1398,1,0)</f>
        <v>0</v>
      </c>
    </row>
    <row r="1399">
      <c r="A1399" s="24" t="inlineStr">
        <is>
          <t>QL-232-6</t>
        </is>
      </c>
      <c r="B1399" s="39" t="n">
        <v>45889</v>
      </c>
      <c r="C1399" s="40" t="inlineStr">
        <is>
          <t>出港</t>
        </is>
      </c>
      <c r="D1399" s="24" t="inlineStr">
        <is>
          <t>件杂货</t>
        </is>
      </c>
      <c r="E1399" s="24" t="inlineStr">
        <is>
          <t>国内沿海</t>
        </is>
      </c>
      <c r="F1399" s="24" t="inlineStr">
        <is>
          <t>06号泊位</t>
        </is>
      </c>
      <c r="G1399" s="25" t="n">
        <v>5960</v>
      </c>
      <c r="H1399" s="41" t="n">
        <v>11.36</v>
      </c>
      <c r="I1399" s="41" t="n">
        <v>0.3</v>
      </c>
      <c r="J1399" s="41" t="n">
        <v>9.77</v>
      </c>
      <c r="K1399" s="25" t="n">
        <v>0</v>
      </c>
      <c r="L1399" s="26">
        <f>IF(H1399&lt;=J1399,1,0)</f>
        <v>0</v>
      </c>
    </row>
    <row r="1400">
      <c r="A1400" s="19" t="inlineStr">
        <is>
          <t>QL-233-1</t>
        </is>
      </c>
      <c r="B1400" s="36" t="n">
        <v>45890</v>
      </c>
      <c r="C1400" s="37" t="inlineStr">
        <is>
          <t>出港</t>
        </is>
      </c>
      <c r="D1400" s="19" t="inlineStr">
        <is>
          <t>集装箱货物</t>
        </is>
      </c>
      <c r="E1400" s="19" t="inlineStr">
        <is>
          <t>东南亚</t>
        </is>
      </c>
      <c r="F1400" s="19" t="inlineStr">
        <is>
          <t>01号泊位</t>
        </is>
      </c>
      <c r="G1400" s="20" t="n">
        <v>6658</v>
      </c>
      <c r="H1400" s="38" t="n">
        <v>7.85</v>
      </c>
      <c r="I1400" s="38" t="n">
        <v>1.38</v>
      </c>
      <c r="J1400" s="38" t="n">
        <v>7.4</v>
      </c>
      <c r="K1400" s="20" t="n">
        <v>458</v>
      </c>
      <c r="L1400" s="26">
        <f>IF(H1400&lt;=J1400,1,0)</f>
        <v>0</v>
      </c>
    </row>
    <row r="1401">
      <c r="A1401" s="24" t="inlineStr">
        <is>
          <t>QL-233-2</t>
        </is>
      </c>
      <c r="B1401" s="39" t="n">
        <v>45890</v>
      </c>
      <c r="C1401" s="40" t="inlineStr">
        <is>
          <t>进港</t>
        </is>
      </c>
      <c r="D1401" s="24" t="inlineStr">
        <is>
          <t>金属矿石</t>
        </is>
      </c>
      <c r="E1401" s="24" t="inlineStr">
        <is>
          <t>欧洲</t>
        </is>
      </c>
      <c r="F1401" s="24" t="inlineStr">
        <is>
          <t>02号泊位</t>
        </is>
      </c>
      <c r="G1401" s="25" t="n">
        <v>32207</v>
      </c>
      <c r="H1401" s="41" t="n">
        <v>17.01</v>
      </c>
      <c r="I1401" s="41" t="n">
        <v>4.83</v>
      </c>
      <c r="J1401" s="41" t="n">
        <v>20.78</v>
      </c>
      <c r="K1401" s="25" t="n">
        <v>0</v>
      </c>
      <c r="L1401" s="26">
        <f>IF(H1401&lt;=J1401,1,0)</f>
        <v>1</v>
      </c>
    </row>
    <row r="1402">
      <c r="A1402" s="19" t="inlineStr">
        <is>
          <t>QL-233-3</t>
        </is>
      </c>
      <c r="B1402" s="36" t="n">
        <v>45890</v>
      </c>
      <c r="C1402" s="37" t="inlineStr">
        <is>
          <t>进港</t>
        </is>
      </c>
      <c r="D1402" s="19" t="inlineStr">
        <is>
          <t>煤炭</t>
        </is>
      </c>
      <c r="E1402" s="19" t="inlineStr">
        <is>
          <t>东亚</t>
        </is>
      </c>
      <c r="F1402" s="19" t="inlineStr">
        <is>
          <t>03号泊位</t>
        </is>
      </c>
      <c r="G1402" s="20" t="n">
        <v>15711</v>
      </c>
      <c r="H1402" s="38" t="n">
        <v>13.55</v>
      </c>
      <c r="I1402" s="38" t="n">
        <v>2.09</v>
      </c>
      <c r="J1402" s="38" t="n">
        <v>11.9</v>
      </c>
      <c r="K1402" s="20" t="n">
        <v>0</v>
      </c>
      <c r="L1402" s="26">
        <f>IF(H1402&lt;=J1402,1,0)</f>
        <v>0</v>
      </c>
    </row>
    <row r="1403">
      <c r="A1403" s="24" t="inlineStr">
        <is>
          <t>QL-233-4</t>
        </is>
      </c>
      <c r="B1403" s="39" t="n">
        <v>45890</v>
      </c>
      <c r="C1403" s="40" t="inlineStr">
        <is>
          <t>出港</t>
        </is>
      </c>
      <c r="D1403" s="24" t="inlineStr">
        <is>
          <t>粮食</t>
        </is>
      </c>
      <c r="E1403" s="24" t="inlineStr">
        <is>
          <t>东亚</t>
        </is>
      </c>
      <c r="F1403" s="24" t="inlineStr">
        <is>
          <t>04号泊位</t>
        </is>
      </c>
      <c r="G1403" s="25" t="n">
        <v>8608</v>
      </c>
      <c r="H1403" s="41" t="n">
        <v>8.27</v>
      </c>
      <c r="I1403" s="41" t="n">
        <v>2.6</v>
      </c>
      <c r="J1403" s="41" t="n">
        <v>8.44</v>
      </c>
      <c r="K1403" s="25" t="n">
        <v>0</v>
      </c>
      <c r="L1403" s="26">
        <f>IF(H1403&lt;=J1403,1,0)</f>
        <v>1</v>
      </c>
    </row>
    <row r="1404">
      <c r="A1404" s="19" t="inlineStr">
        <is>
          <t>QL-233-5</t>
        </is>
      </c>
      <c r="B1404" s="36" t="n">
        <v>45890</v>
      </c>
      <c r="C1404" s="37" t="inlineStr">
        <is>
          <t>出港</t>
        </is>
      </c>
      <c r="D1404" s="19" t="inlineStr">
        <is>
          <t>液体散货</t>
        </is>
      </c>
      <c r="E1404" s="19" t="inlineStr">
        <is>
          <t>欧洲</t>
        </is>
      </c>
      <c r="F1404" s="19" t="inlineStr">
        <is>
          <t>05号泊位</t>
        </is>
      </c>
      <c r="G1404" s="20" t="n">
        <v>14071</v>
      </c>
      <c r="H1404" s="38" t="n">
        <v>10.81</v>
      </c>
      <c r="I1404" s="38" t="n">
        <v>2.7</v>
      </c>
      <c r="J1404" s="38" t="n">
        <v>9.77</v>
      </c>
      <c r="K1404" s="20" t="n">
        <v>0</v>
      </c>
      <c r="L1404" s="26">
        <f>IF(H1404&lt;=J1404,1,0)</f>
        <v>0</v>
      </c>
    </row>
    <row r="1405">
      <c r="A1405" s="24" t="inlineStr">
        <is>
          <t>QL-233-6</t>
        </is>
      </c>
      <c r="B1405" s="39" t="n">
        <v>45890</v>
      </c>
      <c r="C1405" s="40" t="inlineStr">
        <is>
          <t>出港</t>
        </is>
      </c>
      <c r="D1405" s="24" t="inlineStr">
        <is>
          <t>件杂货</t>
        </is>
      </c>
      <c r="E1405" s="24" t="inlineStr">
        <is>
          <t>欧洲</t>
        </is>
      </c>
      <c r="F1405" s="24" t="inlineStr">
        <is>
          <t>06号泊位</t>
        </is>
      </c>
      <c r="G1405" s="25" t="n">
        <v>6964</v>
      </c>
      <c r="H1405" s="41" t="n">
        <v>11.85</v>
      </c>
      <c r="I1405" s="41" t="n">
        <v>0.7</v>
      </c>
      <c r="J1405" s="41" t="n">
        <v>11.42</v>
      </c>
      <c r="K1405" s="25" t="n">
        <v>0</v>
      </c>
      <c r="L1405" s="26">
        <f>IF(H1405&lt;=J1405,1,0)</f>
        <v>0</v>
      </c>
    </row>
    <row r="1406">
      <c r="A1406" s="19" t="inlineStr">
        <is>
          <t>QL-234-1</t>
        </is>
      </c>
      <c r="B1406" s="36" t="n">
        <v>45891</v>
      </c>
      <c r="C1406" s="37" t="inlineStr">
        <is>
          <t>进港</t>
        </is>
      </c>
      <c r="D1406" s="19" t="inlineStr">
        <is>
          <t>集装箱货物</t>
        </is>
      </c>
      <c r="E1406" s="19" t="inlineStr">
        <is>
          <t>东亚</t>
        </is>
      </c>
      <c r="F1406" s="19" t="inlineStr">
        <is>
          <t>01号泊位</t>
        </is>
      </c>
      <c r="G1406" s="20" t="n">
        <v>8843</v>
      </c>
      <c r="H1406" s="38" t="n">
        <v>9.69</v>
      </c>
      <c r="I1406" s="38" t="n">
        <v>0.3</v>
      </c>
      <c r="J1406" s="38" t="n">
        <v>9.83</v>
      </c>
      <c r="K1406" s="20" t="n">
        <v>665</v>
      </c>
      <c r="L1406" s="26">
        <f>IF(H1406&lt;=J1406,1,0)</f>
        <v>1</v>
      </c>
    </row>
    <row r="1407">
      <c r="A1407" s="24" t="inlineStr">
        <is>
          <t>QL-234-2</t>
        </is>
      </c>
      <c r="B1407" s="39" t="n">
        <v>45891</v>
      </c>
      <c r="C1407" s="40" t="inlineStr">
        <is>
          <t>进港</t>
        </is>
      </c>
      <c r="D1407" s="24" t="inlineStr">
        <is>
          <t>金属矿石</t>
        </is>
      </c>
      <c r="E1407" s="24" t="inlineStr">
        <is>
          <t>东南亚</t>
        </is>
      </c>
      <c r="F1407" s="24" t="inlineStr">
        <is>
          <t>02号泊位</t>
        </is>
      </c>
      <c r="G1407" s="25" t="n">
        <v>21522</v>
      </c>
      <c r="H1407" s="41" t="n">
        <v>11.36</v>
      </c>
      <c r="I1407" s="41" t="n">
        <v>3.61</v>
      </c>
      <c r="J1407" s="41" t="n">
        <v>13.89</v>
      </c>
      <c r="K1407" s="25" t="n">
        <v>0</v>
      </c>
      <c r="L1407" s="26">
        <f>IF(H1407&lt;=J1407,1,0)</f>
        <v>1</v>
      </c>
    </row>
    <row r="1408">
      <c r="A1408" s="19" t="inlineStr">
        <is>
          <t>QL-234-3</t>
        </is>
      </c>
      <c r="B1408" s="36" t="n">
        <v>45891</v>
      </c>
      <c r="C1408" s="37" t="inlineStr">
        <is>
          <t>出港</t>
        </is>
      </c>
      <c r="D1408" s="19" t="inlineStr">
        <is>
          <t>煤炭</t>
        </is>
      </c>
      <c r="E1408" s="19" t="inlineStr">
        <is>
          <t>国内沿海</t>
        </is>
      </c>
      <c r="F1408" s="19" t="inlineStr">
        <is>
          <t>03号泊位</t>
        </is>
      </c>
      <c r="G1408" s="20" t="n">
        <v>11443</v>
      </c>
      <c r="H1408" s="38" t="n">
        <v>9.34</v>
      </c>
      <c r="I1408" s="38" t="n">
        <v>1.64</v>
      </c>
      <c r="J1408" s="38" t="n">
        <v>8.67</v>
      </c>
      <c r="K1408" s="20" t="n">
        <v>0</v>
      </c>
      <c r="L1408" s="26">
        <f>IF(H1408&lt;=J1408,1,0)</f>
        <v>0</v>
      </c>
    </row>
    <row r="1409">
      <c r="A1409" s="24" t="inlineStr">
        <is>
          <t>QL-234-4</t>
        </is>
      </c>
      <c r="B1409" s="39" t="n">
        <v>45891</v>
      </c>
      <c r="C1409" s="40" t="inlineStr">
        <is>
          <t>进港</t>
        </is>
      </c>
      <c r="D1409" s="24" t="inlineStr">
        <is>
          <t>粮食</t>
        </is>
      </c>
      <c r="E1409" s="24" t="inlineStr">
        <is>
          <t>北美</t>
        </is>
      </c>
      <c r="F1409" s="24" t="inlineStr">
        <is>
          <t>04号泊位</t>
        </is>
      </c>
      <c r="G1409" s="25" t="n">
        <v>10513</v>
      </c>
      <c r="H1409" s="41" t="n">
        <v>10.89</v>
      </c>
      <c r="I1409" s="41" t="n">
        <v>0.65</v>
      </c>
      <c r="J1409" s="41" t="n">
        <v>10.31</v>
      </c>
      <c r="K1409" s="25" t="n">
        <v>0</v>
      </c>
      <c r="L1409" s="26">
        <f>IF(H1409&lt;=J1409,1,0)</f>
        <v>0</v>
      </c>
    </row>
    <row r="1410">
      <c r="A1410" s="19" t="inlineStr">
        <is>
          <t>QL-234-5</t>
        </is>
      </c>
      <c r="B1410" s="36" t="n">
        <v>45891</v>
      </c>
      <c r="C1410" s="37" t="inlineStr">
        <is>
          <t>进港</t>
        </is>
      </c>
      <c r="D1410" s="19" t="inlineStr">
        <is>
          <t>液体散货</t>
        </is>
      </c>
      <c r="E1410" s="19" t="inlineStr">
        <is>
          <t>国内沿海</t>
        </is>
      </c>
      <c r="F1410" s="19" t="inlineStr">
        <is>
          <t>05号泊位</t>
        </is>
      </c>
      <c r="G1410" s="20" t="n">
        <v>18357</v>
      </c>
      <c r="H1410" s="38" t="n">
        <v>13.26</v>
      </c>
      <c r="I1410" s="38" t="n">
        <v>0.7</v>
      </c>
      <c r="J1410" s="38" t="n">
        <v>12.75</v>
      </c>
      <c r="K1410" s="20" t="n">
        <v>0</v>
      </c>
      <c r="L1410" s="26">
        <f>IF(H1410&lt;=J1410,1,0)</f>
        <v>0</v>
      </c>
    </row>
    <row r="1411">
      <c r="A1411" s="24" t="inlineStr">
        <is>
          <t>QL-234-6</t>
        </is>
      </c>
      <c r="B1411" s="39" t="n">
        <v>45891</v>
      </c>
      <c r="C1411" s="40" t="inlineStr">
        <is>
          <t>出港</t>
        </is>
      </c>
      <c r="D1411" s="24" t="inlineStr">
        <is>
          <t>件杂货</t>
        </is>
      </c>
      <c r="E1411" s="24" t="inlineStr">
        <is>
          <t>东亚</t>
        </is>
      </c>
      <c r="F1411" s="24" t="inlineStr">
        <is>
          <t>06号泊位</t>
        </is>
      </c>
      <c r="G1411" s="25" t="n">
        <v>5512</v>
      </c>
      <c r="H1411" s="41" t="n">
        <v>9.35</v>
      </c>
      <c r="I1411" s="41" t="n">
        <v>1.11</v>
      </c>
      <c r="J1411" s="41" t="n">
        <v>9.039999999999999</v>
      </c>
      <c r="K1411" s="25" t="n">
        <v>0</v>
      </c>
      <c r="L1411" s="26">
        <f>IF(H1411&lt;=J1411,1,0)</f>
        <v>0</v>
      </c>
    </row>
    <row r="1412">
      <c r="A1412" s="19" t="inlineStr">
        <is>
          <t>QL-235-1</t>
        </is>
      </c>
      <c r="B1412" s="36" t="n">
        <v>45892</v>
      </c>
      <c r="C1412" s="37" t="inlineStr">
        <is>
          <t>出港</t>
        </is>
      </c>
      <c r="D1412" s="19" t="inlineStr">
        <is>
          <t>集装箱货物</t>
        </is>
      </c>
      <c r="E1412" s="19" t="inlineStr">
        <is>
          <t>国内沿海</t>
        </is>
      </c>
      <c r="F1412" s="19" t="inlineStr">
        <is>
          <t>01号泊位</t>
        </is>
      </c>
      <c r="G1412" s="20" t="n">
        <v>9385</v>
      </c>
      <c r="H1412" s="38" t="n">
        <v>12.39</v>
      </c>
      <c r="I1412" s="38" t="n">
        <v>2.44</v>
      </c>
      <c r="J1412" s="38" t="n">
        <v>10.43</v>
      </c>
      <c r="K1412" s="20" t="n">
        <v>557</v>
      </c>
      <c r="L1412" s="26">
        <f>IF(H1412&lt;=J1412,1,0)</f>
        <v>0</v>
      </c>
    </row>
    <row r="1413">
      <c r="A1413" s="24" t="inlineStr">
        <is>
          <t>QL-235-2</t>
        </is>
      </c>
      <c r="B1413" s="39" t="n">
        <v>45892</v>
      </c>
      <c r="C1413" s="40" t="inlineStr">
        <is>
          <t>进港</t>
        </is>
      </c>
      <c r="D1413" s="24" t="inlineStr">
        <is>
          <t>金属矿石</t>
        </is>
      </c>
      <c r="E1413" s="24" t="inlineStr">
        <is>
          <t>国内沿海</t>
        </is>
      </c>
      <c r="F1413" s="24" t="inlineStr">
        <is>
          <t>02号泊位</t>
        </is>
      </c>
      <c r="G1413" s="25" t="n">
        <v>21921</v>
      </c>
      <c r="H1413" s="41" t="n">
        <v>12.4</v>
      </c>
      <c r="I1413" s="41" t="n">
        <v>6.04</v>
      </c>
      <c r="J1413" s="41" t="n">
        <v>14.14</v>
      </c>
      <c r="K1413" s="25" t="n">
        <v>0</v>
      </c>
      <c r="L1413" s="26">
        <f>IF(H1413&lt;=J1413,1,0)</f>
        <v>1</v>
      </c>
    </row>
    <row r="1414">
      <c r="A1414" s="19" t="inlineStr">
        <is>
          <t>QL-235-3</t>
        </is>
      </c>
      <c r="B1414" s="36" t="n">
        <v>45892</v>
      </c>
      <c r="C1414" s="37" t="inlineStr">
        <is>
          <t>进港</t>
        </is>
      </c>
      <c r="D1414" s="19" t="inlineStr">
        <is>
          <t>煤炭</t>
        </is>
      </c>
      <c r="E1414" s="19" t="inlineStr">
        <is>
          <t>东南亚</t>
        </is>
      </c>
      <c r="F1414" s="19" t="inlineStr">
        <is>
          <t>03号泊位</t>
        </is>
      </c>
      <c r="G1414" s="20" t="n">
        <v>21990</v>
      </c>
      <c r="H1414" s="38" t="n">
        <v>17.57</v>
      </c>
      <c r="I1414" s="38" t="n">
        <v>1.41</v>
      </c>
      <c r="J1414" s="38" t="n">
        <v>16.66</v>
      </c>
      <c r="K1414" s="20" t="n">
        <v>0</v>
      </c>
      <c r="L1414" s="26">
        <f>IF(H1414&lt;=J1414,1,0)</f>
        <v>0</v>
      </c>
    </row>
    <row r="1415">
      <c r="A1415" s="24" t="inlineStr">
        <is>
          <t>QL-235-4</t>
        </is>
      </c>
      <c r="B1415" s="39" t="n">
        <v>45892</v>
      </c>
      <c r="C1415" s="40" t="inlineStr">
        <is>
          <t>进港</t>
        </is>
      </c>
      <c r="D1415" s="24" t="inlineStr">
        <is>
          <t>粮食</t>
        </is>
      </c>
      <c r="E1415" s="24" t="inlineStr">
        <is>
          <t>东亚</t>
        </is>
      </c>
      <c r="F1415" s="24" t="inlineStr">
        <is>
          <t>04号泊位</t>
        </is>
      </c>
      <c r="G1415" s="25" t="n">
        <v>5411</v>
      </c>
      <c r="H1415" s="41" t="n">
        <v>4.58</v>
      </c>
      <c r="I1415" s="41" t="n">
        <v>1.45</v>
      </c>
      <c r="J1415" s="41" t="n">
        <v>5.3</v>
      </c>
      <c r="K1415" s="25" t="n">
        <v>0</v>
      </c>
      <c r="L1415" s="26">
        <f>IF(H1415&lt;=J1415,1,0)</f>
        <v>1</v>
      </c>
    </row>
    <row r="1416">
      <c r="A1416" s="19" t="inlineStr">
        <is>
          <t>QL-235-5</t>
        </is>
      </c>
      <c r="B1416" s="36" t="n">
        <v>45892</v>
      </c>
      <c r="C1416" s="37" t="inlineStr">
        <is>
          <t>出港</t>
        </is>
      </c>
      <c r="D1416" s="19" t="inlineStr">
        <is>
          <t>液体散货</t>
        </is>
      </c>
      <c r="E1416" s="19" t="inlineStr">
        <is>
          <t>东南亚</t>
        </is>
      </c>
      <c r="F1416" s="19" t="inlineStr">
        <is>
          <t>05号泊位</t>
        </is>
      </c>
      <c r="G1416" s="20" t="n">
        <v>16297</v>
      </c>
      <c r="H1416" s="38" t="n">
        <v>10.84</v>
      </c>
      <c r="I1416" s="38" t="n">
        <v>3.08</v>
      </c>
      <c r="J1416" s="38" t="n">
        <v>11.32</v>
      </c>
      <c r="K1416" s="20" t="n">
        <v>0</v>
      </c>
      <c r="L1416" s="26">
        <f>IF(H1416&lt;=J1416,1,0)</f>
        <v>1</v>
      </c>
    </row>
    <row r="1417">
      <c r="A1417" s="24" t="inlineStr">
        <is>
          <t>QL-235-6</t>
        </is>
      </c>
      <c r="B1417" s="39" t="n">
        <v>45892</v>
      </c>
      <c r="C1417" s="40" t="inlineStr">
        <is>
          <t>出港</t>
        </is>
      </c>
      <c r="D1417" s="24" t="inlineStr">
        <is>
          <t>件杂货</t>
        </is>
      </c>
      <c r="E1417" s="24" t="inlineStr">
        <is>
          <t>东亚</t>
        </is>
      </c>
      <c r="F1417" s="24" t="inlineStr">
        <is>
          <t>06号泊位</t>
        </is>
      </c>
      <c r="G1417" s="25" t="n">
        <v>4664</v>
      </c>
      <c r="H1417" s="41" t="n">
        <v>6.79</v>
      </c>
      <c r="I1417" s="41" t="n">
        <v>0.82</v>
      </c>
      <c r="J1417" s="41" t="n">
        <v>7.65</v>
      </c>
      <c r="K1417" s="25" t="n">
        <v>0</v>
      </c>
      <c r="L1417" s="26">
        <f>IF(H1417&lt;=J1417,1,0)</f>
        <v>1</v>
      </c>
    </row>
    <row r="1418">
      <c r="A1418" s="19" t="inlineStr">
        <is>
          <t>QL-236-1</t>
        </is>
      </c>
      <c r="B1418" s="36" t="n">
        <v>45893</v>
      </c>
      <c r="C1418" s="37" t="inlineStr">
        <is>
          <t>出港</t>
        </is>
      </c>
      <c r="D1418" s="19" t="inlineStr">
        <is>
          <t>集装箱货物</t>
        </is>
      </c>
      <c r="E1418" s="19" t="inlineStr">
        <is>
          <t>国内沿海</t>
        </is>
      </c>
      <c r="F1418" s="19" t="inlineStr">
        <is>
          <t>01号泊位</t>
        </is>
      </c>
      <c r="G1418" s="20" t="n">
        <v>13494</v>
      </c>
      <c r="H1418" s="38" t="n">
        <v>16.06</v>
      </c>
      <c r="I1418" s="38" t="n">
        <v>4.56</v>
      </c>
      <c r="J1418" s="38" t="n">
        <v>14.99</v>
      </c>
      <c r="K1418" s="20" t="n">
        <v>885</v>
      </c>
      <c r="L1418" s="26">
        <f>IF(H1418&lt;=J1418,1,0)</f>
        <v>0</v>
      </c>
    </row>
    <row r="1419">
      <c r="A1419" s="24" t="inlineStr">
        <is>
          <t>QL-236-2</t>
        </is>
      </c>
      <c r="B1419" s="39" t="n">
        <v>45893</v>
      </c>
      <c r="C1419" s="40" t="inlineStr">
        <is>
          <t>出港</t>
        </is>
      </c>
      <c r="D1419" s="24" t="inlineStr">
        <is>
          <t>金属矿石</t>
        </is>
      </c>
      <c r="E1419" s="24" t="inlineStr">
        <is>
          <t>东南亚</t>
        </is>
      </c>
      <c r="F1419" s="24" t="inlineStr">
        <is>
          <t>02号泊位</t>
        </is>
      </c>
      <c r="G1419" s="25" t="n">
        <v>46085</v>
      </c>
      <c r="H1419" s="41" t="n">
        <v>27.28</v>
      </c>
      <c r="I1419" s="41" t="n">
        <v>0.76</v>
      </c>
      <c r="J1419" s="41" t="n">
        <v>29.73</v>
      </c>
      <c r="K1419" s="25" t="n">
        <v>0</v>
      </c>
      <c r="L1419" s="26">
        <f>IF(H1419&lt;=J1419,1,0)</f>
        <v>1</v>
      </c>
    </row>
    <row r="1420">
      <c r="A1420" s="19" t="inlineStr">
        <is>
          <t>QL-236-3</t>
        </is>
      </c>
      <c r="B1420" s="36" t="n">
        <v>45893</v>
      </c>
      <c r="C1420" s="37" t="inlineStr">
        <is>
          <t>进港</t>
        </is>
      </c>
      <c r="D1420" s="19" t="inlineStr">
        <is>
          <t>煤炭</t>
        </is>
      </c>
      <c r="E1420" s="19" t="inlineStr">
        <is>
          <t>国内沿海</t>
        </is>
      </c>
      <c r="F1420" s="19" t="inlineStr">
        <is>
          <t>03号泊位</t>
        </is>
      </c>
      <c r="G1420" s="20" t="n">
        <v>11121</v>
      </c>
      <c r="H1420" s="38" t="n">
        <v>7.92</v>
      </c>
      <c r="I1420" s="38" t="n">
        <v>2.28</v>
      </c>
      <c r="J1420" s="38" t="n">
        <v>8.43</v>
      </c>
      <c r="K1420" s="20" t="n">
        <v>0</v>
      </c>
      <c r="L1420" s="26">
        <f>IF(H1420&lt;=J1420,1,0)</f>
        <v>1</v>
      </c>
    </row>
    <row r="1421">
      <c r="A1421" s="24" t="inlineStr">
        <is>
          <t>QL-236-4</t>
        </is>
      </c>
      <c r="B1421" s="39" t="n">
        <v>45893</v>
      </c>
      <c r="C1421" s="40" t="inlineStr">
        <is>
          <t>进港</t>
        </is>
      </c>
      <c r="D1421" s="24" t="inlineStr">
        <is>
          <t>粮食</t>
        </is>
      </c>
      <c r="E1421" s="24" t="inlineStr">
        <is>
          <t>东亚</t>
        </is>
      </c>
      <c r="F1421" s="24" t="inlineStr">
        <is>
          <t>04号泊位</t>
        </is>
      </c>
      <c r="G1421" s="25" t="n">
        <v>10362</v>
      </c>
      <c r="H1421" s="41" t="n">
        <v>9.6</v>
      </c>
      <c r="I1421" s="41" t="n">
        <v>1.91</v>
      </c>
      <c r="J1421" s="41" t="n">
        <v>10.16</v>
      </c>
      <c r="K1421" s="25" t="n">
        <v>0</v>
      </c>
      <c r="L1421" s="26">
        <f>IF(H1421&lt;=J1421,1,0)</f>
        <v>1</v>
      </c>
    </row>
    <row r="1422">
      <c r="A1422" s="19" t="inlineStr">
        <is>
          <t>QL-236-5</t>
        </is>
      </c>
      <c r="B1422" s="36" t="n">
        <v>45893</v>
      </c>
      <c r="C1422" s="37" t="inlineStr">
        <is>
          <t>进港</t>
        </is>
      </c>
      <c r="D1422" s="19" t="inlineStr">
        <is>
          <t>液体散货</t>
        </is>
      </c>
      <c r="E1422" s="19" t="inlineStr">
        <is>
          <t>东南亚</t>
        </is>
      </c>
      <c r="F1422" s="19" t="inlineStr">
        <is>
          <t>05号泊位</t>
        </is>
      </c>
      <c r="G1422" s="20" t="n">
        <v>18485</v>
      </c>
      <c r="H1422" s="38" t="n">
        <v>12.22</v>
      </c>
      <c r="I1422" s="38" t="n">
        <v>2.48</v>
      </c>
      <c r="J1422" s="38" t="n">
        <v>12.84</v>
      </c>
      <c r="K1422" s="20" t="n">
        <v>0</v>
      </c>
      <c r="L1422" s="26">
        <f>IF(H1422&lt;=J1422,1,0)</f>
        <v>1</v>
      </c>
    </row>
    <row r="1423">
      <c r="A1423" s="24" t="inlineStr">
        <is>
          <t>QL-236-6</t>
        </is>
      </c>
      <c r="B1423" s="39" t="n">
        <v>45893</v>
      </c>
      <c r="C1423" s="40" t="inlineStr">
        <is>
          <t>出港</t>
        </is>
      </c>
      <c r="D1423" s="24" t="inlineStr">
        <is>
          <t>件杂货</t>
        </is>
      </c>
      <c r="E1423" s="24" t="inlineStr">
        <is>
          <t>国内沿海</t>
        </is>
      </c>
      <c r="F1423" s="24" t="inlineStr">
        <is>
          <t>06号泊位</t>
        </is>
      </c>
      <c r="G1423" s="25" t="n">
        <v>7211</v>
      </c>
      <c r="H1423" s="41" t="n">
        <v>10.27</v>
      </c>
      <c r="I1423" s="41" t="n">
        <v>2.54</v>
      </c>
      <c r="J1423" s="41" t="n">
        <v>11.82</v>
      </c>
      <c r="K1423" s="25" t="n">
        <v>0</v>
      </c>
      <c r="L1423" s="26">
        <f>IF(H1423&lt;=J1423,1,0)</f>
        <v>1</v>
      </c>
    </row>
    <row r="1424">
      <c r="A1424" s="19" t="inlineStr">
        <is>
          <t>QL-237-1</t>
        </is>
      </c>
      <c r="B1424" s="36" t="n">
        <v>45894</v>
      </c>
      <c r="C1424" s="37" t="inlineStr">
        <is>
          <t>出港</t>
        </is>
      </c>
      <c r="D1424" s="19" t="inlineStr">
        <is>
          <t>集装箱货物</t>
        </is>
      </c>
      <c r="E1424" s="19" t="inlineStr">
        <is>
          <t>东南亚</t>
        </is>
      </c>
      <c r="F1424" s="19" t="inlineStr">
        <is>
          <t>01号泊位</t>
        </is>
      </c>
      <c r="G1424" s="20" t="n">
        <v>11632</v>
      </c>
      <c r="H1424" s="38" t="n">
        <v>13.88</v>
      </c>
      <c r="I1424" s="38" t="n">
        <v>2.05</v>
      </c>
      <c r="J1424" s="38" t="n">
        <v>12.92</v>
      </c>
      <c r="K1424" s="20" t="n">
        <v>725</v>
      </c>
      <c r="L1424" s="26">
        <f>IF(H1424&lt;=J1424,1,0)</f>
        <v>0</v>
      </c>
    </row>
    <row r="1425">
      <c r="A1425" s="24" t="inlineStr">
        <is>
          <t>QL-237-2</t>
        </is>
      </c>
      <c r="B1425" s="39" t="n">
        <v>45894</v>
      </c>
      <c r="C1425" s="40" t="inlineStr">
        <is>
          <t>进港</t>
        </is>
      </c>
      <c r="D1425" s="24" t="inlineStr">
        <is>
          <t>金属矿石</t>
        </is>
      </c>
      <c r="E1425" s="24" t="inlineStr">
        <is>
          <t>东南亚</t>
        </is>
      </c>
      <c r="F1425" s="24" t="inlineStr">
        <is>
          <t>02号泊位</t>
        </is>
      </c>
      <c r="G1425" s="25" t="n">
        <v>24721</v>
      </c>
      <c r="H1425" s="41" t="n">
        <v>16.39</v>
      </c>
      <c r="I1425" s="41" t="n">
        <v>1.07</v>
      </c>
      <c r="J1425" s="41" t="n">
        <v>15.95</v>
      </c>
      <c r="K1425" s="25" t="n">
        <v>0</v>
      </c>
      <c r="L1425" s="26">
        <f>IF(H1425&lt;=J1425,1,0)</f>
        <v>0</v>
      </c>
    </row>
    <row r="1426">
      <c r="A1426" s="19" t="inlineStr">
        <is>
          <t>QL-237-3</t>
        </is>
      </c>
      <c r="B1426" s="36" t="n">
        <v>45894</v>
      </c>
      <c r="C1426" s="37" t="inlineStr">
        <is>
          <t>出港</t>
        </is>
      </c>
      <c r="D1426" s="19" t="inlineStr">
        <is>
          <t>煤炭</t>
        </is>
      </c>
      <c r="E1426" s="19" t="inlineStr">
        <is>
          <t>东南亚</t>
        </is>
      </c>
      <c r="F1426" s="19" t="inlineStr">
        <is>
          <t>03号泊位</t>
        </is>
      </c>
      <c r="G1426" s="20" t="n">
        <v>17778</v>
      </c>
      <c r="H1426" s="38" t="n">
        <v>15.11</v>
      </c>
      <c r="I1426" s="38" t="n">
        <v>4.85</v>
      </c>
      <c r="J1426" s="38" t="n">
        <v>13.47</v>
      </c>
      <c r="K1426" s="20" t="n">
        <v>0</v>
      </c>
      <c r="L1426" s="26">
        <f>IF(H1426&lt;=J1426,1,0)</f>
        <v>0</v>
      </c>
    </row>
    <row r="1427">
      <c r="A1427" s="24" t="inlineStr">
        <is>
          <t>QL-237-4</t>
        </is>
      </c>
      <c r="B1427" s="39" t="n">
        <v>45894</v>
      </c>
      <c r="C1427" s="40" t="inlineStr">
        <is>
          <t>进港</t>
        </is>
      </c>
      <c r="D1427" s="24" t="inlineStr">
        <is>
          <t>粮食</t>
        </is>
      </c>
      <c r="E1427" s="24" t="inlineStr">
        <is>
          <t>东亚</t>
        </is>
      </c>
      <c r="F1427" s="24" t="inlineStr">
        <is>
          <t>04号泊位</t>
        </is>
      </c>
      <c r="G1427" s="25" t="n">
        <v>14010</v>
      </c>
      <c r="H1427" s="41" t="n">
        <v>12.24</v>
      </c>
      <c r="I1427" s="41" t="n">
        <v>1.97</v>
      </c>
      <c r="J1427" s="41" t="n">
        <v>13.74</v>
      </c>
      <c r="K1427" s="25" t="n">
        <v>0</v>
      </c>
      <c r="L1427" s="26">
        <f>IF(H1427&lt;=J1427,1,0)</f>
        <v>1</v>
      </c>
    </row>
    <row r="1428">
      <c r="A1428" s="19" t="inlineStr">
        <is>
          <t>QL-237-5</t>
        </is>
      </c>
      <c r="B1428" s="36" t="n">
        <v>45894</v>
      </c>
      <c r="C1428" s="37" t="inlineStr">
        <is>
          <t>出港</t>
        </is>
      </c>
      <c r="D1428" s="19" t="inlineStr">
        <is>
          <t>液体散货</t>
        </is>
      </c>
      <c r="E1428" s="19" t="inlineStr">
        <is>
          <t>北美</t>
        </is>
      </c>
      <c r="F1428" s="19" t="inlineStr">
        <is>
          <t>05号泊位</t>
        </is>
      </c>
      <c r="G1428" s="20" t="n">
        <v>22060</v>
      </c>
      <c r="H1428" s="38" t="n">
        <v>13.87</v>
      </c>
      <c r="I1428" s="38" t="n">
        <v>3.68</v>
      </c>
      <c r="J1428" s="38" t="n">
        <v>15.32</v>
      </c>
      <c r="K1428" s="20" t="n">
        <v>0</v>
      </c>
      <c r="L1428" s="26">
        <f>IF(H1428&lt;=J1428,1,0)</f>
        <v>1</v>
      </c>
    </row>
    <row r="1429">
      <c r="A1429" s="24" t="inlineStr">
        <is>
          <t>QL-237-6</t>
        </is>
      </c>
      <c r="B1429" s="39" t="n">
        <v>45894</v>
      </c>
      <c r="C1429" s="40" t="inlineStr">
        <is>
          <t>进港</t>
        </is>
      </c>
      <c r="D1429" s="24" t="inlineStr">
        <is>
          <t>件杂货</t>
        </is>
      </c>
      <c r="E1429" s="24" t="inlineStr">
        <is>
          <t>东亚</t>
        </is>
      </c>
      <c r="F1429" s="24" t="inlineStr">
        <is>
          <t>06号泊位</t>
        </is>
      </c>
      <c r="G1429" s="25" t="n">
        <v>5240</v>
      </c>
      <c r="H1429" s="41" t="n">
        <v>8.48</v>
      </c>
      <c r="I1429" s="41" t="n">
        <v>2.45</v>
      </c>
      <c r="J1429" s="41" t="n">
        <v>8.59</v>
      </c>
      <c r="K1429" s="25" t="n">
        <v>0</v>
      </c>
      <c r="L1429" s="26">
        <f>IF(H1429&lt;=J1429,1,0)</f>
        <v>1</v>
      </c>
    </row>
    <row r="1430">
      <c r="A1430" s="19" t="inlineStr">
        <is>
          <t>QL-238-1</t>
        </is>
      </c>
      <c r="B1430" s="36" t="n">
        <v>45895</v>
      </c>
      <c r="C1430" s="37" t="inlineStr">
        <is>
          <t>出港</t>
        </is>
      </c>
      <c r="D1430" s="19" t="inlineStr">
        <is>
          <t>集装箱货物</t>
        </is>
      </c>
      <c r="E1430" s="19" t="inlineStr">
        <is>
          <t>东亚</t>
        </is>
      </c>
      <c r="F1430" s="19" t="inlineStr">
        <is>
          <t>01号泊位</t>
        </is>
      </c>
      <c r="G1430" s="20" t="n">
        <v>6976</v>
      </c>
      <c r="H1430" s="38" t="n">
        <v>7.97</v>
      </c>
      <c r="I1430" s="38" t="n">
        <v>2.75</v>
      </c>
      <c r="J1430" s="38" t="n">
        <v>7.75</v>
      </c>
      <c r="K1430" s="20" t="n">
        <v>543</v>
      </c>
      <c r="L1430" s="26">
        <f>IF(H1430&lt;=J1430,1,0)</f>
        <v>0</v>
      </c>
    </row>
    <row r="1431">
      <c r="A1431" s="24" t="inlineStr">
        <is>
          <t>QL-238-2</t>
        </is>
      </c>
      <c r="B1431" s="39" t="n">
        <v>45895</v>
      </c>
      <c r="C1431" s="40" t="inlineStr">
        <is>
          <t>出港</t>
        </is>
      </c>
      <c r="D1431" s="24" t="inlineStr">
        <is>
          <t>金属矿石</t>
        </is>
      </c>
      <c r="E1431" s="24" t="inlineStr">
        <is>
          <t>国内沿海</t>
        </is>
      </c>
      <c r="F1431" s="24" t="inlineStr">
        <is>
          <t>02号泊位</t>
        </is>
      </c>
      <c r="G1431" s="25" t="n">
        <v>26060</v>
      </c>
      <c r="H1431" s="41" t="n">
        <v>15.38</v>
      </c>
      <c r="I1431" s="41" t="n">
        <v>0.55</v>
      </c>
      <c r="J1431" s="41" t="n">
        <v>16.81</v>
      </c>
      <c r="K1431" s="25" t="n">
        <v>0</v>
      </c>
      <c r="L1431" s="26">
        <f>IF(H1431&lt;=J1431,1,0)</f>
        <v>1</v>
      </c>
    </row>
    <row r="1432">
      <c r="A1432" s="19" t="inlineStr">
        <is>
          <t>QL-238-3</t>
        </is>
      </c>
      <c r="B1432" s="36" t="n">
        <v>45895</v>
      </c>
      <c r="C1432" s="37" t="inlineStr">
        <is>
          <t>进港</t>
        </is>
      </c>
      <c r="D1432" s="19" t="inlineStr">
        <is>
          <t>煤炭</t>
        </is>
      </c>
      <c r="E1432" s="19" t="inlineStr">
        <is>
          <t>欧洲</t>
        </is>
      </c>
      <c r="F1432" s="19" t="inlineStr">
        <is>
          <t>03号泊位</t>
        </is>
      </c>
      <c r="G1432" s="20" t="n">
        <v>23015</v>
      </c>
      <c r="H1432" s="38" t="n">
        <v>18.16</v>
      </c>
      <c r="I1432" s="38" t="n">
        <v>2.41</v>
      </c>
      <c r="J1432" s="38" t="n">
        <v>17.44</v>
      </c>
      <c r="K1432" s="20" t="n">
        <v>0</v>
      </c>
      <c r="L1432" s="26">
        <f>IF(H1432&lt;=J1432,1,0)</f>
        <v>0</v>
      </c>
    </row>
    <row r="1433">
      <c r="A1433" s="24" t="inlineStr">
        <is>
          <t>QL-238-4</t>
        </is>
      </c>
      <c r="B1433" s="39" t="n">
        <v>45895</v>
      </c>
      <c r="C1433" s="40" t="inlineStr">
        <is>
          <t>出港</t>
        </is>
      </c>
      <c r="D1433" s="24" t="inlineStr">
        <is>
          <t>粮食</t>
        </is>
      </c>
      <c r="E1433" s="24" t="inlineStr">
        <is>
          <t>欧洲</t>
        </is>
      </c>
      <c r="F1433" s="24" t="inlineStr">
        <is>
          <t>04号泊位</t>
        </is>
      </c>
      <c r="G1433" s="25" t="n">
        <v>14273</v>
      </c>
      <c r="H1433" s="41" t="n">
        <v>13.52</v>
      </c>
      <c r="I1433" s="41" t="n">
        <v>1.15</v>
      </c>
      <c r="J1433" s="41" t="n">
        <v>13.99</v>
      </c>
      <c r="K1433" s="25" t="n">
        <v>0</v>
      </c>
      <c r="L1433" s="26">
        <f>IF(H1433&lt;=J1433,1,0)</f>
        <v>1</v>
      </c>
    </row>
    <row r="1434">
      <c r="A1434" s="19" t="inlineStr">
        <is>
          <t>QL-238-5</t>
        </is>
      </c>
      <c r="B1434" s="36" t="n">
        <v>45895</v>
      </c>
      <c r="C1434" s="37" t="inlineStr">
        <is>
          <t>进港</t>
        </is>
      </c>
      <c r="D1434" s="19" t="inlineStr">
        <is>
          <t>液体散货</t>
        </is>
      </c>
      <c r="E1434" s="19" t="inlineStr">
        <is>
          <t>欧洲</t>
        </is>
      </c>
      <c r="F1434" s="19" t="inlineStr">
        <is>
          <t>05号泊位</t>
        </is>
      </c>
      <c r="G1434" s="20" t="n">
        <v>12493</v>
      </c>
      <c r="H1434" s="38" t="n">
        <v>7.39</v>
      </c>
      <c r="I1434" s="38" t="n">
        <v>2.11</v>
      </c>
      <c r="J1434" s="38" t="n">
        <v>8.68</v>
      </c>
      <c r="K1434" s="20" t="n">
        <v>0</v>
      </c>
      <c r="L1434" s="26">
        <f>IF(H1434&lt;=J1434,1,0)</f>
        <v>1</v>
      </c>
    </row>
    <row r="1435">
      <c r="A1435" s="24" t="inlineStr">
        <is>
          <t>QL-238-6</t>
        </is>
      </c>
      <c r="B1435" s="39" t="n">
        <v>45895</v>
      </c>
      <c r="C1435" s="40" t="inlineStr">
        <is>
          <t>出港</t>
        </is>
      </c>
      <c r="D1435" s="24" t="inlineStr">
        <is>
          <t>件杂货</t>
        </is>
      </c>
      <c r="E1435" s="24" t="inlineStr">
        <is>
          <t>国内沿海</t>
        </is>
      </c>
      <c r="F1435" s="24" t="inlineStr">
        <is>
          <t>06号泊位</t>
        </is>
      </c>
      <c r="G1435" s="25" t="n">
        <v>6324</v>
      </c>
      <c r="H1435" s="41" t="n">
        <v>11.37</v>
      </c>
      <c r="I1435" s="41" t="n">
        <v>0.46</v>
      </c>
      <c r="J1435" s="41" t="n">
        <v>10.37</v>
      </c>
      <c r="K1435" s="25" t="n">
        <v>0</v>
      </c>
      <c r="L1435" s="26">
        <f>IF(H1435&lt;=J1435,1,0)</f>
        <v>0</v>
      </c>
    </row>
    <row r="1436">
      <c r="A1436" s="19" t="inlineStr">
        <is>
          <t>QL-239-1</t>
        </is>
      </c>
      <c r="B1436" s="36" t="n">
        <v>45896</v>
      </c>
      <c r="C1436" s="37" t="inlineStr">
        <is>
          <t>出港</t>
        </is>
      </c>
      <c r="D1436" s="19" t="inlineStr">
        <is>
          <t>集装箱货物</t>
        </is>
      </c>
      <c r="E1436" s="19" t="inlineStr">
        <is>
          <t>国内沿海</t>
        </is>
      </c>
      <c r="F1436" s="19" t="inlineStr">
        <is>
          <t>01号泊位</t>
        </is>
      </c>
      <c r="G1436" s="20" t="n">
        <v>11685</v>
      </c>
      <c r="H1436" s="38" t="n">
        <v>13.66</v>
      </c>
      <c r="I1436" s="38" t="n">
        <v>2.52</v>
      </c>
      <c r="J1436" s="38" t="n">
        <v>12.98</v>
      </c>
      <c r="K1436" s="20" t="n">
        <v>794</v>
      </c>
      <c r="L1436" s="26">
        <f>IF(H1436&lt;=J1436,1,0)</f>
        <v>0</v>
      </c>
    </row>
    <row r="1437">
      <c r="A1437" s="24" t="inlineStr">
        <is>
          <t>QL-239-2</t>
        </is>
      </c>
      <c r="B1437" s="39" t="n">
        <v>45896</v>
      </c>
      <c r="C1437" s="40" t="inlineStr">
        <is>
          <t>进港</t>
        </is>
      </c>
      <c r="D1437" s="24" t="inlineStr">
        <is>
          <t>金属矿石</t>
        </is>
      </c>
      <c r="E1437" s="24" t="inlineStr">
        <is>
          <t>国内沿海</t>
        </is>
      </c>
      <c r="F1437" s="24" t="inlineStr">
        <is>
          <t>02号泊位</t>
        </is>
      </c>
      <c r="G1437" s="25" t="n">
        <v>19578</v>
      </c>
      <c r="H1437" s="41" t="n">
        <v>11.86</v>
      </c>
      <c r="I1437" s="41" t="n">
        <v>2.81</v>
      </c>
      <c r="J1437" s="41" t="n">
        <v>12.63</v>
      </c>
      <c r="K1437" s="25" t="n">
        <v>0</v>
      </c>
      <c r="L1437" s="26">
        <f>IF(H1437&lt;=J1437,1,0)</f>
        <v>1</v>
      </c>
    </row>
    <row r="1438">
      <c r="A1438" s="19" t="inlineStr">
        <is>
          <t>QL-239-3</t>
        </is>
      </c>
      <c r="B1438" s="36" t="n">
        <v>45896</v>
      </c>
      <c r="C1438" s="37" t="inlineStr">
        <is>
          <t>进港</t>
        </is>
      </c>
      <c r="D1438" s="19" t="inlineStr">
        <is>
          <t>煤炭</t>
        </is>
      </c>
      <c r="E1438" s="19" t="inlineStr">
        <is>
          <t>国内沿海</t>
        </is>
      </c>
      <c r="F1438" s="19" t="inlineStr">
        <is>
          <t>03号泊位</t>
        </is>
      </c>
      <c r="G1438" s="20" t="n">
        <v>19807</v>
      </c>
      <c r="H1438" s="38" t="n">
        <v>15.04</v>
      </c>
      <c r="I1438" s="38" t="n">
        <v>1.89</v>
      </c>
      <c r="J1438" s="38" t="n">
        <v>15.01</v>
      </c>
      <c r="K1438" s="20" t="n">
        <v>0</v>
      </c>
      <c r="L1438" s="26">
        <f>IF(H1438&lt;=J1438,1,0)</f>
        <v>0</v>
      </c>
    </row>
    <row r="1439">
      <c r="A1439" s="24" t="inlineStr">
        <is>
          <t>QL-239-4</t>
        </is>
      </c>
      <c r="B1439" s="39" t="n">
        <v>45896</v>
      </c>
      <c r="C1439" s="40" t="inlineStr">
        <is>
          <t>进港</t>
        </is>
      </c>
      <c r="D1439" s="24" t="inlineStr">
        <is>
          <t>粮食</t>
        </is>
      </c>
      <c r="E1439" s="24" t="inlineStr">
        <is>
          <t>东亚</t>
        </is>
      </c>
      <c r="F1439" s="24" t="inlineStr">
        <is>
          <t>04号泊位</t>
        </is>
      </c>
      <c r="G1439" s="25" t="n">
        <v>12341</v>
      </c>
      <c r="H1439" s="41" t="n">
        <v>13.48</v>
      </c>
      <c r="I1439" s="41" t="n">
        <v>3.71</v>
      </c>
      <c r="J1439" s="41" t="n">
        <v>12.1</v>
      </c>
      <c r="K1439" s="25" t="n">
        <v>0</v>
      </c>
      <c r="L1439" s="26">
        <f>IF(H1439&lt;=J1439,1,0)</f>
        <v>0</v>
      </c>
    </row>
    <row r="1440">
      <c r="A1440" s="19" t="inlineStr">
        <is>
          <t>QL-239-5</t>
        </is>
      </c>
      <c r="B1440" s="36" t="n">
        <v>45896</v>
      </c>
      <c r="C1440" s="37" t="inlineStr">
        <is>
          <t>出港</t>
        </is>
      </c>
      <c r="D1440" s="19" t="inlineStr">
        <is>
          <t>液体散货</t>
        </is>
      </c>
      <c r="E1440" s="19" t="inlineStr">
        <is>
          <t>东亚</t>
        </is>
      </c>
      <c r="F1440" s="19" t="inlineStr">
        <is>
          <t>05号泊位</t>
        </is>
      </c>
      <c r="G1440" s="20" t="n">
        <v>17415</v>
      </c>
      <c r="H1440" s="38" t="n">
        <v>11.64</v>
      </c>
      <c r="I1440" s="38" t="n">
        <v>1.3</v>
      </c>
      <c r="J1440" s="38" t="n">
        <v>12.09</v>
      </c>
      <c r="K1440" s="20" t="n">
        <v>0</v>
      </c>
      <c r="L1440" s="26">
        <f>IF(H1440&lt;=J1440,1,0)</f>
        <v>1</v>
      </c>
    </row>
    <row r="1441">
      <c r="A1441" s="24" t="inlineStr">
        <is>
          <t>QL-239-6</t>
        </is>
      </c>
      <c r="B1441" s="39" t="n">
        <v>45896</v>
      </c>
      <c r="C1441" s="40" t="inlineStr">
        <is>
          <t>出港</t>
        </is>
      </c>
      <c r="D1441" s="24" t="inlineStr">
        <is>
          <t>件杂货</t>
        </is>
      </c>
      <c r="E1441" s="24" t="inlineStr">
        <is>
          <t>东南亚</t>
        </is>
      </c>
      <c r="F1441" s="24" t="inlineStr">
        <is>
          <t>06号泊位</t>
        </is>
      </c>
      <c r="G1441" s="25" t="n">
        <v>4629</v>
      </c>
      <c r="H1441" s="41" t="n">
        <v>8.279999999999999</v>
      </c>
      <c r="I1441" s="41" t="n">
        <v>1.98</v>
      </c>
      <c r="J1441" s="41" t="n">
        <v>7.59</v>
      </c>
      <c r="K1441" s="25" t="n">
        <v>0</v>
      </c>
      <c r="L1441" s="26">
        <f>IF(H1441&lt;=J1441,1,0)</f>
        <v>0</v>
      </c>
    </row>
    <row r="1442">
      <c r="A1442" s="19" t="inlineStr">
        <is>
          <t>QL-240-1</t>
        </is>
      </c>
      <c r="B1442" s="36" t="n">
        <v>45897</v>
      </c>
      <c r="C1442" s="37" t="inlineStr">
        <is>
          <t>进港</t>
        </is>
      </c>
      <c r="D1442" s="19" t="inlineStr">
        <is>
          <t>集装箱货物</t>
        </is>
      </c>
      <c r="E1442" s="19" t="inlineStr">
        <is>
          <t>国内沿海</t>
        </is>
      </c>
      <c r="F1442" s="19" t="inlineStr">
        <is>
          <t>01号泊位</t>
        </is>
      </c>
      <c r="G1442" s="20" t="n">
        <v>10286</v>
      </c>
      <c r="H1442" s="38" t="n">
        <v>11.32</v>
      </c>
      <c r="I1442" s="38" t="n">
        <v>3.39</v>
      </c>
      <c r="J1442" s="38" t="n">
        <v>11.43</v>
      </c>
      <c r="K1442" s="20" t="n">
        <v>692</v>
      </c>
      <c r="L1442" s="26">
        <f>IF(H1442&lt;=J1442,1,0)</f>
        <v>1</v>
      </c>
    </row>
    <row r="1443">
      <c r="A1443" s="24" t="inlineStr">
        <is>
          <t>QL-240-2</t>
        </is>
      </c>
      <c r="B1443" s="39" t="n">
        <v>45897</v>
      </c>
      <c r="C1443" s="40" t="inlineStr">
        <is>
          <t>进港</t>
        </is>
      </c>
      <c r="D1443" s="24" t="inlineStr">
        <is>
          <t>金属矿石</t>
        </is>
      </c>
      <c r="E1443" s="24" t="inlineStr">
        <is>
          <t>国内沿海</t>
        </is>
      </c>
      <c r="F1443" s="24" t="inlineStr">
        <is>
          <t>02号泊位</t>
        </is>
      </c>
      <c r="G1443" s="25" t="n">
        <v>31474</v>
      </c>
      <c r="H1443" s="41" t="n">
        <v>21.48</v>
      </c>
      <c r="I1443" s="41" t="n">
        <v>2.61</v>
      </c>
      <c r="J1443" s="41" t="n">
        <v>20.31</v>
      </c>
      <c r="K1443" s="25" t="n">
        <v>0</v>
      </c>
      <c r="L1443" s="26">
        <f>IF(H1443&lt;=J1443,1,0)</f>
        <v>0</v>
      </c>
    </row>
    <row r="1444">
      <c r="A1444" s="19" t="inlineStr">
        <is>
          <t>QL-240-3</t>
        </is>
      </c>
      <c r="B1444" s="36" t="n">
        <v>45897</v>
      </c>
      <c r="C1444" s="37" t="inlineStr">
        <is>
          <t>出港</t>
        </is>
      </c>
      <c r="D1444" s="19" t="inlineStr">
        <is>
          <t>煤炭</t>
        </is>
      </c>
      <c r="E1444" s="19" t="inlineStr">
        <is>
          <t>欧洲</t>
        </is>
      </c>
      <c r="F1444" s="19" t="inlineStr">
        <is>
          <t>03号泊位</t>
        </is>
      </c>
      <c r="G1444" s="20" t="n">
        <v>15881</v>
      </c>
      <c r="H1444" s="38" t="n">
        <v>12.98</v>
      </c>
      <c r="I1444" s="38" t="n">
        <v>1.97</v>
      </c>
      <c r="J1444" s="38" t="n">
        <v>12.03</v>
      </c>
      <c r="K1444" s="20" t="n">
        <v>0</v>
      </c>
      <c r="L1444" s="26">
        <f>IF(H1444&lt;=J1444,1,0)</f>
        <v>0</v>
      </c>
    </row>
    <row r="1445">
      <c r="A1445" s="24" t="inlineStr">
        <is>
          <t>QL-240-4</t>
        </is>
      </c>
      <c r="B1445" s="39" t="n">
        <v>45897</v>
      </c>
      <c r="C1445" s="40" t="inlineStr">
        <is>
          <t>出港</t>
        </is>
      </c>
      <c r="D1445" s="24" t="inlineStr">
        <is>
          <t>粮食</t>
        </is>
      </c>
      <c r="E1445" s="24" t="inlineStr">
        <is>
          <t>东亚</t>
        </is>
      </c>
      <c r="F1445" s="24" t="inlineStr">
        <is>
          <t>04号泊位</t>
        </is>
      </c>
      <c r="G1445" s="25" t="n">
        <v>11284</v>
      </c>
      <c r="H1445" s="41" t="n">
        <v>11.53</v>
      </c>
      <c r="I1445" s="41" t="n">
        <v>0.3</v>
      </c>
      <c r="J1445" s="41" t="n">
        <v>11.06</v>
      </c>
      <c r="K1445" s="25" t="n">
        <v>0</v>
      </c>
      <c r="L1445" s="26">
        <f>IF(H1445&lt;=J1445,1,0)</f>
        <v>0</v>
      </c>
    </row>
    <row r="1446">
      <c r="A1446" s="19" t="inlineStr">
        <is>
          <t>QL-240-5</t>
        </is>
      </c>
      <c r="B1446" s="36" t="n">
        <v>45897</v>
      </c>
      <c r="C1446" s="37" t="inlineStr">
        <is>
          <t>出港</t>
        </is>
      </c>
      <c r="D1446" s="19" t="inlineStr">
        <is>
          <t>液体散货</t>
        </is>
      </c>
      <c r="E1446" s="19" t="inlineStr">
        <is>
          <t>东南亚</t>
        </is>
      </c>
      <c r="F1446" s="19" t="inlineStr">
        <is>
          <t>05号泊位</t>
        </is>
      </c>
      <c r="G1446" s="20" t="n">
        <v>14068</v>
      </c>
      <c r="H1446" s="38" t="n">
        <v>11.06</v>
      </c>
      <c r="I1446" s="38" t="n">
        <v>10.59</v>
      </c>
      <c r="J1446" s="38" t="n">
        <v>9.77</v>
      </c>
      <c r="K1446" s="20" t="n">
        <v>0</v>
      </c>
      <c r="L1446" s="26">
        <f>IF(H1446&lt;=J1446,1,0)</f>
        <v>0</v>
      </c>
    </row>
    <row r="1447">
      <c r="A1447" s="24" t="inlineStr">
        <is>
          <t>QL-240-6</t>
        </is>
      </c>
      <c r="B1447" s="39" t="n">
        <v>45897</v>
      </c>
      <c r="C1447" s="40" t="inlineStr">
        <is>
          <t>出港</t>
        </is>
      </c>
      <c r="D1447" s="24" t="inlineStr">
        <is>
          <t>件杂货</t>
        </is>
      </c>
      <c r="E1447" s="24" t="inlineStr">
        <is>
          <t>东亚</t>
        </is>
      </c>
      <c r="F1447" s="24" t="inlineStr">
        <is>
          <t>06号泊位</t>
        </is>
      </c>
      <c r="G1447" s="25" t="n">
        <v>8519</v>
      </c>
      <c r="H1447" s="41" t="n">
        <v>14.88</v>
      </c>
      <c r="I1447" s="41" t="n">
        <v>0.87</v>
      </c>
      <c r="J1447" s="41" t="n">
        <v>13.97</v>
      </c>
      <c r="K1447" s="25" t="n">
        <v>0</v>
      </c>
      <c r="L1447" s="26">
        <f>IF(H1447&lt;=J1447,1,0)</f>
        <v>0</v>
      </c>
    </row>
    <row r="1448">
      <c r="A1448" s="19" t="inlineStr">
        <is>
          <t>QL-241-1</t>
        </is>
      </c>
      <c r="B1448" s="36" t="n">
        <v>45898</v>
      </c>
      <c r="C1448" s="37" t="inlineStr">
        <is>
          <t>出港</t>
        </is>
      </c>
      <c r="D1448" s="19" t="inlineStr">
        <is>
          <t>集装箱货物</t>
        </is>
      </c>
      <c r="E1448" s="19" t="inlineStr">
        <is>
          <t>欧洲</t>
        </is>
      </c>
      <c r="F1448" s="19" t="inlineStr">
        <is>
          <t>01号泊位</t>
        </is>
      </c>
      <c r="G1448" s="20" t="n">
        <v>8700</v>
      </c>
      <c r="H1448" s="38" t="n">
        <v>11.48</v>
      </c>
      <c r="I1448" s="38" t="n">
        <v>0.31</v>
      </c>
      <c r="J1448" s="38" t="n">
        <v>9.67</v>
      </c>
      <c r="K1448" s="20" t="n">
        <v>526</v>
      </c>
      <c r="L1448" s="26">
        <f>IF(H1448&lt;=J1448,1,0)</f>
        <v>0</v>
      </c>
    </row>
    <row r="1449">
      <c r="A1449" s="24" t="inlineStr">
        <is>
          <t>QL-241-2</t>
        </is>
      </c>
      <c r="B1449" s="39" t="n">
        <v>45898</v>
      </c>
      <c r="C1449" s="40" t="inlineStr">
        <is>
          <t>进港</t>
        </is>
      </c>
      <c r="D1449" s="24" t="inlineStr">
        <is>
          <t>金属矿石</t>
        </is>
      </c>
      <c r="E1449" s="24" t="inlineStr">
        <is>
          <t>国内沿海</t>
        </is>
      </c>
      <c r="F1449" s="24" t="inlineStr">
        <is>
          <t>02号泊位</t>
        </is>
      </c>
      <c r="G1449" s="25" t="n">
        <v>22065</v>
      </c>
      <c r="H1449" s="41" t="n">
        <v>12.41</v>
      </c>
      <c r="I1449" s="41" t="n">
        <v>0.3</v>
      </c>
      <c r="J1449" s="41" t="n">
        <v>14.24</v>
      </c>
      <c r="K1449" s="25" t="n">
        <v>0</v>
      </c>
      <c r="L1449" s="26">
        <f>IF(H1449&lt;=J1449,1,0)</f>
        <v>1</v>
      </c>
    </row>
    <row r="1450">
      <c r="A1450" s="19" t="inlineStr">
        <is>
          <t>QL-241-3</t>
        </is>
      </c>
      <c r="B1450" s="36" t="n">
        <v>45898</v>
      </c>
      <c r="C1450" s="37" t="inlineStr">
        <is>
          <t>进港</t>
        </is>
      </c>
      <c r="D1450" s="19" t="inlineStr">
        <is>
          <t>煤炭</t>
        </is>
      </c>
      <c r="E1450" s="19" t="inlineStr">
        <is>
          <t>东南亚</t>
        </is>
      </c>
      <c r="F1450" s="19" t="inlineStr">
        <is>
          <t>03号泊位</t>
        </is>
      </c>
      <c r="G1450" s="20" t="n">
        <v>19948</v>
      </c>
      <c r="H1450" s="38" t="n">
        <v>15.57</v>
      </c>
      <c r="I1450" s="38" t="n">
        <v>2.54</v>
      </c>
      <c r="J1450" s="38" t="n">
        <v>15.11</v>
      </c>
      <c r="K1450" s="20" t="n">
        <v>0</v>
      </c>
      <c r="L1450" s="26">
        <f>IF(H1450&lt;=J1450,1,0)</f>
        <v>0</v>
      </c>
    </row>
    <row r="1451">
      <c r="A1451" s="24" t="inlineStr">
        <is>
          <t>QL-241-4</t>
        </is>
      </c>
      <c r="B1451" s="39" t="n">
        <v>45898</v>
      </c>
      <c r="C1451" s="40" t="inlineStr">
        <is>
          <t>进港</t>
        </is>
      </c>
      <c r="D1451" s="24" t="inlineStr">
        <is>
          <t>粮食</t>
        </is>
      </c>
      <c r="E1451" s="24" t="inlineStr">
        <is>
          <t>北美</t>
        </is>
      </c>
      <c r="F1451" s="24" t="inlineStr">
        <is>
          <t>04号泊位</t>
        </is>
      </c>
      <c r="G1451" s="25" t="n">
        <v>11579</v>
      </c>
      <c r="H1451" s="41" t="n">
        <v>10.24</v>
      </c>
      <c r="I1451" s="41" t="n">
        <v>1.76</v>
      </c>
      <c r="J1451" s="41" t="n">
        <v>11.35</v>
      </c>
      <c r="K1451" s="25" t="n">
        <v>0</v>
      </c>
      <c r="L1451" s="26">
        <f>IF(H1451&lt;=J1451,1,0)</f>
        <v>1</v>
      </c>
    </row>
    <row r="1452">
      <c r="A1452" s="19" t="inlineStr">
        <is>
          <t>QL-241-5</t>
        </is>
      </c>
      <c r="B1452" s="36" t="n">
        <v>45898</v>
      </c>
      <c r="C1452" s="37" t="inlineStr">
        <is>
          <t>出港</t>
        </is>
      </c>
      <c r="D1452" s="19" t="inlineStr">
        <is>
          <t>液体散货</t>
        </is>
      </c>
      <c r="E1452" s="19" t="inlineStr">
        <is>
          <t>国内沿海</t>
        </is>
      </c>
      <c r="F1452" s="19" t="inlineStr">
        <is>
          <t>05号泊位</t>
        </is>
      </c>
      <c r="G1452" s="20" t="n">
        <v>13069</v>
      </c>
      <c r="H1452" s="38" t="n">
        <v>9.68</v>
      </c>
      <c r="I1452" s="38" t="n">
        <v>1.5</v>
      </c>
      <c r="J1452" s="38" t="n">
        <v>9.08</v>
      </c>
      <c r="K1452" s="20" t="n">
        <v>0</v>
      </c>
      <c r="L1452" s="26">
        <f>IF(H1452&lt;=J1452,1,0)</f>
        <v>0</v>
      </c>
    </row>
    <row r="1453">
      <c r="A1453" s="24" t="inlineStr">
        <is>
          <t>QL-241-6</t>
        </is>
      </c>
      <c r="B1453" s="39" t="n">
        <v>45898</v>
      </c>
      <c r="C1453" s="40" t="inlineStr">
        <is>
          <t>出港</t>
        </is>
      </c>
      <c r="D1453" s="24" t="inlineStr">
        <is>
          <t>件杂货</t>
        </is>
      </c>
      <c r="E1453" s="24" t="inlineStr">
        <is>
          <t>欧洲</t>
        </is>
      </c>
      <c r="F1453" s="24" t="inlineStr">
        <is>
          <t>06号泊位</t>
        </is>
      </c>
      <c r="G1453" s="25" t="n">
        <v>8225</v>
      </c>
      <c r="H1453" s="41" t="n">
        <v>15.96</v>
      </c>
      <c r="I1453" s="41" t="n">
        <v>1.66</v>
      </c>
      <c r="J1453" s="41" t="n">
        <v>13.48</v>
      </c>
      <c r="K1453" s="25" t="n">
        <v>0</v>
      </c>
      <c r="L1453" s="26">
        <f>IF(H1453&lt;=J1453,1,0)</f>
        <v>0</v>
      </c>
    </row>
    <row r="1454">
      <c r="A1454" s="19" t="inlineStr">
        <is>
          <t>QL-242-1</t>
        </is>
      </c>
      <c r="B1454" s="36" t="n">
        <v>45899</v>
      </c>
      <c r="C1454" s="37" t="inlineStr">
        <is>
          <t>进港</t>
        </is>
      </c>
      <c r="D1454" s="19" t="inlineStr">
        <is>
          <t>集装箱货物</t>
        </is>
      </c>
      <c r="E1454" s="19" t="inlineStr">
        <is>
          <t>国内沿海</t>
        </is>
      </c>
      <c r="F1454" s="19" t="inlineStr">
        <is>
          <t>01号泊位</t>
        </is>
      </c>
      <c r="G1454" s="20" t="n">
        <v>8363</v>
      </c>
      <c r="H1454" s="38" t="n">
        <v>10.89</v>
      </c>
      <c r="I1454" s="38" t="n">
        <v>1.32</v>
      </c>
      <c r="J1454" s="38" t="n">
        <v>9.289999999999999</v>
      </c>
      <c r="K1454" s="20" t="n">
        <v>544</v>
      </c>
      <c r="L1454" s="26">
        <f>IF(H1454&lt;=J1454,1,0)</f>
        <v>0</v>
      </c>
    </row>
    <row r="1455">
      <c r="A1455" s="24" t="inlineStr">
        <is>
          <t>QL-242-2</t>
        </is>
      </c>
      <c r="B1455" s="39" t="n">
        <v>45899</v>
      </c>
      <c r="C1455" s="40" t="inlineStr">
        <is>
          <t>出港</t>
        </is>
      </c>
      <c r="D1455" s="24" t="inlineStr">
        <is>
          <t>金属矿石</t>
        </is>
      </c>
      <c r="E1455" s="24" t="inlineStr">
        <is>
          <t>东南亚</t>
        </is>
      </c>
      <c r="F1455" s="24" t="inlineStr">
        <is>
          <t>02号泊位</t>
        </is>
      </c>
      <c r="G1455" s="25" t="n">
        <v>21853</v>
      </c>
      <c r="H1455" s="41" t="n">
        <v>15.69</v>
      </c>
      <c r="I1455" s="41" t="n">
        <v>4.42</v>
      </c>
      <c r="J1455" s="41" t="n">
        <v>14.1</v>
      </c>
      <c r="K1455" s="25" t="n">
        <v>0</v>
      </c>
      <c r="L1455" s="26">
        <f>IF(H1455&lt;=J1455,1,0)</f>
        <v>0</v>
      </c>
    </row>
    <row r="1456">
      <c r="A1456" s="19" t="inlineStr">
        <is>
          <t>QL-242-3</t>
        </is>
      </c>
      <c r="B1456" s="36" t="n">
        <v>45899</v>
      </c>
      <c r="C1456" s="37" t="inlineStr">
        <is>
          <t>出港</t>
        </is>
      </c>
      <c r="D1456" s="19" t="inlineStr">
        <is>
          <t>煤炭</t>
        </is>
      </c>
      <c r="E1456" s="19" t="inlineStr">
        <is>
          <t>国内沿海</t>
        </is>
      </c>
      <c r="F1456" s="19" t="inlineStr">
        <is>
          <t>03号泊位</t>
        </is>
      </c>
      <c r="G1456" s="20" t="n">
        <v>15006</v>
      </c>
      <c r="H1456" s="38" t="n">
        <v>10.3</v>
      </c>
      <c r="I1456" s="38" t="n">
        <v>4.72</v>
      </c>
      <c r="J1456" s="38" t="n">
        <v>11.37</v>
      </c>
      <c r="K1456" s="20" t="n">
        <v>0</v>
      </c>
      <c r="L1456" s="26">
        <f>IF(H1456&lt;=J1456,1,0)</f>
        <v>1</v>
      </c>
    </row>
    <row r="1457">
      <c r="A1457" s="24" t="inlineStr">
        <is>
          <t>QL-242-4</t>
        </is>
      </c>
      <c r="B1457" s="39" t="n">
        <v>45899</v>
      </c>
      <c r="C1457" s="40" t="inlineStr">
        <is>
          <t>进港</t>
        </is>
      </c>
      <c r="D1457" s="24" t="inlineStr">
        <is>
          <t>粮食</t>
        </is>
      </c>
      <c r="E1457" s="24" t="inlineStr">
        <is>
          <t>国内沿海</t>
        </is>
      </c>
      <c r="F1457" s="24" t="inlineStr">
        <is>
          <t>04号泊位</t>
        </is>
      </c>
      <c r="G1457" s="25" t="n">
        <v>13713</v>
      </c>
      <c r="H1457" s="41" t="n">
        <v>13.41</v>
      </c>
      <c r="I1457" s="41" t="n">
        <v>0.59</v>
      </c>
      <c r="J1457" s="41" t="n">
        <v>13.44</v>
      </c>
      <c r="K1457" s="25" t="n">
        <v>0</v>
      </c>
      <c r="L1457" s="26">
        <f>IF(H1457&lt;=J1457,1,0)</f>
        <v>1</v>
      </c>
    </row>
    <row r="1458">
      <c r="A1458" s="19" t="inlineStr">
        <is>
          <t>QL-242-5</t>
        </is>
      </c>
      <c r="B1458" s="36" t="n">
        <v>45899</v>
      </c>
      <c r="C1458" s="37" t="inlineStr">
        <is>
          <t>出港</t>
        </is>
      </c>
      <c r="D1458" s="19" t="inlineStr">
        <is>
          <t>液体散货</t>
        </is>
      </c>
      <c r="E1458" s="19" t="inlineStr">
        <is>
          <t>东南亚</t>
        </is>
      </c>
      <c r="F1458" s="19" t="inlineStr">
        <is>
          <t>05号泊位</t>
        </is>
      </c>
      <c r="G1458" s="20" t="n">
        <v>17450</v>
      </c>
      <c r="H1458" s="38" t="n">
        <v>11.3</v>
      </c>
      <c r="I1458" s="38" t="n">
        <v>0.68</v>
      </c>
      <c r="J1458" s="38" t="n">
        <v>12.12</v>
      </c>
      <c r="K1458" s="20" t="n">
        <v>0</v>
      </c>
      <c r="L1458" s="26">
        <f>IF(H1458&lt;=J1458,1,0)</f>
        <v>1</v>
      </c>
    </row>
    <row r="1459">
      <c r="A1459" s="24" t="inlineStr">
        <is>
          <t>QL-242-6</t>
        </is>
      </c>
      <c r="B1459" s="39" t="n">
        <v>45899</v>
      </c>
      <c r="C1459" s="40" t="inlineStr">
        <is>
          <t>出港</t>
        </is>
      </c>
      <c r="D1459" s="24" t="inlineStr">
        <is>
          <t>件杂货</t>
        </is>
      </c>
      <c r="E1459" s="24" t="inlineStr">
        <is>
          <t>东亚</t>
        </is>
      </c>
      <c r="F1459" s="24" t="inlineStr">
        <is>
          <t>06号泊位</t>
        </is>
      </c>
      <c r="G1459" s="25" t="n">
        <v>5520</v>
      </c>
      <c r="H1459" s="41" t="n">
        <v>8.550000000000001</v>
      </c>
      <c r="I1459" s="41" t="n">
        <v>1.88</v>
      </c>
      <c r="J1459" s="41" t="n">
        <v>9.050000000000001</v>
      </c>
      <c r="K1459" s="25" t="n">
        <v>0</v>
      </c>
      <c r="L1459" s="26">
        <f>IF(H1459&lt;=J1459,1,0)</f>
        <v>1</v>
      </c>
    </row>
    <row r="1460">
      <c r="A1460" s="19" t="inlineStr">
        <is>
          <t>QL-243-1</t>
        </is>
      </c>
      <c r="B1460" s="36" t="n">
        <v>45900</v>
      </c>
      <c r="C1460" s="37" t="inlineStr">
        <is>
          <t>出港</t>
        </is>
      </c>
      <c r="D1460" s="19" t="inlineStr">
        <is>
          <t>集装箱货物</t>
        </is>
      </c>
      <c r="E1460" s="19" t="inlineStr">
        <is>
          <t>北美</t>
        </is>
      </c>
      <c r="F1460" s="19" t="inlineStr">
        <is>
          <t>01号泊位</t>
        </is>
      </c>
      <c r="G1460" s="20" t="n">
        <v>8593</v>
      </c>
      <c r="H1460" s="38" t="n">
        <v>11.35</v>
      </c>
      <c r="I1460" s="38" t="n">
        <v>1.42</v>
      </c>
      <c r="J1460" s="38" t="n">
        <v>9.550000000000001</v>
      </c>
      <c r="K1460" s="20" t="n">
        <v>653</v>
      </c>
      <c r="L1460" s="26">
        <f>IF(H1460&lt;=J1460,1,0)</f>
        <v>0</v>
      </c>
    </row>
    <row r="1461">
      <c r="A1461" s="24" t="inlineStr">
        <is>
          <t>QL-243-2</t>
        </is>
      </c>
      <c r="B1461" s="39" t="n">
        <v>45900</v>
      </c>
      <c r="C1461" s="40" t="inlineStr">
        <is>
          <t>进港</t>
        </is>
      </c>
      <c r="D1461" s="24" t="inlineStr">
        <is>
          <t>金属矿石</t>
        </is>
      </c>
      <c r="E1461" s="24" t="inlineStr">
        <is>
          <t>国内沿海</t>
        </is>
      </c>
      <c r="F1461" s="24" t="inlineStr">
        <is>
          <t>02号泊位</t>
        </is>
      </c>
      <c r="G1461" s="25" t="n">
        <v>19747</v>
      </c>
      <c r="H1461" s="41" t="n">
        <v>11.07</v>
      </c>
      <c r="I1461" s="41" t="n">
        <v>3.2</v>
      </c>
      <c r="J1461" s="41" t="n">
        <v>12.74</v>
      </c>
      <c r="K1461" s="25" t="n">
        <v>0</v>
      </c>
      <c r="L1461" s="26">
        <f>IF(H1461&lt;=J1461,1,0)</f>
        <v>1</v>
      </c>
    </row>
    <row r="1462">
      <c r="A1462" s="19" t="inlineStr">
        <is>
          <t>QL-243-3</t>
        </is>
      </c>
      <c r="B1462" s="36" t="n">
        <v>45900</v>
      </c>
      <c r="C1462" s="37" t="inlineStr">
        <is>
          <t>进港</t>
        </is>
      </c>
      <c r="D1462" s="19" t="inlineStr">
        <is>
          <t>煤炭</t>
        </is>
      </c>
      <c r="E1462" s="19" t="inlineStr">
        <is>
          <t>国内沿海</t>
        </is>
      </c>
      <c r="F1462" s="19" t="inlineStr">
        <is>
          <t>03号泊位</t>
        </is>
      </c>
      <c r="G1462" s="20" t="n">
        <v>14883</v>
      </c>
      <c r="H1462" s="38" t="n">
        <v>9.859999999999999</v>
      </c>
      <c r="I1462" s="38" t="n">
        <v>2.58</v>
      </c>
      <c r="J1462" s="38" t="n">
        <v>11.28</v>
      </c>
      <c r="K1462" s="20" t="n">
        <v>0</v>
      </c>
      <c r="L1462" s="26">
        <f>IF(H1462&lt;=J1462,1,0)</f>
        <v>1</v>
      </c>
    </row>
    <row r="1463">
      <c r="A1463" s="24" t="inlineStr">
        <is>
          <t>QL-243-4</t>
        </is>
      </c>
      <c r="B1463" s="39" t="n">
        <v>45900</v>
      </c>
      <c r="C1463" s="40" t="inlineStr">
        <is>
          <t>进港</t>
        </is>
      </c>
      <c r="D1463" s="24" t="inlineStr">
        <is>
          <t>粮食</t>
        </is>
      </c>
      <c r="E1463" s="24" t="inlineStr">
        <is>
          <t>欧洲</t>
        </is>
      </c>
      <c r="F1463" s="24" t="inlineStr">
        <is>
          <t>04号泊位</t>
        </is>
      </c>
      <c r="G1463" s="25" t="n">
        <v>9504</v>
      </c>
      <c r="H1463" s="41" t="n">
        <v>10.38</v>
      </c>
      <c r="I1463" s="41" t="n">
        <v>1.03</v>
      </c>
      <c r="J1463" s="41" t="n">
        <v>9.32</v>
      </c>
      <c r="K1463" s="25" t="n">
        <v>0</v>
      </c>
      <c r="L1463" s="26">
        <f>IF(H1463&lt;=J1463,1,0)</f>
        <v>0</v>
      </c>
    </row>
    <row r="1464">
      <c r="A1464" s="19" t="inlineStr">
        <is>
          <t>QL-243-5</t>
        </is>
      </c>
      <c r="B1464" s="36" t="n">
        <v>45900</v>
      </c>
      <c r="C1464" s="37" t="inlineStr">
        <is>
          <t>进港</t>
        </is>
      </c>
      <c r="D1464" s="19" t="inlineStr">
        <is>
          <t>液体散货</t>
        </is>
      </c>
      <c r="E1464" s="19" t="inlineStr">
        <is>
          <t>北美</t>
        </is>
      </c>
      <c r="F1464" s="19" t="inlineStr">
        <is>
          <t>05号泊位</t>
        </is>
      </c>
      <c r="G1464" s="20" t="n">
        <v>17541</v>
      </c>
      <c r="H1464" s="38" t="n">
        <v>13.61</v>
      </c>
      <c r="I1464" s="38" t="n">
        <v>0.8</v>
      </c>
      <c r="J1464" s="38" t="n">
        <v>12.18</v>
      </c>
      <c r="K1464" s="20" t="n">
        <v>0</v>
      </c>
      <c r="L1464" s="26">
        <f>IF(H1464&lt;=J1464,1,0)</f>
        <v>0</v>
      </c>
    </row>
    <row r="1465">
      <c r="A1465" s="24" t="inlineStr">
        <is>
          <t>QL-243-6</t>
        </is>
      </c>
      <c r="B1465" s="39" t="n">
        <v>45900</v>
      </c>
      <c r="C1465" s="40" t="inlineStr">
        <is>
          <t>进港</t>
        </is>
      </c>
      <c r="D1465" s="24" t="inlineStr">
        <is>
          <t>件杂货</t>
        </is>
      </c>
      <c r="E1465" s="24" t="inlineStr">
        <is>
          <t>北美</t>
        </is>
      </c>
      <c r="F1465" s="24" t="inlineStr">
        <is>
          <t>06号泊位</t>
        </is>
      </c>
      <c r="G1465" s="25" t="n">
        <v>4496</v>
      </c>
      <c r="H1465" s="41" t="n">
        <v>6.27</v>
      </c>
      <c r="I1465" s="41" t="n">
        <v>6.31</v>
      </c>
      <c r="J1465" s="41" t="n">
        <v>7.37</v>
      </c>
      <c r="K1465" s="25" t="n">
        <v>0</v>
      </c>
      <c r="L1465" s="26">
        <f>IF(H1465&lt;=J1465,1,0)</f>
        <v>1</v>
      </c>
    </row>
    <row r="1466">
      <c r="A1466" s="19" t="inlineStr">
        <is>
          <t>QL-244-1</t>
        </is>
      </c>
      <c r="B1466" s="36" t="n">
        <v>45901</v>
      </c>
      <c r="C1466" s="37" t="inlineStr">
        <is>
          <t>出港</t>
        </is>
      </c>
      <c r="D1466" s="19" t="inlineStr">
        <is>
          <t>集装箱货物</t>
        </is>
      </c>
      <c r="E1466" s="19" t="inlineStr">
        <is>
          <t>东南亚</t>
        </is>
      </c>
      <c r="F1466" s="19" t="inlineStr">
        <is>
          <t>01号泊位</t>
        </is>
      </c>
      <c r="G1466" s="20" t="n">
        <v>9052</v>
      </c>
      <c r="H1466" s="38" t="n">
        <v>10.18</v>
      </c>
      <c r="I1466" s="38" t="n">
        <v>1.17</v>
      </c>
      <c r="J1466" s="38" t="n">
        <v>10.06</v>
      </c>
      <c r="K1466" s="20" t="n">
        <v>588</v>
      </c>
      <c r="L1466" s="26">
        <f>IF(H1466&lt;=J1466,1,0)</f>
        <v>0</v>
      </c>
    </row>
    <row r="1467">
      <c r="A1467" s="24" t="inlineStr">
        <is>
          <t>QL-244-2</t>
        </is>
      </c>
      <c r="B1467" s="39" t="n">
        <v>45901</v>
      </c>
      <c r="C1467" s="40" t="inlineStr">
        <is>
          <t>进港</t>
        </is>
      </c>
      <c r="D1467" s="24" t="inlineStr">
        <is>
          <t>金属矿石</t>
        </is>
      </c>
      <c r="E1467" s="24" t="inlineStr">
        <is>
          <t>欧洲</t>
        </is>
      </c>
      <c r="F1467" s="24" t="inlineStr">
        <is>
          <t>02号泊位</t>
        </is>
      </c>
      <c r="G1467" s="25" t="n">
        <v>13295</v>
      </c>
      <c r="H1467" s="41" t="n">
        <v>9.84</v>
      </c>
      <c r="I1467" s="41" t="n">
        <v>3.1</v>
      </c>
      <c r="J1467" s="41" t="n">
        <v>8.58</v>
      </c>
      <c r="K1467" s="25" t="n">
        <v>0</v>
      </c>
      <c r="L1467" s="26">
        <f>IF(H1467&lt;=J1467,1,0)</f>
        <v>0</v>
      </c>
    </row>
    <row r="1468">
      <c r="A1468" s="19" t="inlineStr">
        <is>
          <t>QL-244-3</t>
        </is>
      </c>
      <c r="B1468" s="36" t="n">
        <v>45901</v>
      </c>
      <c r="C1468" s="37" t="inlineStr">
        <is>
          <t>出港</t>
        </is>
      </c>
      <c r="D1468" s="19" t="inlineStr">
        <is>
          <t>煤炭</t>
        </is>
      </c>
      <c r="E1468" s="19" t="inlineStr">
        <is>
          <t>东南亚</t>
        </is>
      </c>
      <c r="F1468" s="19" t="inlineStr">
        <is>
          <t>03号泊位</t>
        </is>
      </c>
      <c r="G1468" s="20" t="n">
        <v>10920</v>
      </c>
      <c r="H1468" s="38" t="n">
        <v>8.800000000000001</v>
      </c>
      <c r="I1468" s="38" t="n">
        <v>1.95</v>
      </c>
      <c r="J1468" s="38" t="n">
        <v>8.27</v>
      </c>
      <c r="K1468" s="20" t="n">
        <v>0</v>
      </c>
      <c r="L1468" s="26">
        <f>IF(H1468&lt;=J1468,1,0)</f>
        <v>0</v>
      </c>
    </row>
    <row r="1469">
      <c r="A1469" s="24" t="inlineStr">
        <is>
          <t>QL-244-4</t>
        </is>
      </c>
      <c r="B1469" s="39" t="n">
        <v>45901</v>
      </c>
      <c r="C1469" s="40" t="inlineStr">
        <is>
          <t>进港</t>
        </is>
      </c>
      <c r="D1469" s="24" t="inlineStr">
        <is>
          <t>粮食</t>
        </is>
      </c>
      <c r="E1469" s="24" t="inlineStr">
        <is>
          <t>欧洲</t>
        </is>
      </c>
      <c r="F1469" s="24" t="inlineStr">
        <is>
          <t>04号泊位</t>
        </is>
      </c>
      <c r="G1469" s="25" t="n">
        <v>10346</v>
      </c>
      <c r="H1469" s="41" t="n">
        <v>9.23</v>
      </c>
      <c r="I1469" s="41" t="n">
        <v>2</v>
      </c>
      <c r="J1469" s="41" t="n">
        <v>10.14</v>
      </c>
      <c r="K1469" s="25" t="n">
        <v>0</v>
      </c>
      <c r="L1469" s="26">
        <f>IF(H1469&lt;=J1469,1,0)</f>
        <v>1</v>
      </c>
    </row>
    <row r="1470">
      <c r="A1470" s="19" t="inlineStr">
        <is>
          <t>QL-244-5</t>
        </is>
      </c>
      <c r="B1470" s="36" t="n">
        <v>45901</v>
      </c>
      <c r="C1470" s="37" t="inlineStr">
        <is>
          <t>出港</t>
        </is>
      </c>
      <c r="D1470" s="19" t="inlineStr">
        <is>
          <t>液体散货</t>
        </is>
      </c>
      <c r="E1470" s="19" t="inlineStr">
        <is>
          <t>国内沿海</t>
        </is>
      </c>
      <c r="F1470" s="19" t="inlineStr">
        <is>
          <t>05号泊位</t>
        </is>
      </c>
      <c r="G1470" s="20" t="n">
        <v>14259</v>
      </c>
      <c r="H1470" s="38" t="n">
        <v>8.49</v>
      </c>
      <c r="I1470" s="38" t="n">
        <v>3.67</v>
      </c>
      <c r="J1470" s="38" t="n">
        <v>9.9</v>
      </c>
      <c r="K1470" s="20" t="n">
        <v>0</v>
      </c>
      <c r="L1470" s="26">
        <f>IF(H1470&lt;=J1470,1,0)</f>
        <v>1</v>
      </c>
    </row>
    <row r="1471">
      <c r="A1471" s="24" t="inlineStr">
        <is>
          <t>QL-244-6</t>
        </is>
      </c>
      <c r="B1471" s="39" t="n">
        <v>45901</v>
      </c>
      <c r="C1471" s="40" t="inlineStr">
        <is>
          <t>出港</t>
        </is>
      </c>
      <c r="D1471" s="24" t="inlineStr">
        <is>
          <t>件杂货</t>
        </is>
      </c>
      <c r="E1471" s="24" t="inlineStr">
        <is>
          <t>国内沿海</t>
        </is>
      </c>
      <c r="F1471" s="24" t="inlineStr">
        <is>
          <t>06号泊位</t>
        </is>
      </c>
      <c r="G1471" s="25" t="n">
        <v>6768</v>
      </c>
      <c r="H1471" s="41" t="n">
        <v>12.48</v>
      </c>
      <c r="I1471" s="41" t="n">
        <v>3.06</v>
      </c>
      <c r="J1471" s="41" t="n">
        <v>11.1</v>
      </c>
      <c r="K1471" s="25" t="n">
        <v>0</v>
      </c>
      <c r="L1471" s="26">
        <f>IF(H1471&lt;=J1471,1,0)</f>
        <v>0</v>
      </c>
    </row>
    <row r="1472">
      <c r="A1472" s="19" t="inlineStr">
        <is>
          <t>QL-245-1</t>
        </is>
      </c>
      <c r="B1472" s="36" t="n">
        <v>45902</v>
      </c>
      <c r="C1472" s="37" t="inlineStr">
        <is>
          <t>进港</t>
        </is>
      </c>
      <c r="D1472" s="19" t="inlineStr">
        <is>
          <t>集装箱货物</t>
        </is>
      </c>
      <c r="E1472" s="19" t="inlineStr">
        <is>
          <t>东南亚</t>
        </is>
      </c>
      <c r="F1472" s="19" t="inlineStr">
        <is>
          <t>01号泊位</t>
        </is>
      </c>
      <c r="G1472" s="20" t="n">
        <v>7143</v>
      </c>
      <c r="H1472" s="38" t="n">
        <v>9.210000000000001</v>
      </c>
      <c r="I1472" s="38" t="n">
        <v>1.4</v>
      </c>
      <c r="J1472" s="38" t="n">
        <v>7.94</v>
      </c>
      <c r="K1472" s="20" t="n">
        <v>516</v>
      </c>
      <c r="L1472" s="26">
        <f>IF(H1472&lt;=J1472,1,0)</f>
        <v>0</v>
      </c>
    </row>
    <row r="1473">
      <c r="A1473" s="24" t="inlineStr">
        <is>
          <t>QL-245-2</t>
        </is>
      </c>
      <c r="B1473" s="39" t="n">
        <v>45902</v>
      </c>
      <c r="C1473" s="40" t="inlineStr">
        <is>
          <t>进港</t>
        </is>
      </c>
      <c r="D1473" s="24" t="inlineStr">
        <is>
          <t>金属矿石</t>
        </is>
      </c>
      <c r="E1473" s="24" t="inlineStr">
        <is>
          <t>国内沿海</t>
        </is>
      </c>
      <c r="F1473" s="24" t="inlineStr">
        <is>
          <t>02号泊位</t>
        </is>
      </c>
      <c r="G1473" s="25" t="n">
        <v>18224</v>
      </c>
      <c r="H1473" s="41" t="n">
        <v>11.93</v>
      </c>
      <c r="I1473" s="41" t="n">
        <v>0.75</v>
      </c>
      <c r="J1473" s="41" t="n">
        <v>11.76</v>
      </c>
      <c r="K1473" s="25" t="n">
        <v>0</v>
      </c>
      <c r="L1473" s="26">
        <f>IF(H1473&lt;=J1473,1,0)</f>
        <v>0</v>
      </c>
    </row>
    <row r="1474">
      <c r="A1474" s="19" t="inlineStr">
        <is>
          <t>QL-245-3</t>
        </is>
      </c>
      <c r="B1474" s="36" t="n">
        <v>45902</v>
      </c>
      <c r="C1474" s="37" t="inlineStr">
        <is>
          <t>出港</t>
        </is>
      </c>
      <c r="D1474" s="19" t="inlineStr">
        <is>
          <t>煤炭</t>
        </is>
      </c>
      <c r="E1474" s="19" t="inlineStr">
        <is>
          <t>东南亚</t>
        </is>
      </c>
      <c r="F1474" s="19" t="inlineStr">
        <is>
          <t>03号泊位</t>
        </is>
      </c>
      <c r="G1474" s="20" t="n">
        <v>17584</v>
      </c>
      <c r="H1474" s="38" t="n">
        <v>14.86</v>
      </c>
      <c r="I1474" s="38" t="n">
        <v>1.59</v>
      </c>
      <c r="J1474" s="38" t="n">
        <v>13.32</v>
      </c>
      <c r="K1474" s="20" t="n">
        <v>0</v>
      </c>
      <c r="L1474" s="26">
        <f>IF(H1474&lt;=J1474,1,0)</f>
        <v>0</v>
      </c>
    </row>
    <row r="1475">
      <c r="A1475" s="24" t="inlineStr">
        <is>
          <t>QL-245-4</t>
        </is>
      </c>
      <c r="B1475" s="39" t="n">
        <v>45902</v>
      </c>
      <c r="C1475" s="40" t="inlineStr">
        <is>
          <t>出港</t>
        </is>
      </c>
      <c r="D1475" s="24" t="inlineStr">
        <is>
          <t>粮食</t>
        </is>
      </c>
      <c r="E1475" s="24" t="inlineStr">
        <is>
          <t>东亚</t>
        </is>
      </c>
      <c r="F1475" s="24" t="inlineStr">
        <is>
          <t>04号泊位</t>
        </is>
      </c>
      <c r="G1475" s="25" t="n">
        <v>7922</v>
      </c>
      <c r="H1475" s="41" t="n">
        <v>8.800000000000001</v>
      </c>
      <c r="I1475" s="41" t="n">
        <v>1.39</v>
      </c>
      <c r="J1475" s="41" t="n">
        <v>7.77</v>
      </c>
      <c r="K1475" s="25" t="n">
        <v>0</v>
      </c>
      <c r="L1475" s="26">
        <f>IF(H1475&lt;=J1475,1,0)</f>
        <v>0</v>
      </c>
    </row>
    <row r="1476">
      <c r="A1476" s="19" t="inlineStr">
        <is>
          <t>QL-245-5</t>
        </is>
      </c>
      <c r="B1476" s="36" t="n">
        <v>45902</v>
      </c>
      <c r="C1476" s="37" t="inlineStr">
        <is>
          <t>进港</t>
        </is>
      </c>
      <c r="D1476" s="19" t="inlineStr">
        <is>
          <t>液体散货</t>
        </is>
      </c>
      <c r="E1476" s="19" t="inlineStr">
        <is>
          <t>东南亚</t>
        </is>
      </c>
      <c r="F1476" s="19" t="inlineStr">
        <is>
          <t>05号泊位</t>
        </is>
      </c>
      <c r="G1476" s="20" t="n">
        <v>17262</v>
      </c>
      <c r="H1476" s="38" t="n">
        <v>9.98</v>
      </c>
      <c r="I1476" s="38" t="n">
        <v>1.17</v>
      </c>
      <c r="J1476" s="38" t="n">
        <v>11.99</v>
      </c>
      <c r="K1476" s="20" t="n">
        <v>0</v>
      </c>
      <c r="L1476" s="26">
        <f>IF(H1476&lt;=J1476,1,0)</f>
        <v>1</v>
      </c>
    </row>
    <row r="1477">
      <c r="A1477" s="24" t="inlineStr">
        <is>
          <t>QL-245-6</t>
        </is>
      </c>
      <c r="B1477" s="39" t="n">
        <v>45902</v>
      </c>
      <c r="C1477" s="40" t="inlineStr">
        <is>
          <t>出港</t>
        </is>
      </c>
      <c r="D1477" s="24" t="inlineStr">
        <is>
          <t>件杂货</t>
        </is>
      </c>
      <c r="E1477" s="24" t="inlineStr">
        <is>
          <t>北美</t>
        </is>
      </c>
      <c r="F1477" s="24" t="inlineStr">
        <is>
          <t>06号泊位</t>
        </is>
      </c>
      <c r="G1477" s="25" t="n">
        <v>3642</v>
      </c>
      <c r="H1477" s="41" t="n">
        <v>7.21</v>
      </c>
      <c r="I1477" s="41" t="n">
        <v>4.54</v>
      </c>
      <c r="J1477" s="41" t="n">
        <v>5.97</v>
      </c>
      <c r="K1477" s="25" t="n">
        <v>0</v>
      </c>
      <c r="L1477" s="26">
        <f>IF(H1477&lt;=J1477,1,0)</f>
        <v>0</v>
      </c>
    </row>
    <row r="1478">
      <c r="A1478" s="19" t="inlineStr">
        <is>
          <t>QL-246-1</t>
        </is>
      </c>
      <c r="B1478" s="36" t="n">
        <v>45903</v>
      </c>
      <c r="C1478" s="37" t="inlineStr">
        <is>
          <t>进港</t>
        </is>
      </c>
      <c r="D1478" s="19" t="inlineStr">
        <is>
          <t>集装箱货物</t>
        </is>
      </c>
      <c r="E1478" s="19" t="inlineStr">
        <is>
          <t>国内沿海</t>
        </is>
      </c>
      <c r="F1478" s="19" t="inlineStr">
        <is>
          <t>01号泊位</t>
        </is>
      </c>
      <c r="G1478" s="20" t="n">
        <v>12554</v>
      </c>
      <c r="H1478" s="38" t="n">
        <v>14.67</v>
      </c>
      <c r="I1478" s="38" t="n">
        <v>3.79</v>
      </c>
      <c r="J1478" s="38" t="n">
        <v>13.95</v>
      </c>
      <c r="K1478" s="20" t="n">
        <v>898</v>
      </c>
      <c r="L1478" s="26">
        <f>IF(H1478&lt;=J1478,1,0)</f>
        <v>0</v>
      </c>
    </row>
    <row r="1479">
      <c r="A1479" s="24" t="inlineStr">
        <is>
          <t>QL-246-2</t>
        </is>
      </c>
      <c r="B1479" s="39" t="n">
        <v>45903</v>
      </c>
      <c r="C1479" s="40" t="inlineStr">
        <is>
          <t>进港</t>
        </is>
      </c>
      <c r="D1479" s="24" t="inlineStr">
        <is>
          <t>金属矿石</t>
        </is>
      </c>
      <c r="E1479" s="24" t="inlineStr">
        <is>
          <t>北美</t>
        </is>
      </c>
      <c r="F1479" s="24" t="inlineStr">
        <is>
          <t>02号泊位</t>
        </is>
      </c>
      <c r="G1479" s="25" t="n">
        <v>14468</v>
      </c>
      <c r="H1479" s="41" t="n">
        <v>8.619999999999999</v>
      </c>
      <c r="I1479" s="41" t="n">
        <v>4.21</v>
      </c>
      <c r="J1479" s="41" t="n">
        <v>9.33</v>
      </c>
      <c r="K1479" s="25" t="n">
        <v>0</v>
      </c>
      <c r="L1479" s="26">
        <f>IF(H1479&lt;=J1479,1,0)</f>
        <v>1</v>
      </c>
    </row>
    <row r="1480">
      <c r="A1480" s="19" t="inlineStr">
        <is>
          <t>QL-246-3</t>
        </is>
      </c>
      <c r="B1480" s="36" t="n">
        <v>45903</v>
      </c>
      <c r="C1480" s="37" t="inlineStr">
        <is>
          <t>进港</t>
        </is>
      </c>
      <c r="D1480" s="19" t="inlineStr">
        <is>
          <t>煤炭</t>
        </is>
      </c>
      <c r="E1480" s="19" t="inlineStr">
        <is>
          <t>东南亚</t>
        </is>
      </c>
      <c r="F1480" s="19" t="inlineStr">
        <is>
          <t>03号泊位</t>
        </is>
      </c>
      <c r="G1480" s="20" t="n">
        <v>14242</v>
      </c>
      <c r="H1480" s="38" t="n">
        <v>11.45</v>
      </c>
      <c r="I1480" s="38" t="n">
        <v>1.43</v>
      </c>
      <c r="J1480" s="38" t="n">
        <v>10.79</v>
      </c>
      <c r="K1480" s="20" t="n">
        <v>0</v>
      </c>
      <c r="L1480" s="26">
        <f>IF(H1480&lt;=J1480,1,0)</f>
        <v>0</v>
      </c>
    </row>
    <row r="1481">
      <c r="A1481" s="24" t="inlineStr">
        <is>
          <t>QL-246-4</t>
        </is>
      </c>
      <c r="B1481" s="39" t="n">
        <v>45903</v>
      </c>
      <c r="C1481" s="40" t="inlineStr">
        <is>
          <t>进港</t>
        </is>
      </c>
      <c r="D1481" s="24" t="inlineStr">
        <is>
          <t>粮食</t>
        </is>
      </c>
      <c r="E1481" s="24" t="inlineStr">
        <is>
          <t>东亚</t>
        </is>
      </c>
      <c r="F1481" s="24" t="inlineStr">
        <is>
          <t>04号泊位</t>
        </is>
      </c>
      <c r="G1481" s="25" t="n">
        <v>10124</v>
      </c>
      <c r="H1481" s="41" t="n">
        <v>9.359999999999999</v>
      </c>
      <c r="I1481" s="41" t="n">
        <v>4.73</v>
      </c>
      <c r="J1481" s="41" t="n">
        <v>9.93</v>
      </c>
      <c r="K1481" s="25" t="n">
        <v>0</v>
      </c>
      <c r="L1481" s="26">
        <f>IF(H1481&lt;=J1481,1,0)</f>
        <v>1</v>
      </c>
    </row>
    <row r="1482">
      <c r="A1482" s="19" t="inlineStr">
        <is>
          <t>QL-246-5</t>
        </is>
      </c>
      <c r="B1482" s="36" t="n">
        <v>45903</v>
      </c>
      <c r="C1482" s="37" t="inlineStr">
        <is>
          <t>进港</t>
        </is>
      </c>
      <c r="D1482" s="19" t="inlineStr">
        <is>
          <t>液体散货</t>
        </is>
      </c>
      <c r="E1482" s="19" t="inlineStr">
        <is>
          <t>北美</t>
        </is>
      </c>
      <c r="F1482" s="19" t="inlineStr">
        <is>
          <t>05号泊位</t>
        </is>
      </c>
      <c r="G1482" s="20" t="n">
        <v>13644</v>
      </c>
      <c r="H1482" s="38" t="n">
        <v>7.97</v>
      </c>
      <c r="I1482" s="38" t="n">
        <v>4.82</v>
      </c>
      <c r="J1482" s="38" t="n">
        <v>9.470000000000001</v>
      </c>
      <c r="K1482" s="20" t="n">
        <v>0</v>
      </c>
      <c r="L1482" s="26">
        <f>IF(H1482&lt;=J1482,1,0)</f>
        <v>1</v>
      </c>
    </row>
    <row r="1483">
      <c r="A1483" s="24" t="inlineStr">
        <is>
          <t>QL-246-6</t>
        </is>
      </c>
      <c r="B1483" s="39" t="n">
        <v>45903</v>
      </c>
      <c r="C1483" s="40" t="inlineStr">
        <is>
          <t>出港</t>
        </is>
      </c>
      <c r="D1483" s="24" t="inlineStr">
        <is>
          <t>件杂货</t>
        </is>
      </c>
      <c r="E1483" s="24" t="inlineStr">
        <is>
          <t>东南亚</t>
        </is>
      </c>
      <c r="F1483" s="24" t="inlineStr">
        <is>
          <t>06号泊位</t>
        </is>
      </c>
      <c r="G1483" s="25" t="n">
        <v>3955</v>
      </c>
      <c r="H1483" s="41" t="n">
        <v>7.32</v>
      </c>
      <c r="I1483" s="41" t="n">
        <v>0.43</v>
      </c>
      <c r="J1483" s="41" t="n">
        <v>6.48</v>
      </c>
      <c r="K1483" s="25" t="n">
        <v>0</v>
      </c>
      <c r="L1483" s="26">
        <f>IF(H1483&lt;=J1483,1,0)</f>
        <v>0</v>
      </c>
    </row>
    <row r="1484">
      <c r="A1484" s="19" t="inlineStr">
        <is>
          <t>QL-247-1</t>
        </is>
      </c>
      <c r="B1484" s="36" t="n">
        <v>45904</v>
      </c>
      <c r="C1484" s="37" t="inlineStr">
        <is>
          <t>出港</t>
        </is>
      </c>
      <c r="D1484" s="19" t="inlineStr">
        <is>
          <t>集装箱货物</t>
        </is>
      </c>
      <c r="E1484" s="19" t="inlineStr">
        <is>
          <t>北美</t>
        </is>
      </c>
      <c r="F1484" s="19" t="inlineStr">
        <is>
          <t>01号泊位</t>
        </is>
      </c>
      <c r="G1484" s="20" t="n">
        <v>15457</v>
      </c>
      <c r="H1484" s="38" t="n">
        <v>16.99</v>
      </c>
      <c r="I1484" s="38" t="n">
        <v>5.42</v>
      </c>
      <c r="J1484" s="38" t="n">
        <v>17.17</v>
      </c>
      <c r="K1484" s="20" t="n">
        <v>1090</v>
      </c>
      <c r="L1484" s="26">
        <f>IF(H1484&lt;=J1484,1,0)</f>
        <v>1</v>
      </c>
    </row>
    <row r="1485">
      <c r="A1485" s="24" t="inlineStr">
        <is>
          <t>QL-247-2</t>
        </is>
      </c>
      <c r="B1485" s="39" t="n">
        <v>45904</v>
      </c>
      <c r="C1485" s="40" t="inlineStr">
        <is>
          <t>进港</t>
        </is>
      </c>
      <c r="D1485" s="24" t="inlineStr">
        <is>
          <t>金属矿石</t>
        </is>
      </c>
      <c r="E1485" s="24" t="inlineStr">
        <is>
          <t>欧洲</t>
        </is>
      </c>
      <c r="F1485" s="24" t="inlineStr">
        <is>
          <t>02号泊位</t>
        </is>
      </c>
      <c r="G1485" s="25" t="n">
        <v>22520</v>
      </c>
      <c r="H1485" s="41" t="n">
        <v>13.88</v>
      </c>
      <c r="I1485" s="41" t="n">
        <v>2.8</v>
      </c>
      <c r="J1485" s="41" t="n">
        <v>14.53</v>
      </c>
      <c r="K1485" s="25" t="n">
        <v>0</v>
      </c>
      <c r="L1485" s="26">
        <f>IF(H1485&lt;=J1485,1,0)</f>
        <v>1</v>
      </c>
    </row>
    <row r="1486">
      <c r="A1486" s="19" t="inlineStr">
        <is>
          <t>QL-247-3</t>
        </is>
      </c>
      <c r="B1486" s="36" t="n">
        <v>45904</v>
      </c>
      <c r="C1486" s="37" t="inlineStr">
        <is>
          <t>进港</t>
        </is>
      </c>
      <c r="D1486" s="19" t="inlineStr">
        <is>
          <t>煤炭</t>
        </is>
      </c>
      <c r="E1486" s="19" t="inlineStr">
        <is>
          <t>东亚</t>
        </is>
      </c>
      <c r="F1486" s="19" t="inlineStr">
        <is>
          <t>03号泊位</t>
        </is>
      </c>
      <c r="G1486" s="20" t="n">
        <v>21064</v>
      </c>
      <c r="H1486" s="38" t="n">
        <v>16.28</v>
      </c>
      <c r="I1486" s="38" t="n">
        <v>7.83</v>
      </c>
      <c r="J1486" s="38" t="n">
        <v>15.96</v>
      </c>
      <c r="K1486" s="20" t="n">
        <v>0</v>
      </c>
      <c r="L1486" s="26">
        <f>IF(H1486&lt;=J1486,1,0)</f>
        <v>0</v>
      </c>
    </row>
    <row r="1487">
      <c r="A1487" s="24" t="inlineStr">
        <is>
          <t>QL-247-4</t>
        </is>
      </c>
      <c r="B1487" s="39" t="n">
        <v>45904</v>
      </c>
      <c r="C1487" s="40" t="inlineStr">
        <is>
          <t>进港</t>
        </is>
      </c>
      <c r="D1487" s="24" t="inlineStr">
        <is>
          <t>粮食</t>
        </is>
      </c>
      <c r="E1487" s="24" t="inlineStr">
        <is>
          <t>东亚</t>
        </is>
      </c>
      <c r="F1487" s="24" t="inlineStr">
        <is>
          <t>04号泊位</t>
        </is>
      </c>
      <c r="G1487" s="25" t="n">
        <v>10689</v>
      </c>
      <c r="H1487" s="41" t="n">
        <v>11.76</v>
      </c>
      <c r="I1487" s="41" t="n">
        <v>1.38</v>
      </c>
      <c r="J1487" s="41" t="n">
        <v>10.48</v>
      </c>
      <c r="K1487" s="25" t="n">
        <v>0</v>
      </c>
      <c r="L1487" s="26">
        <f>IF(H1487&lt;=J1487,1,0)</f>
        <v>0</v>
      </c>
    </row>
    <row r="1488">
      <c r="A1488" s="19" t="inlineStr">
        <is>
          <t>QL-247-5</t>
        </is>
      </c>
      <c r="B1488" s="36" t="n">
        <v>45904</v>
      </c>
      <c r="C1488" s="37" t="inlineStr">
        <is>
          <t>进港</t>
        </is>
      </c>
      <c r="D1488" s="19" t="inlineStr">
        <is>
          <t>液体散货</t>
        </is>
      </c>
      <c r="E1488" s="19" t="inlineStr">
        <is>
          <t>东亚</t>
        </is>
      </c>
      <c r="F1488" s="19" t="inlineStr">
        <is>
          <t>05号泊位</t>
        </is>
      </c>
      <c r="G1488" s="20" t="n">
        <v>14633</v>
      </c>
      <c r="H1488" s="38" t="n">
        <v>10.07</v>
      </c>
      <c r="I1488" s="38" t="n">
        <v>1.42</v>
      </c>
      <c r="J1488" s="38" t="n">
        <v>10.16</v>
      </c>
      <c r="K1488" s="20" t="n">
        <v>0</v>
      </c>
      <c r="L1488" s="26">
        <f>IF(H1488&lt;=J1488,1,0)</f>
        <v>1</v>
      </c>
    </row>
    <row r="1489">
      <c r="A1489" s="24" t="inlineStr">
        <is>
          <t>QL-247-6</t>
        </is>
      </c>
      <c r="B1489" s="39" t="n">
        <v>45904</v>
      </c>
      <c r="C1489" s="40" t="inlineStr">
        <is>
          <t>出港</t>
        </is>
      </c>
      <c r="D1489" s="24" t="inlineStr">
        <is>
          <t>件杂货</t>
        </is>
      </c>
      <c r="E1489" s="24" t="inlineStr">
        <is>
          <t>东亚</t>
        </is>
      </c>
      <c r="F1489" s="24" t="inlineStr">
        <is>
          <t>06号泊位</t>
        </is>
      </c>
      <c r="G1489" s="25" t="n">
        <v>5688</v>
      </c>
      <c r="H1489" s="41" t="n">
        <v>9.93</v>
      </c>
      <c r="I1489" s="41" t="n">
        <v>5.38</v>
      </c>
      <c r="J1489" s="41" t="n">
        <v>9.32</v>
      </c>
      <c r="K1489" s="25" t="n">
        <v>0</v>
      </c>
      <c r="L1489" s="26">
        <f>IF(H1489&lt;=J1489,1,0)</f>
        <v>0</v>
      </c>
    </row>
    <row r="1490">
      <c r="A1490" s="19" t="inlineStr">
        <is>
          <t>QL-248-1</t>
        </is>
      </c>
      <c r="B1490" s="36" t="n">
        <v>45905</v>
      </c>
      <c r="C1490" s="37" t="inlineStr">
        <is>
          <t>出港</t>
        </is>
      </c>
      <c r="D1490" s="19" t="inlineStr">
        <is>
          <t>集装箱货物</t>
        </is>
      </c>
      <c r="E1490" s="19" t="inlineStr">
        <is>
          <t>东南亚</t>
        </is>
      </c>
      <c r="F1490" s="19" t="inlineStr">
        <is>
          <t>01号泊位</t>
        </is>
      </c>
      <c r="G1490" s="20" t="n">
        <v>18007</v>
      </c>
      <c r="H1490" s="38" t="n">
        <v>22.3</v>
      </c>
      <c r="I1490" s="38" t="n">
        <v>2.53</v>
      </c>
      <c r="J1490" s="38" t="n">
        <v>20.01</v>
      </c>
      <c r="K1490" s="20" t="n">
        <v>1154</v>
      </c>
      <c r="L1490" s="26">
        <f>IF(H1490&lt;=J1490,1,0)</f>
        <v>0</v>
      </c>
    </row>
    <row r="1491">
      <c r="A1491" s="24" t="inlineStr">
        <is>
          <t>QL-248-2</t>
        </is>
      </c>
      <c r="B1491" s="39" t="n">
        <v>45905</v>
      </c>
      <c r="C1491" s="40" t="inlineStr">
        <is>
          <t>进港</t>
        </is>
      </c>
      <c r="D1491" s="24" t="inlineStr">
        <is>
          <t>金属矿石</t>
        </is>
      </c>
      <c r="E1491" s="24" t="inlineStr">
        <is>
          <t>东南亚</t>
        </is>
      </c>
      <c r="F1491" s="24" t="inlineStr">
        <is>
          <t>02号泊位</t>
        </is>
      </c>
      <c r="G1491" s="25" t="n">
        <v>28249</v>
      </c>
      <c r="H1491" s="41" t="n">
        <v>15.4</v>
      </c>
      <c r="I1491" s="41" t="n">
        <v>2.56</v>
      </c>
      <c r="J1491" s="41" t="n">
        <v>18.23</v>
      </c>
      <c r="K1491" s="25" t="n">
        <v>0</v>
      </c>
      <c r="L1491" s="26">
        <f>IF(H1491&lt;=J1491,1,0)</f>
        <v>1</v>
      </c>
    </row>
    <row r="1492">
      <c r="A1492" s="19" t="inlineStr">
        <is>
          <t>QL-248-3</t>
        </is>
      </c>
      <c r="B1492" s="36" t="n">
        <v>45905</v>
      </c>
      <c r="C1492" s="37" t="inlineStr">
        <is>
          <t>出港</t>
        </is>
      </c>
      <c r="D1492" s="19" t="inlineStr">
        <is>
          <t>煤炭</t>
        </is>
      </c>
      <c r="E1492" s="19" t="inlineStr">
        <is>
          <t>北美</t>
        </is>
      </c>
      <c r="F1492" s="19" t="inlineStr">
        <is>
          <t>03号泊位</t>
        </is>
      </c>
      <c r="G1492" s="20" t="n">
        <v>15762</v>
      </c>
      <c r="H1492" s="38" t="n">
        <v>13.3</v>
      </c>
      <c r="I1492" s="38" t="n">
        <v>0.67</v>
      </c>
      <c r="J1492" s="38" t="n">
        <v>11.94</v>
      </c>
      <c r="K1492" s="20" t="n">
        <v>0</v>
      </c>
      <c r="L1492" s="26">
        <f>IF(H1492&lt;=J1492,1,0)</f>
        <v>0</v>
      </c>
    </row>
    <row r="1493">
      <c r="A1493" s="24" t="inlineStr">
        <is>
          <t>QL-248-4</t>
        </is>
      </c>
      <c r="B1493" s="39" t="n">
        <v>45905</v>
      </c>
      <c r="C1493" s="40" t="inlineStr">
        <is>
          <t>进港</t>
        </is>
      </c>
      <c r="D1493" s="24" t="inlineStr">
        <is>
          <t>粮食</t>
        </is>
      </c>
      <c r="E1493" s="24" t="inlineStr">
        <is>
          <t>国内沿海</t>
        </is>
      </c>
      <c r="F1493" s="24" t="inlineStr">
        <is>
          <t>04号泊位</t>
        </is>
      </c>
      <c r="G1493" s="25" t="n">
        <v>10989</v>
      </c>
      <c r="H1493" s="41" t="n">
        <v>10.26</v>
      </c>
      <c r="I1493" s="41" t="n">
        <v>1.17</v>
      </c>
      <c r="J1493" s="41" t="n">
        <v>10.77</v>
      </c>
      <c r="K1493" s="25" t="n">
        <v>0</v>
      </c>
      <c r="L1493" s="26">
        <f>IF(H1493&lt;=J1493,1,0)</f>
        <v>1</v>
      </c>
    </row>
    <row r="1494">
      <c r="A1494" s="19" t="inlineStr">
        <is>
          <t>QL-248-5</t>
        </is>
      </c>
      <c r="B1494" s="36" t="n">
        <v>45905</v>
      </c>
      <c r="C1494" s="37" t="inlineStr">
        <is>
          <t>进港</t>
        </is>
      </c>
      <c r="D1494" s="19" t="inlineStr">
        <is>
          <t>液体散货</t>
        </is>
      </c>
      <c r="E1494" s="19" t="inlineStr">
        <is>
          <t>东亚</t>
        </is>
      </c>
      <c r="F1494" s="19" t="inlineStr">
        <is>
          <t>05号泊位</t>
        </is>
      </c>
      <c r="G1494" s="20" t="n">
        <v>12665</v>
      </c>
      <c r="H1494" s="38" t="n">
        <v>9.09</v>
      </c>
      <c r="I1494" s="38" t="n">
        <v>0.3</v>
      </c>
      <c r="J1494" s="38" t="n">
        <v>8.800000000000001</v>
      </c>
      <c r="K1494" s="20" t="n">
        <v>0</v>
      </c>
      <c r="L1494" s="26">
        <f>IF(H1494&lt;=J1494,1,0)</f>
        <v>0</v>
      </c>
    </row>
    <row r="1495">
      <c r="A1495" s="24" t="inlineStr">
        <is>
          <t>QL-248-6</t>
        </is>
      </c>
      <c r="B1495" s="39" t="n">
        <v>45905</v>
      </c>
      <c r="C1495" s="40" t="inlineStr">
        <is>
          <t>出港</t>
        </is>
      </c>
      <c r="D1495" s="24" t="inlineStr">
        <is>
          <t>件杂货</t>
        </is>
      </c>
      <c r="E1495" s="24" t="inlineStr">
        <is>
          <t>国内沿海</t>
        </is>
      </c>
      <c r="F1495" s="24" t="inlineStr">
        <is>
          <t>06号泊位</t>
        </is>
      </c>
      <c r="G1495" s="25" t="n">
        <v>8495</v>
      </c>
      <c r="H1495" s="41" t="n">
        <v>13.59</v>
      </c>
      <c r="I1495" s="41" t="n">
        <v>1.16</v>
      </c>
      <c r="J1495" s="41" t="n">
        <v>13.93</v>
      </c>
      <c r="K1495" s="25" t="n">
        <v>0</v>
      </c>
      <c r="L1495" s="26">
        <f>IF(H1495&lt;=J1495,1,0)</f>
        <v>1</v>
      </c>
    </row>
    <row r="1496">
      <c r="A1496" s="19" t="inlineStr">
        <is>
          <t>QL-249-1</t>
        </is>
      </c>
      <c r="B1496" s="36" t="n">
        <v>45906</v>
      </c>
      <c r="C1496" s="37" t="inlineStr">
        <is>
          <t>进港</t>
        </is>
      </c>
      <c r="D1496" s="19" t="inlineStr">
        <is>
          <t>集装箱货物</t>
        </is>
      </c>
      <c r="E1496" s="19" t="inlineStr">
        <is>
          <t>国内沿海</t>
        </is>
      </c>
      <c r="F1496" s="19" t="inlineStr">
        <is>
          <t>01号泊位</t>
        </is>
      </c>
      <c r="G1496" s="20" t="n">
        <v>8540</v>
      </c>
      <c r="H1496" s="38" t="n">
        <v>8.609999999999999</v>
      </c>
      <c r="I1496" s="38" t="n">
        <v>3.15</v>
      </c>
      <c r="J1496" s="38" t="n">
        <v>9.49</v>
      </c>
      <c r="K1496" s="20" t="n">
        <v>509</v>
      </c>
      <c r="L1496" s="26">
        <f>IF(H1496&lt;=J1496,1,0)</f>
        <v>1</v>
      </c>
    </row>
    <row r="1497">
      <c r="A1497" s="24" t="inlineStr">
        <is>
          <t>QL-249-2</t>
        </is>
      </c>
      <c r="B1497" s="39" t="n">
        <v>45906</v>
      </c>
      <c r="C1497" s="40" t="inlineStr">
        <is>
          <t>进港</t>
        </is>
      </c>
      <c r="D1497" s="24" t="inlineStr">
        <is>
          <t>金属矿石</t>
        </is>
      </c>
      <c r="E1497" s="24" t="inlineStr">
        <is>
          <t>东南亚</t>
        </is>
      </c>
      <c r="F1497" s="24" t="inlineStr">
        <is>
          <t>02号泊位</t>
        </is>
      </c>
      <c r="G1497" s="25" t="n">
        <v>30800</v>
      </c>
      <c r="H1497" s="41" t="n">
        <v>16.35</v>
      </c>
      <c r="I1497" s="41" t="n">
        <v>1.67</v>
      </c>
      <c r="J1497" s="41" t="n">
        <v>19.87</v>
      </c>
      <c r="K1497" s="25" t="n">
        <v>0</v>
      </c>
      <c r="L1497" s="26">
        <f>IF(H1497&lt;=J1497,1,0)</f>
        <v>1</v>
      </c>
    </row>
    <row r="1498">
      <c r="A1498" s="19" t="inlineStr">
        <is>
          <t>QL-249-3</t>
        </is>
      </c>
      <c r="B1498" s="36" t="n">
        <v>45906</v>
      </c>
      <c r="C1498" s="37" t="inlineStr">
        <is>
          <t>进港</t>
        </is>
      </c>
      <c r="D1498" s="19" t="inlineStr">
        <is>
          <t>煤炭</t>
        </is>
      </c>
      <c r="E1498" s="19" t="inlineStr">
        <is>
          <t>北美</t>
        </is>
      </c>
      <c r="F1498" s="19" t="inlineStr">
        <is>
          <t>03号泊位</t>
        </is>
      </c>
      <c r="G1498" s="20" t="n">
        <v>25131</v>
      </c>
      <c r="H1498" s="38" t="n">
        <v>21.46</v>
      </c>
      <c r="I1498" s="38" t="n">
        <v>1.06</v>
      </c>
      <c r="J1498" s="38" t="n">
        <v>19.04</v>
      </c>
      <c r="K1498" s="20" t="n">
        <v>0</v>
      </c>
      <c r="L1498" s="26">
        <f>IF(H1498&lt;=J1498,1,0)</f>
        <v>0</v>
      </c>
    </row>
    <row r="1499">
      <c r="A1499" s="24" t="inlineStr">
        <is>
          <t>QL-249-4</t>
        </is>
      </c>
      <c r="B1499" s="39" t="n">
        <v>45906</v>
      </c>
      <c r="C1499" s="40" t="inlineStr">
        <is>
          <t>出港</t>
        </is>
      </c>
      <c r="D1499" s="24" t="inlineStr">
        <is>
          <t>粮食</t>
        </is>
      </c>
      <c r="E1499" s="24" t="inlineStr">
        <is>
          <t>东南亚</t>
        </is>
      </c>
      <c r="F1499" s="24" t="inlineStr">
        <is>
          <t>04号泊位</t>
        </is>
      </c>
      <c r="G1499" s="25" t="n">
        <v>15950</v>
      </c>
      <c r="H1499" s="41" t="n">
        <v>12.89</v>
      </c>
      <c r="I1499" s="41" t="n">
        <v>4.66</v>
      </c>
      <c r="J1499" s="41" t="n">
        <v>15.64</v>
      </c>
      <c r="K1499" s="25" t="n">
        <v>0</v>
      </c>
      <c r="L1499" s="26">
        <f>IF(H1499&lt;=J1499,1,0)</f>
        <v>1</v>
      </c>
    </row>
    <row r="1500">
      <c r="A1500" s="19" t="inlineStr">
        <is>
          <t>QL-249-5</t>
        </is>
      </c>
      <c r="B1500" s="36" t="n">
        <v>45906</v>
      </c>
      <c r="C1500" s="37" t="inlineStr">
        <is>
          <t>出港</t>
        </is>
      </c>
      <c r="D1500" s="19" t="inlineStr">
        <is>
          <t>液体散货</t>
        </is>
      </c>
      <c r="E1500" s="19" t="inlineStr">
        <is>
          <t>东南亚</t>
        </is>
      </c>
      <c r="F1500" s="19" t="inlineStr">
        <is>
          <t>05号泊位</t>
        </is>
      </c>
      <c r="G1500" s="20" t="n">
        <v>21254</v>
      </c>
      <c r="H1500" s="38" t="n">
        <v>14.47</v>
      </c>
      <c r="I1500" s="38" t="n">
        <v>2.41</v>
      </c>
      <c r="J1500" s="38" t="n">
        <v>14.76</v>
      </c>
      <c r="K1500" s="20" t="n">
        <v>0</v>
      </c>
      <c r="L1500" s="26">
        <f>IF(H1500&lt;=J1500,1,0)</f>
        <v>1</v>
      </c>
    </row>
    <row r="1501">
      <c r="A1501" s="24" t="inlineStr">
        <is>
          <t>QL-249-6</t>
        </is>
      </c>
      <c r="B1501" s="39" t="n">
        <v>45906</v>
      </c>
      <c r="C1501" s="40" t="inlineStr">
        <is>
          <t>进港</t>
        </is>
      </c>
      <c r="D1501" s="24" t="inlineStr">
        <is>
          <t>件杂货</t>
        </is>
      </c>
      <c r="E1501" s="24" t="inlineStr">
        <is>
          <t>东亚</t>
        </is>
      </c>
      <c r="F1501" s="24" t="inlineStr">
        <is>
          <t>06号泊位</t>
        </is>
      </c>
      <c r="G1501" s="25" t="n">
        <v>7558</v>
      </c>
      <c r="H1501" s="41" t="n">
        <v>11.96</v>
      </c>
      <c r="I1501" s="41" t="n">
        <v>5.27</v>
      </c>
      <c r="J1501" s="41" t="n">
        <v>12.39</v>
      </c>
      <c r="K1501" s="25" t="n">
        <v>0</v>
      </c>
      <c r="L1501" s="26">
        <f>IF(H1501&lt;=J1501,1,0)</f>
        <v>1</v>
      </c>
    </row>
    <row r="1502">
      <c r="A1502" s="19" t="inlineStr">
        <is>
          <t>QL-250-1</t>
        </is>
      </c>
      <c r="B1502" s="36" t="n">
        <v>45907</v>
      </c>
      <c r="C1502" s="37" t="inlineStr">
        <is>
          <t>进港</t>
        </is>
      </c>
      <c r="D1502" s="19" t="inlineStr">
        <is>
          <t>集装箱货物</t>
        </is>
      </c>
      <c r="E1502" s="19" t="inlineStr">
        <is>
          <t>东南亚</t>
        </is>
      </c>
      <c r="F1502" s="19" t="inlineStr">
        <is>
          <t>01号泊位</t>
        </is>
      </c>
      <c r="G1502" s="20" t="n">
        <v>12429</v>
      </c>
      <c r="H1502" s="38" t="n">
        <v>15.46</v>
      </c>
      <c r="I1502" s="38" t="n">
        <v>1.36</v>
      </c>
      <c r="J1502" s="38" t="n">
        <v>13.81</v>
      </c>
      <c r="K1502" s="20" t="n">
        <v>742</v>
      </c>
      <c r="L1502" s="26">
        <f>IF(H1502&lt;=J1502,1,0)</f>
        <v>0</v>
      </c>
    </row>
    <row r="1503">
      <c r="A1503" s="24" t="inlineStr">
        <is>
          <t>QL-250-2</t>
        </is>
      </c>
      <c r="B1503" s="39" t="n">
        <v>45907</v>
      </c>
      <c r="C1503" s="40" t="inlineStr">
        <is>
          <t>进港</t>
        </is>
      </c>
      <c r="D1503" s="24" t="inlineStr">
        <is>
          <t>金属矿石</t>
        </is>
      </c>
      <c r="E1503" s="24" t="inlineStr">
        <is>
          <t>国内沿海</t>
        </is>
      </c>
      <c r="F1503" s="24" t="inlineStr">
        <is>
          <t>02号泊位</t>
        </is>
      </c>
      <c r="G1503" s="25" t="n">
        <v>30578</v>
      </c>
      <c r="H1503" s="41" t="n">
        <v>16.86</v>
      </c>
      <c r="I1503" s="41" t="n">
        <v>3.92</v>
      </c>
      <c r="J1503" s="41" t="n">
        <v>19.73</v>
      </c>
      <c r="K1503" s="25" t="n">
        <v>0</v>
      </c>
      <c r="L1503" s="26">
        <f>IF(H1503&lt;=J1503,1,0)</f>
        <v>1</v>
      </c>
    </row>
    <row r="1504">
      <c r="A1504" s="19" t="inlineStr">
        <is>
          <t>QL-250-3</t>
        </is>
      </c>
      <c r="B1504" s="36" t="n">
        <v>45907</v>
      </c>
      <c r="C1504" s="37" t="inlineStr">
        <is>
          <t>出港</t>
        </is>
      </c>
      <c r="D1504" s="19" t="inlineStr">
        <is>
          <t>煤炭</t>
        </is>
      </c>
      <c r="E1504" s="19" t="inlineStr">
        <is>
          <t>东南亚</t>
        </is>
      </c>
      <c r="F1504" s="19" t="inlineStr">
        <is>
          <t>03号泊位</t>
        </is>
      </c>
      <c r="G1504" s="20" t="n">
        <v>23144</v>
      </c>
      <c r="H1504" s="38" t="n">
        <v>17.31</v>
      </c>
      <c r="I1504" s="38" t="n">
        <v>5.53</v>
      </c>
      <c r="J1504" s="38" t="n">
        <v>17.53</v>
      </c>
      <c r="K1504" s="20" t="n">
        <v>0</v>
      </c>
      <c r="L1504" s="26">
        <f>IF(H1504&lt;=J1504,1,0)</f>
        <v>1</v>
      </c>
    </row>
    <row r="1505">
      <c r="A1505" s="24" t="inlineStr">
        <is>
          <t>QL-250-4</t>
        </is>
      </c>
      <c r="B1505" s="39" t="n">
        <v>45907</v>
      </c>
      <c r="C1505" s="40" t="inlineStr">
        <is>
          <t>进港</t>
        </is>
      </c>
      <c r="D1505" s="24" t="inlineStr">
        <is>
          <t>粮食</t>
        </is>
      </c>
      <c r="E1505" s="24" t="inlineStr">
        <is>
          <t>国内沿海</t>
        </is>
      </c>
      <c r="F1505" s="24" t="inlineStr">
        <is>
          <t>04号泊位</t>
        </is>
      </c>
      <c r="G1505" s="25" t="n">
        <v>11769</v>
      </c>
      <c r="H1505" s="41" t="n">
        <v>10.59</v>
      </c>
      <c r="I1505" s="41" t="n">
        <v>1.53</v>
      </c>
      <c r="J1505" s="41" t="n">
        <v>11.54</v>
      </c>
      <c r="K1505" s="25" t="n">
        <v>0</v>
      </c>
      <c r="L1505" s="26">
        <f>IF(H1505&lt;=J1505,1,0)</f>
        <v>1</v>
      </c>
    </row>
    <row r="1506">
      <c r="A1506" s="19" t="inlineStr">
        <is>
          <t>QL-250-5</t>
        </is>
      </c>
      <c r="B1506" s="36" t="n">
        <v>45907</v>
      </c>
      <c r="C1506" s="37" t="inlineStr">
        <is>
          <t>进港</t>
        </is>
      </c>
      <c r="D1506" s="19" t="inlineStr">
        <is>
          <t>液体散货</t>
        </is>
      </c>
      <c r="E1506" s="19" t="inlineStr">
        <is>
          <t>东南亚</t>
        </is>
      </c>
      <c r="F1506" s="19" t="inlineStr">
        <is>
          <t>05号泊位</t>
        </is>
      </c>
      <c r="G1506" s="20" t="n">
        <v>15056</v>
      </c>
      <c r="H1506" s="38" t="n">
        <v>11.76</v>
      </c>
      <c r="I1506" s="38" t="n">
        <v>1.53</v>
      </c>
      <c r="J1506" s="38" t="n">
        <v>10.46</v>
      </c>
      <c r="K1506" s="20" t="n">
        <v>0</v>
      </c>
      <c r="L1506" s="26">
        <f>IF(H1506&lt;=J1506,1,0)</f>
        <v>0</v>
      </c>
    </row>
    <row r="1507">
      <c r="A1507" s="24" t="inlineStr">
        <is>
          <t>QL-250-6</t>
        </is>
      </c>
      <c r="B1507" s="39" t="n">
        <v>45907</v>
      </c>
      <c r="C1507" s="40" t="inlineStr">
        <is>
          <t>出港</t>
        </is>
      </c>
      <c r="D1507" s="24" t="inlineStr">
        <is>
          <t>件杂货</t>
        </is>
      </c>
      <c r="E1507" s="24" t="inlineStr">
        <is>
          <t>国内沿海</t>
        </is>
      </c>
      <c r="F1507" s="24" t="inlineStr">
        <is>
          <t>06号泊位</t>
        </is>
      </c>
      <c r="G1507" s="25" t="n">
        <v>5344</v>
      </c>
      <c r="H1507" s="41" t="n">
        <v>7.92</v>
      </c>
      <c r="I1507" s="41" t="n">
        <v>0.68</v>
      </c>
      <c r="J1507" s="41" t="n">
        <v>8.76</v>
      </c>
      <c r="K1507" s="25" t="n">
        <v>0</v>
      </c>
      <c r="L1507" s="26">
        <f>IF(H1507&lt;=J1507,1,0)</f>
        <v>1</v>
      </c>
    </row>
    <row r="1508">
      <c r="A1508" s="19" t="inlineStr">
        <is>
          <t>QL-251-1</t>
        </is>
      </c>
      <c r="B1508" s="36" t="n">
        <v>45908</v>
      </c>
      <c r="C1508" s="37" t="inlineStr">
        <is>
          <t>出港</t>
        </is>
      </c>
      <c r="D1508" s="19" t="inlineStr">
        <is>
          <t>集装箱货物</t>
        </is>
      </c>
      <c r="E1508" s="19" t="inlineStr">
        <is>
          <t>国内沿海</t>
        </is>
      </c>
      <c r="F1508" s="19" t="inlineStr">
        <is>
          <t>01号泊位</t>
        </is>
      </c>
      <c r="G1508" s="20" t="n">
        <v>14269</v>
      </c>
      <c r="H1508" s="38" t="n">
        <v>17.64</v>
      </c>
      <c r="I1508" s="38" t="n">
        <v>4.14</v>
      </c>
      <c r="J1508" s="38" t="n">
        <v>15.85</v>
      </c>
      <c r="K1508" s="20" t="n">
        <v>1106</v>
      </c>
      <c r="L1508" s="26">
        <f>IF(H1508&lt;=J1508,1,0)</f>
        <v>0</v>
      </c>
    </row>
    <row r="1509">
      <c r="A1509" s="24" t="inlineStr">
        <is>
          <t>QL-251-2</t>
        </is>
      </c>
      <c r="B1509" s="39" t="n">
        <v>45908</v>
      </c>
      <c r="C1509" s="40" t="inlineStr">
        <is>
          <t>进港</t>
        </is>
      </c>
      <c r="D1509" s="24" t="inlineStr">
        <is>
          <t>金属矿石</t>
        </is>
      </c>
      <c r="E1509" s="24" t="inlineStr">
        <is>
          <t>东南亚</t>
        </is>
      </c>
      <c r="F1509" s="24" t="inlineStr">
        <is>
          <t>02号泊位</t>
        </is>
      </c>
      <c r="G1509" s="25" t="n">
        <v>18156</v>
      </c>
      <c r="H1509" s="41" t="n">
        <v>11.71</v>
      </c>
      <c r="I1509" s="41" t="n">
        <v>2.13</v>
      </c>
      <c r="J1509" s="41" t="n">
        <v>11.71</v>
      </c>
      <c r="K1509" s="25" t="n">
        <v>0</v>
      </c>
      <c r="L1509" s="26">
        <f>IF(H1509&lt;=J1509,1,0)</f>
        <v>1</v>
      </c>
    </row>
    <row r="1510">
      <c r="A1510" s="19" t="inlineStr">
        <is>
          <t>QL-251-3</t>
        </is>
      </c>
      <c r="B1510" s="36" t="n">
        <v>45908</v>
      </c>
      <c r="C1510" s="37" t="inlineStr">
        <is>
          <t>进港</t>
        </is>
      </c>
      <c r="D1510" s="19" t="inlineStr">
        <is>
          <t>煤炭</t>
        </is>
      </c>
      <c r="E1510" s="19" t="inlineStr">
        <is>
          <t>北美</t>
        </is>
      </c>
      <c r="F1510" s="19" t="inlineStr">
        <is>
          <t>03号泊位</t>
        </is>
      </c>
      <c r="G1510" s="20" t="n">
        <v>22240</v>
      </c>
      <c r="H1510" s="38" t="n">
        <v>16.38</v>
      </c>
      <c r="I1510" s="38" t="n">
        <v>2.68</v>
      </c>
      <c r="J1510" s="38" t="n">
        <v>16.85</v>
      </c>
      <c r="K1510" s="20" t="n">
        <v>0</v>
      </c>
      <c r="L1510" s="26">
        <f>IF(H1510&lt;=J1510,1,0)</f>
        <v>1</v>
      </c>
    </row>
    <row r="1511">
      <c r="A1511" s="24" t="inlineStr">
        <is>
          <t>QL-251-4</t>
        </is>
      </c>
      <c r="B1511" s="39" t="n">
        <v>45908</v>
      </c>
      <c r="C1511" s="40" t="inlineStr">
        <is>
          <t>进港</t>
        </is>
      </c>
      <c r="D1511" s="24" t="inlineStr">
        <is>
          <t>粮食</t>
        </is>
      </c>
      <c r="E1511" s="24" t="inlineStr">
        <is>
          <t>东南亚</t>
        </is>
      </c>
      <c r="F1511" s="24" t="inlineStr">
        <is>
          <t>04号泊位</t>
        </is>
      </c>
      <c r="G1511" s="25" t="n">
        <v>6917</v>
      </c>
      <c r="H1511" s="41" t="n">
        <v>6.25</v>
      </c>
      <c r="I1511" s="41" t="n">
        <v>1.68</v>
      </c>
      <c r="J1511" s="41" t="n">
        <v>6.78</v>
      </c>
      <c r="K1511" s="25" t="n">
        <v>0</v>
      </c>
      <c r="L1511" s="26">
        <f>IF(H1511&lt;=J1511,1,0)</f>
        <v>1</v>
      </c>
    </row>
    <row r="1512">
      <c r="A1512" s="19" t="inlineStr">
        <is>
          <t>QL-251-5</t>
        </is>
      </c>
      <c r="B1512" s="36" t="n">
        <v>45908</v>
      </c>
      <c r="C1512" s="37" t="inlineStr">
        <is>
          <t>进港</t>
        </is>
      </c>
      <c r="D1512" s="19" t="inlineStr">
        <is>
          <t>液体散货</t>
        </is>
      </c>
      <c r="E1512" s="19" t="inlineStr">
        <is>
          <t>东南亚</t>
        </is>
      </c>
      <c r="F1512" s="19" t="inlineStr">
        <is>
          <t>05号泊位</t>
        </is>
      </c>
      <c r="G1512" s="20" t="n">
        <v>17327</v>
      </c>
      <c r="H1512" s="38" t="n">
        <v>12.68</v>
      </c>
      <c r="I1512" s="38" t="n">
        <v>1.57</v>
      </c>
      <c r="J1512" s="38" t="n">
        <v>12.03</v>
      </c>
      <c r="K1512" s="20" t="n">
        <v>0</v>
      </c>
      <c r="L1512" s="26">
        <f>IF(H1512&lt;=J1512,1,0)</f>
        <v>0</v>
      </c>
    </row>
    <row r="1513">
      <c r="A1513" s="24" t="inlineStr">
        <is>
          <t>QL-251-6</t>
        </is>
      </c>
      <c r="B1513" s="39" t="n">
        <v>45908</v>
      </c>
      <c r="C1513" s="40" t="inlineStr">
        <is>
          <t>进港</t>
        </is>
      </c>
      <c r="D1513" s="24" t="inlineStr">
        <is>
          <t>件杂货</t>
        </is>
      </c>
      <c r="E1513" s="24" t="inlineStr">
        <is>
          <t>东亚</t>
        </is>
      </c>
      <c r="F1513" s="24" t="inlineStr">
        <is>
          <t>06号泊位</t>
        </is>
      </c>
      <c r="G1513" s="25" t="n">
        <v>6002</v>
      </c>
      <c r="H1513" s="41" t="n">
        <v>11.53</v>
      </c>
      <c r="I1513" s="41" t="n">
        <v>1.15</v>
      </c>
      <c r="J1513" s="41" t="n">
        <v>9.84</v>
      </c>
      <c r="K1513" s="25" t="n">
        <v>0</v>
      </c>
      <c r="L1513" s="26">
        <f>IF(H1513&lt;=J1513,1,0)</f>
        <v>0</v>
      </c>
    </row>
    <row r="1514">
      <c r="A1514" s="19" t="inlineStr">
        <is>
          <t>QL-252-1</t>
        </is>
      </c>
      <c r="B1514" s="36" t="n">
        <v>45909</v>
      </c>
      <c r="C1514" s="37" t="inlineStr">
        <is>
          <t>进港</t>
        </is>
      </c>
      <c r="D1514" s="19" t="inlineStr">
        <is>
          <t>集装箱货物</t>
        </is>
      </c>
      <c r="E1514" s="19" t="inlineStr">
        <is>
          <t>东南亚</t>
        </is>
      </c>
      <c r="F1514" s="19" t="inlineStr">
        <is>
          <t>01号泊位</t>
        </is>
      </c>
      <c r="G1514" s="20" t="n">
        <v>10026</v>
      </c>
      <c r="H1514" s="38" t="n">
        <v>12.23</v>
      </c>
      <c r="I1514" s="38" t="n">
        <v>2.21</v>
      </c>
      <c r="J1514" s="38" t="n">
        <v>11.14</v>
      </c>
      <c r="K1514" s="20" t="n">
        <v>613</v>
      </c>
      <c r="L1514" s="26">
        <f>IF(H1514&lt;=J1514,1,0)</f>
        <v>0</v>
      </c>
    </row>
    <row r="1515">
      <c r="A1515" s="24" t="inlineStr">
        <is>
          <t>QL-252-2</t>
        </is>
      </c>
      <c r="B1515" s="39" t="n">
        <v>45909</v>
      </c>
      <c r="C1515" s="40" t="inlineStr">
        <is>
          <t>进港</t>
        </is>
      </c>
      <c r="D1515" s="24" t="inlineStr">
        <is>
          <t>金属矿石</t>
        </is>
      </c>
      <c r="E1515" s="24" t="inlineStr">
        <is>
          <t>东亚</t>
        </is>
      </c>
      <c r="F1515" s="24" t="inlineStr">
        <is>
          <t>02号泊位</t>
        </is>
      </c>
      <c r="G1515" s="25" t="n">
        <v>19930</v>
      </c>
      <c r="H1515" s="41" t="n">
        <v>10.78</v>
      </c>
      <c r="I1515" s="41" t="n">
        <v>1.43</v>
      </c>
      <c r="J1515" s="41" t="n">
        <v>12.86</v>
      </c>
      <c r="K1515" s="25" t="n">
        <v>0</v>
      </c>
      <c r="L1515" s="26">
        <f>IF(H1515&lt;=J1515,1,0)</f>
        <v>1</v>
      </c>
    </row>
    <row r="1516">
      <c r="A1516" s="19" t="inlineStr">
        <is>
          <t>QL-252-3</t>
        </is>
      </c>
      <c r="B1516" s="36" t="n">
        <v>45909</v>
      </c>
      <c r="C1516" s="37" t="inlineStr">
        <is>
          <t>进港</t>
        </is>
      </c>
      <c r="D1516" s="19" t="inlineStr">
        <is>
          <t>煤炭</t>
        </is>
      </c>
      <c r="E1516" s="19" t="inlineStr">
        <is>
          <t>东亚</t>
        </is>
      </c>
      <c r="F1516" s="19" t="inlineStr">
        <is>
          <t>03号泊位</t>
        </is>
      </c>
      <c r="G1516" s="20" t="n">
        <v>14973</v>
      </c>
      <c r="H1516" s="38" t="n">
        <v>10.98</v>
      </c>
      <c r="I1516" s="38" t="n">
        <v>2.33</v>
      </c>
      <c r="J1516" s="38" t="n">
        <v>11.34</v>
      </c>
      <c r="K1516" s="20" t="n">
        <v>0</v>
      </c>
      <c r="L1516" s="26">
        <f>IF(H1516&lt;=J1516,1,0)</f>
        <v>1</v>
      </c>
    </row>
    <row r="1517">
      <c r="A1517" s="24" t="inlineStr">
        <is>
          <t>QL-252-4</t>
        </is>
      </c>
      <c r="B1517" s="39" t="n">
        <v>45909</v>
      </c>
      <c r="C1517" s="40" t="inlineStr">
        <is>
          <t>出港</t>
        </is>
      </c>
      <c r="D1517" s="24" t="inlineStr">
        <is>
          <t>粮食</t>
        </is>
      </c>
      <c r="E1517" s="24" t="inlineStr">
        <is>
          <t>东南亚</t>
        </is>
      </c>
      <c r="F1517" s="24" t="inlineStr">
        <is>
          <t>04号泊位</t>
        </is>
      </c>
      <c r="G1517" s="25" t="n">
        <v>15737</v>
      </c>
      <c r="H1517" s="41" t="n">
        <v>17.33</v>
      </c>
      <c r="I1517" s="41" t="n">
        <v>2.23</v>
      </c>
      <c r="J1517" s="41" t="n">
        <v>15.43</v>
      </c>
      <c r="K1517" s="25" t="n">
        <v>0</v>
      </c>
      <c r="L1517" s="26">
        <f>IF(H1517&lt;=J1517,1,0)</f>
        <v>0</v>
      </c>
    </row>
    <row r="1518">
      <c r="A1518" s="19" t="inlineStr">
        <is>
          <t>QL-252-5</t>
        </is>
      </c>
      <c r="B1518" s="36" t="n">
        <v>45909</v>
      </c>
      <c r="C1518" s="37" t="inlineStr">
        <is>
          <t>进港</t>
        </is>
      </c>
      <c r="D1518" s="19" t="inlineStr">
        <is>
          <t>液体散货</t>
        </is>
      </c>
      <c r="E1518" s="19" t="inlineStr">
        <is>
          <t>东南亚</t>
        </is>
      </c>
      <c r="F1518" s="19" t="inlineStr">
        <is>
          <t>05号泊位</t>
        </is>
      </c>
      <c r="G1518" s="20" t="n">
        <v>18871</v>
      </c>
      <c r="H1518" s="38" t="n">
        <v>11.99</v>
      </c>
      <c r="I1518" s="38" t="n">
        <v>0.58</v>
      </c>
      <c r="J1518" s="38" t="n">
        <v>13.1</v>
      </c>
      <c r="K1518" s="20" t="n">
        <v>0</v>
      </c>
      <c r="L1518" s="26">
        <f>IF(H1518&lt;=J1518,1,0)</f>
        <v>1</v>
      </c>
    </row>
    <row r="1519">
      <c r="A1519" s="24" t="inlineStr">
        <is>
          <t>QL-252-6</t>
        </is>
      </c>
      <c r="B1519" s="39" t="n">
        <v>45909</v>
      </c>
      <c r="C1519" s="40" t="inlineStr">
        <is>
          <t>出港</t>
        </is>
      </c>
      <c r="D1519" s="24" t="inlineStr">
        <is>
          <t>件杂货</t>
        </is>
      </c>
      <c r="E1519" s="24" t="inlineStr">
        <is>
          <t>国内沿海</t>
        </is>
      </c>
      <c r="F1519" s="24" t="inlineStr">
        <is>
          <t>06号泊位</t>
        </is>
      </c>
      <c r="G1519" s="25" t="n">
        <v>7805</v>
      </c>
      <c r="H1519" s="41" t="n">
        <v>11.4</v>
      </c>
      <c r="I1519" s="41" t="n">
        <v>0.3</v>
      </c>
      <c r="J1519" s="41" t="n">
        <v>12.8</v>
      </c>
      <c r="K1519" s="25" t="n">
        <v>0</v>
      </c>
      <c r="L1519" s="26">
        <f>IF(H1519&lt;=J1519,1,0)</f>
        <v>1</v>
      </c>
    </row>
    <row r="1520">
      <c r="A1520" s="19" t="inlineStr">
        <is>
          <t>QL-253-1</t>
        </is>
      </c>
      <c r="B1520" s="36" t="n">
        <v>45910</v>
      </c>
      <c r="C1520" s="37" t="inlineStr">
        <is>
          <t>出港</t>
        </is>
      </c>
      <c r="D1520" s="19" t="inlineStr">
        <is>
          <t>集装箱货物</t>
        </is>
      </c>
      <c r="E1520" s="19" t="inlineStr">
        <is>
          <t>国内沿海</t>
        </is>
      </c>
      <c r="F1520" s="19" t="inlineStr">
        <is>
          <t>01号泊位</t>
        </is>
      </c>
      <c r="G1520" s="20" t="n">
        <v>16790</v>
      </c>
      <c r="H1520" s="38" t="n">
        <v>19.64</v>
      </c>
      <c r="I1520" s="38" t="n">
        <v>0.3</v>
      </c>
      <c r="J1520" s="38" t="n">
        <v>18.66</v>
      </c>
      <c r="K1520" s="20" t="n">
        <v>1250</v>
      </c>
      <c r="L1520" s="26">
        <f>IF(H1520&lt;=J1520,1,0)</f>
        <v>0</v>
      </c>
    </row>
    <row r="1521">
      <c r="A1521" s="24" t="inlineStr">
        <is>
          <t>QL-253-2</t>
        </is>
      </c>
      <c r="B1521" s="39" t="n">
        <v>45910</v>
      </c>
      <c r="C1521" s="40" t="inlineStr">
        <is>
          <t>进港</t>
        </is>
      </c>
      <c r="D1521" s="24" t="inlineStr">
        <is>
          <t>金属矿石</t>
        </is>
      </c>
      <c r="E1521" s="24" t="inlineStr">
        <is>
          <t>国内沿海</t>
        </is>
      </c>
      <c r="F1521" s="24" t="inlineStr">
        <is>
          <t>02号泊位</t>
        </is>
      </c>
      <c r="G1521" s="25" t="n">
        <v>19297</v>
      </c>
      <c r="H1521" s="41" t="n">
        <v>12.87</v>
      </c>
      <c r="I1521" s="41" t="n">
        <v>3.05</v>
      </c>
      <c r="J1521" s="41" t="n">
        <v>12.45</v>
      </c>
      <c r="K1521" s="25" t="n">
        <v>0</v>
      </c>
      <c r="L1521" s="26">
        <f>IF(H1521&lt;=J1521,1,0)</f>
        <v>0</v>
      </c>
    </row>
    <row r="1522">
      <c r="A1522" s="19" t="inlineStr">
        <is>
          <t>QL-253-3</t>
        </is>
      </c>
      <c r="B1522" s="36" t="n">
        <v>45910</v>
      </c>
      <c r="C1522" s="37" t="inlineStr">
        <is>
          <t>出港</t>
        </is>
      </c>
      <c r="D1522" s="19" t="inlineStr">
        <is>
          <t>煤炭</t>
        </is>
      </c>
      <c r="E1522" s="19" t="inlineStr">
        <is>
          <t>北美</t>
        </is>
      </c>
      <c r="F1522" s="19" t="inlineStr">
        <is>
          <t>03号泊位</t>
        </is>
      </c>
      <c r="G1522" s="20" t="n">
        <v>18562</v>
      </c>
      <c r="H1522" s="38" t="n">
        <v>15</v>
      </c>
      <c r="I1522" s="38" t="n">
        <v>7.97</v>
      </c>
      <c r="J1522" s="38" t="n">
        <v>14.06</v>
      </c>
      <c r="K1522" s="20" t="n">
        <v>0</v>
      </c>
      <c r="L1522" s="26">
        <f>IF(H1522&lt;=J1522,1,0)</f>
        <v>0</v>
      </c>
    </row>
    <row r="1523">
      <c r="A1523" s="24" t="inlineStr">
        <is>
          <t>QL-253-4</t>
        </is>
      </c>
      <c r="B1523" s="39" t="n">
        <v>45910</v>
      </c>
      <c r="C1523" s="40" t="inlineStr">
        <is>
          <t>进港</t>
        </is>
      </c>
      <c r="D1523" s="24" t="inlineStr">
        <is>
          <t>粮食</t>
        </is>
      </c>
      <c r="E1523" s="24" t="inlineStr">
        <is>
          <t>东南亚</t>
        </is>
      </c>
      <c r="F1523" s="24" t="inlineStr">
        <is>
          <t>04号泊位</t>
        </is>
      </c>
      <c r="G1523" s="25" t="n">
        <v>8522</v>
      </c>
      <c r="H1523" s="41" t="n">
        <v>7.8</v>
      </c>
      <c r="I1523" s="41" t="n">
        <v>2.23</v>
      </c>
      <c r="J1523" s="41" t="n">
        <v>8.35</v>
      </c>
      <c r="K1523" s="25" t="n">
        <v>0</v>
      </c>
      <c r="L1523" s="26">
        <f>IF(H1523&lt;=J1523,1,0)</f>
        <v>1</v>
      </c>
    </row>
    <row r="1524">
      <c r="A1524" s="19" t="inlineStr">
        <is>
          <t>QL-253-5</t>
        </is>
      </c>
      <c r="B1524" s="36" t="n">
        <v>45910</v>
      </c>
      <c r="C1524" s="37" t="inlineStr">
        <is>
          <t>进港</t>
        </is>
      </c>
      <c r="D1524" s="19" t="inlineStr">
        <is>
          <t>液体散货</t>
        </is>
      </c>
      <c r="E1524" s="19" t="inlineStr">
        <is>
          <t>北美</t>
        </is>
      </c>
      <c r="F1524" s="19" t="inlineStr">
        <is>
          <t>05号泊位</t>
        </is>
      </c>
      <c r="G1524" s="20" t="n">
        <v>18013</v>
      </c>
      <c r="H1524" s="38" t="n">
        <v>14.32</v>
      </c>
      <c r="I1524" s="38" t="n">
        <v>5.64</v>
      </c>
      <c r="J1524" s="38" t="n">
        <v>12.51</v>
      </c>
      <c r="K1524" s="20" t="n">
        <v>0</v>
      </c>
      <c r="L1524" s="26">
        <f>IF(H1524&lt;=J1524,1,0)</f>
        <v>0</v>
      </c>
    </row>
    <row r="1525">
      <c r="A1525" s="24" t="inlineStr">
        <is>
          <t>QL-253-6</t>
        </is>
      </c>
      <c r="B1525" s="39" t="n">
        <v>45910</v>
      </c>
      <c r="C1525" s="40" t="inlineStr">
        <is>
          <t>进港</t>
        </is>
      </c>
      <c r="D1525" s="24" t="inlineStr">
        <is>
          <t>件杂货</t>
        </is>
      </c>
      <c r="E1525" s="24" t="inlineStr">
        <is>
          <t>东亚</t>
        </is>
      </c>
      <c r="F1525" s="24" t="inlineStr">
        <is>
          <t>06号泊位</t>
        </is>
      </c>
      <c r="G1525" s="25" t="n">
        <v>3978</v>
      </c>
      <c r="H1525" s="41" t="n">
        <v>6.43</v>
      </c>
      <c r="I1525" s="41" t="n">
        <v>1.01</v>
      </c>
      <c r="J1525" s="41" t="n">
        <v>6.52</v>
      </c>
      <c r="K1525" s="25" t="n">
        <v>0</v>
      </c>
      <c r="L1525" s="26">
        <f>IF(H1525&lt;=J1525,1,0)</f>
        <v>1</v>
      </c>
    </row>
    <row r="1526">
      <c r="A1526" s="19" t="inlineStr">
        <is>
          <t>QL-254-1</t>
        </is>
      </c>
      <c r="B1526" s="36" t="n">
        <v>45911</v>
      </c>
      <c r="C1526" s="37" t="inlineStr">
        <is>
          <t>出港</t>
        </is>
      </c>
      <c r="D1526" s="19" t="inlineStr">
        <is>
          <t>集装箱货物</t>
        </is>
      </c>
      <c r="E1526" s="19" t="inlineStr">
        <is>
          <t>东南亚</t>
        </is>
      </c>
      <c r="F1526" s="19" t="inlineStr">
        <is>
          <t>01号泊位</t>
        </is>
      </c>
      <c r="G1526" s="20" t="n">
        <v>10668</v>
      </c>
      <c r="H1526" s="38" t="n">
        <v>12.16</v>
      </c>
      <c r="I1526" s="38" t="n">
        <v>1.09</v>
      </c>
      <c r="J1526" s="38" t="n">
        <v>11.85</v>
      </c>
      <c r="K1526" s="20" t="n">
        <v>810</v>
      </c>
      <c r="L1526" s="26">
        <f>IF(H1526&lt;=J1526,1,0)</f>
        <v>0</v>
      </c>
    </row>
    <row r="1527">
      <c r="A1527" s="24" t="inlineStr">
        <is>
          <t>QL-254-2</t>
        </is>
      </c>
      <c r="B1527" s="39" t="n">
        <v>45911</v>
      </c>
      <c r="C1527" s="40" t="inlineStr">
        <is>
          <t>进港</t>
        </is>
      </c>
      <c r="D1527" s="24" t="inlineStr">
        <is>
          <t>金属矿石</t>
        </is>
      </c>
      <c r="E1527" s="24" t="inlineStr">
        <is>
          <t>东南亚</t>
        </is>
      </c>
      <c r="F1527" s="24" t="inlineStr">
        <is>
          <t>02号泊位</t>
        </is>
      </c>
      <c r="G1527" s="25" t="n">
        <v>26420</v>
      </c>
      <c r="H1527" s="41" t="n">
        <v>14.25</v>
      </c>
      <c r="I1527" s="41" t="n">
        <v>5.06</v>
      </c>
      <c r="J1527" s="41" t="n">
        <v>17.05</v>
      </c>
      <c r="K1527" s="25" t="n">
        <v>0</v>
      </c>
      <c r="L1527" s="26">
        <f>IF(H1527&lt;=J1527,1,0)</f>
        <v>1</v>
      </c>
    </row>
    <row r="1528">
      <c r="A1528" s="19" t="inlineStr">
        <is>
          <t>QL-254-3</t>
        </is>
      </c>
      <c r="B1528" s="36" t="n">
        <v>45911</v>
      </c>
      <c r="C1528" s="37" t="inlineStr">
        <is>
          <t>进港</t>
        </is>
      </c>
      <c r="D1528" s="19" t="inlineStr">
        <is>
          <t>煤炭</t>
        </is>
      </c>
      <c r="E1528" s="19" t="inlineStr">
        <is>
          <t>东亚</t>
        </is>
      </c>
      <c r="F1528" s="19" t="inlineStr">
        <is>
          <t>03号泊位</t>
        </is>
      </c>
      <c r="G1528" s="20" t="n">
        <v>16399</v>
      </c>
      <c r="H1528" s="38" t="n">
        <v>14.11</v>
      </c>
      <c r="I1528" s="38" t="n">
        <v>0.62</v>
      </c>
      <c r="J1528" s="38" t="n">
        <v>12.42</v>
      </c>
      <c r="K1528" s="20" t="n">
        <v>0</v>
      </c>
      <c r="L1528" s="26">
        <f>IF(H1528&lt;=J1528,1,0)</f>
        <v>0</v>
      </c>
    </row>
    <row r="1529">
      <c r="A1529" s="24" t="inlineStr">
        <is>
          <t>QL-254-4</t>
        </is>
      </c>
      <c r="B1529" s="39" t="n">
        <v>45911</v>
      </c>
      <c r="C1529" s="40" t="inlineStr">
        <is>
          <t>进港</t>
        </is>
      </c>
      <c r="D1529" s="24" t="inlineStr">
        <is>
          <t>粮食</t>
        </is>
      </c>
      <c r="E1529" s="24" t="inlineStr">
        <is>
          <t>国内沿海</t>
        </is>
      </c>
      <c r="F1529" s="24" t="inlineStr">
        <is>
          <t>04号泊位</t>
        </is>
      </c>
      <c r="G1529" s="25" t="n">
        <v>12646</v>
      </c>
      <c r="H1529" s="41" t="n">
        <v>11.6</v>
      </c>
      <c r="I1529" s="41" t="n">
        <v>3.52</v>
      </c>
      <c r="J1529" s="41" t="n">
        <v>12.4</v>
      </c>
      <c r="K1529" s="25" t="n">
        <v>0</v>
      </c>
      <c r="L1529" s="26">
        <f>IF(H1529&lt;=J1529,1,0)</f>
        <v>1</v>
      </c>
    </row>
    <row r="1530">
      <c r="A1530" s="19" t="inlineStr">
        <is>
          <t>QL-254-5</t>
        </is>
      </c>
      <c r="B1530" s="36" t="n">
        <v>45911</v>
      </c>
      <c r="C1530" s="37" t="inlineStr">
        <is>
          <t>进港</t>
        </is>
      </c>
      <c r="D1530" s="19" t="inlineStr">
        <is>
          <t>液体散货</t>
        </is>
      </c>
      <c r="E1530" s="19" t="inlineStr">
        <is>
          <t>北美</t>
        </is>
      </c>
      <c r="F1530" s="19" t="inlineStr">
        <is>
          <t>05号泊位</t>
        </is>
      </c>
      <c r="G1530" s="20" t="n">
        <v>13498</v>
      </c>
      <c r="H1530" s="38" t="n">
        <v>7.82</v>
      </c>
      <c r="I1530" s="38" t="n">
        <v>1.26</v>
      </c>
      <c r="J1530" s="38" t="n">
        <v>9.369999999999999</v>
      </c>
      <c r="K1530" s="20" t="n">
        <v>0</v>
      </c>
      <c r="L1530" s="26">
        <f>IF(H1530&lt;=J1530,1,0)</f>
        <v>1</v>
      </c>
    </row>
    <row r="1531">
      <c r="A1531" s="24" t="inlineStr">
        <is>
          <t>QL-254-6</t>
        </is>
      </c>
      <c r="B1531" s="39" t="n">
        <v>45911</v>
      </c>
      <c r="C1531" s="40" t="inlineStr">
        <is>
          <t>进港</t>
        </is>
      </c>
      <c r="D1531" s="24" t="inlineStr">
        <is>
          <t>件杂货</t>
        </is>
      </c>
      <c r="E1531" s="24" t="inlineStr">
        <is>
          <t>欧洲</t>
        </is>
      </c>
      <c r="F1531" s="24" t="inlineStr">
        <is>
          <t>06号泊位</t>
        </is>
      </c>
      <c r="G1531" s="25" t="n">
        <v>6384</v>
      </c>
      <c r="H1531" s="41" t="n">
        <v>11.46</v>
      </c>
      <c r="I1531" s="41" t="n">
        <v>1.19</v>
      </c>
      <c r="J1531" s="41" t="n">
        <v>10.47</v>
      </c>
      <c r="K1531" s="25" t="n">
        <v>0</v>
      </c>
      <c r="L1531" s="26">
        <f>IF(H1531&lt;=J1531,1,0)</f>
        <v>0</v>
      </c>
    </row>
    <row r="1532">
      <c r="A1532" s="19" t="inlineStr">
        <is>
          <t>QL-255-1</t>
        </is>
      </c>
      <c r="B1532" s="36" t="n">
        <v>45912</v>
      </c>
      <c r="C1532" s="37" t="inlineStr">
        <is>
          <t>出港</t>
        </is>
      </c>
      <c r="D1532" s="19" t="inlineStr">
        <is>
          <t>集装箱货物</t>
        </is>
      </c>
      <c r="E1532" s="19" t="inlineStr">
        <is>
          <t>东亚</t>
        </is>
      </c>
      <c r="F1532" s="19" t="inlineStr">
        <is>
          <t>01号泊位</t>
        </is>
      </c>
      <c r="G1532" s="20" t="n">
        <v>7288</v>
      </c>
      <c r="H1532" s="38" t="n">
        <v>9.85</v>
      </c>
      <c r="I1532" s="38" t="n">
        <v>1.18</v>
      </c>
      <c r="J1532" s="38" t="n">
        <v>8.1</v>
      </c>
      <c r="K1532" s="20" t="n">
        <v>448</v>
      </c>
      <c r="L1532" s="26">
        <f>IF(H1532&lt;=J1532,1,0)</f>
        <v>0</v>
      </c>
    </row>
    <row r="1533">
      <c r="A1533" s="24" t="inlineStr">
        <is>
          <t>QL-255-2</t>
        </is>
      </c>
      <c r="B1533" s="39" t="n">
        <v>45912</v>
      </c>
      <c r="C1533" s="40" t="inlineStr">
        <is>
          <t>进港</t>
        </is>
      </c>
      <c r="D1533" s="24" t="inlineStr">
        <is>
          <t>金属矿石</t>
        </is>
      </c>
      <c r="E1533" s="24" t="inlineStr">
        <is>
          <t>东亚</t>
        </is>
      </c>
      <c r="F1533" s="24" t="inlineStr">
        <is>
          <t>02号泊位</t>
        </is>
      </c>
      <c r="G1533" s="25" t="n">
        <v>35892</v>
      </c>
      <c r="H1533" s="41" t="n">
        <v>21.85</v>
      </c>
      <c r="I1533" s="41" t="n">
        <v>0.47</v>
      </c>
      <c r="J1533" s="41" t="n">
        <v>23.16</v>
      </c>
      <c r="K1533" s="25" t="n">
        <v>0</v>
      </c>
      <c r="L1533" s="26">
        <f>IF(H1533&lt;=J1533,1,0)</f>
        <v>1</v>
      </c>
    </row>
    <row r="1534">
      <c r="A1534" s="19" t="inlineStr">
        <is>
          <t>QL-255-3</t>
        </is>
      </c>
      <c r="B1534" s="36" t="n">
        <v>45912</v>
      </c>
      <c r="C1534" s="37" t="inlineStr">
        <is>
          <t>进港</t>
        </is>
      </c>
      <c r="D1534" s="19" t="inlineStr">
        <is>
          <t>煤炭</t>
        </is>
      </c>
      <c r="E1534" s="19" t="inlineStr">
        <is>
          <t>国内沿海</t>
        </is>
      </c>
      <c r="F1534" s="19" t="inlineStr">
        <is>
          <t>03号泊位</t>
        </is>
      </c>
      <c r="G1534" s="20" t="n">
        <v>10451</v>
      </c>
      <c r="H1534" s="38" t="n">
        <v>8.98</v>
      </c>
      <c r="I1534" s="38" t="n">
        <v>1.33</v>
      </c>
      <c r="J1534" s="38" t="n">
        <v>7.92</v>
      </c>
      <c r="K1534" s="20" t="n">
        <v>0</v>
      </c>
      <c r="L1534" s="26">
        <f>IF(H1534&lt;=J1534,1,0)</f>
        <v>0</v>
      </c>
    </row>
    <row r="1535">
      <c r="A1535" s="24" t="inlineStr">
        <is>
          <t>QL-255-4</t>
        </is>
      </c>
      <c r="B1535" s="39" t="n">
        <v>45912</v>
      </c>
      <c r="C1535" s="40" t="inlineStr">
        <is>
          <t>进港</t>
        </is>
      </c>
      <c r="D1535" s="24" t="inlineStr">
        <is>
          <t>粮食</t>
        </is>
      </c>
      <c r="E1535" s="24" t="inlineStr">
        <is>
          <t>国内沿海</t>
        </is>
      </c>
      <c r="F1535" s="24" t="inlineStr">
        <is>
          <t>04号泊位</t>
        </is>
      </c>
      <c r="G1535" s="25" t="n">
        <v>13918</v>
      </c>
      <c r="H1535" s="41" t="n">
        <v>13</v>
      </c>
      <c r="I1535" s="41" t="n">
        <v>1.41</v>
      </c>
      <c r="J1535" s="41" t="n">
        <v>13.65</v>
      </c>
      <c r="K1535" s="25" t="n">
        <v>0</v>
      </c>
      <c r="L1535" s="26">
        <f>IF(H1535&lt;=J1535,1,0)</f>
        <v>1</v>
      </c>
    </row>
    <row r="1536">
      <c r="A1536" s="19" t="inlineStr">
        <is>
          <t>QL-255-5</t>
        </is>
      </c>
      <c r="B1536" s="36" t="n">
        <v>45912</v>
      </c>
      <c r="C1536" s="37" t="inlineStr">
        <is>
          <t>出港</t>
        </is>
      </c>
      <c r="D1536" s="19" t="inlineStr">
        <is>
          <t>液体散货</t>
        </is>
      </c>
      <c r="E1536" s="19" t="inlineStr">
        <is>
          <t>东南亚</t>
        </is>
      </c>
      <c r="F1536" s="19" t="inlineStr">
        <is>
          <t>05号泊位</t>
        </is>
      </c>
      <c r="G1536" s="20" t="n">
        <v>16977</v>
      </c>
      <c r="H1536" s="38" t="n">
        <v>11.97</v>
      </c>
      <c r="I1536" s="38" t="n">
        <v>2.27</v>
      </c>
      <c r="J1536" s="38" t="n">
        <v>11.79</v>
      </c>
      <c r="K1536" s="20" t="n">
        <v>0</v>
      </c>
      <c r="L1536" s="26">
        <f>IF(H1536&lt;=J1536,1,0)</f>
        <v>0</v>
      </c>
    </row>
    <row r="1537">
      <c r="A1537" s="24" t="inlineStr">
        <is>
          <t>QL-255-6</t>
        </is>
      </c>
      <c r="B1537" s="39" t="n">
        <v>45912</v>
      </c>
      <c r="C1537" s="40" t="inlineStr">
        <is>
          <t>出港</t>
        </is>
      </c>
      <c r="D1537" s="24" t="inlineStr">
        <is>
          <t>件杂货</t>
        </is>
      </c>
      <c r="E1537" s="24" t="inlineStr">
        <is>
          <t>欧洲</t>
        </is>
      </c>
      <c r="F1537" s="24" t="inlineStr">
        <is>
          <t>06号泊位</t>
        </is>
      </c>
      <c r="G1537" s="25" t="n">
        <v>5699</v>
      </c>
      <c r="H1537" s="41" t="n">
        <v>8.710000000000001</v>
      </c>
      <c r="I1537" s="41" t="n">
        <v>3.42</v>
      </c>
      <c r="J1537" s="41" t="n">
        <v>9.34</v>
      </c>
      <c r="K1537" s="25" t="n">
        <v>0</v>
      </c>
      <c r="L1537" s="26">
        <f>IF(H1537&lt;=J1537,1,0)</f>
        <v>1</v>
      </c>
    </row>
    <row r="1538">
      <c r="A1538" s="19" t="inlineStr">
        <is>
          <t>QL-256-1</t>
        </is>
      </c>
      <c r="B1538" s="36" t="n">
        <v>45913</v>
      </c>
      <c r="C1538" s="37" t="inlineStr">
        <is>
          <t>出港</t>
        </is>
      </c>
      <c r="D1538" s="19" t="inlineStr">
        <is>
          <t>集装箱货物</t>
        </is>
      </c>
      <c r="E1538" s="19" t="inlineStr">
        <is>
          <t>东南亚</t>
        </is>
      </c>
      <c r="F1538" s="19" t="inlineStr">
        <is>
          <t>01号泊位</t>
        </is>
      </c>
      <c r="G1538" s="20" t="n">
        <v>8498</v>
      </c>
      <c r="H1538" s="38" t="n">
        <v>8.460000000000001</v>
      </c>
      <c r="I1538" s="38" t="n">
        <v>1.07</v>
      </c>
      <c r="J1538" s="38" t="n">
        <v>9.44</v>
      </c>
      <c r="K1538" s="20" t="n">
        <v>586</v>
      </c>
      <c r="L1538" s="26">
        <f>IF(H1538&lt;=J1538,1,0)</f>
        <v>1</v>
      </c>
    </row>
    <row r="1539">
      <c r="A1539" s="24" t="inlineStr">
        <is>
          <t>QL-256-2</t>
        </is>
      </c>
      <c r="B1539" s="39" t="n">
        <v>45913</v>
      </c>
      <c r="C1539" s="40" t="inlineStr">
        <is>
          <t>进港</t>
        </is>
      </c>
      <c r="D1539" s="24" t="inlineStr">
        <is>
          <t>金属矿石</t>
        </is>
      </c>
      <c r="E1539" s="24" t="inlineStr">
        <is>
          <t>东南亚</t>
        </is>
      </c>
      <c r="F1539" s="24" t="inlineStr">
        <is>
          <t>02号泊位</t>
        </is>
      </c>
      <c r="G1539" s="25" t="n">
        <v>26957</v>
      </c>
      <c r="H1539" s="41" t="n">
        <v>17.51</v>
      </c>
      <c r="I1539" s="41" t="n">
        <v>5.37</v>
      </c>
      <c r="J1539" s="41" t="n">
        <v>17.39</v>
      </c>
      <c r="K1539" s="25" t="n">
        <v>0</v>
      </c>
      <c r="L1539" s="26">
        <f>IF(H1539&lt;=J1539,1,0)</f>
        <v>0</v>
      </c>
    </row>
    <row r="1540">
      <c r="A1540" s="19" t="inlineStr">
        <is>
          <t>QL-256-3</t>
        </is>
      </c>
      <c r="B1540" s="36" t="n">
        <v>45913</v>
      </c>
      <c r="C1540" s="37" t="inlineStr">
        <is>
          <t>出港</t>
        </is>
      </c>
      <c r="D1540" s="19" t="inlineStr">
        <is>
          <t>煤炭</t>
        </is>
      </c>
      <c r="E1540" s="19" t="inlineStr">
        <is>
          <t>东南亚</t>
        </is>
      </c>
      <c r="F1540" s="19" t="inlineStr">
        <is>
          <t>03号泊位</t>
        </is>
      </c>
      <c r="G1540" s="20" t="n">
        <v>16381</v>
      </c>
      <c r="H1540" s="38" t="n">
        <v>13.04</v>
      </c>
      <c r="I1540" s="38" t="n">
        <v>2.17</v>
      </c>
      <c r="J1540" s="38" t="n">
        <v>12.41</v>
      </c>
      <c r="K1540" s="20" t="n">
        <v>0</v>
      </c>
      <c r="L1540" s="26">
        <f>IF(H1540&lt;=J1540,1,0)</f>
        <v>0</v>
      </c>
    </row>
    <row r="1541">
      <c r="A1541" s="24" t="inlineStr">
        <is>
          <t>QL-256-4</t>
        </is>
      </c>
      <c r="B1541" s="39" t="n">
        <v>45913</v>
      </c>
      <c r="C1541" s="40" t="inlineStr">
        <is>
          <t>进港</t>
        </is>
      </c>
      <c r="D1541" s="24" t="inlineStr">
        <is>
          <t>粮食</t>
        </is>
      </c>
      <c r="E1541" s="24" t="inlineStr">
        <is>
          <t>东亚</t>
        </is>
      </c>
      <c r="F1541" s="24" t="inlineStr">
        <is>
          <t>04号泊位</t>
        </is>
      </c>
      <c r="G1541" s="25" t="n">
        <v>6003</v>
      </c>
      <c r="H1541" s="41" t="n">
        <v>5.89</v>
      </c>
      <c r="I1541" s="41" t="n">
        <v>3.13</v>
      </c>
      <c r="J1541" s="41" t="n">
        <v>5.89</v>
      </c>
      <c r="K1541" s="25" t="n">
        <v>0</v>
      </c>
      <c r="L1541" s="26">
        <f>IF(H1541&lt;=J1541,1,0)</f>
        <v>1</v>
      </c>
    </row>
    <row r="1542">
      <c r="A1542" s="19" t="inlineStr">
        <is>
          <t>QL-256-5</t>
        </is>
      </c>
      <c r="B1542" s="36" t="n">
        <v>45913</v>
      </c>
      <c r="C1542" s="37" t="inlineStr">
        <is>
          <t>出港</t>
        </is>
      </c>
      <c r="D1542" s="19" t="inlineStr">
        <is>
          <t>液体散货</t>
        </is>
      </c>
      <c r="E1542" s="19" t="inlineStr">
        <is>
          <t>国内沿海</t>
        </is>
      </c>
      <c r="F1542" s="19" t="inlineStr">
        <is>
          <t>05号泊位</t>
        </is>
      </c>
      <c r="G1542" s="20" t="n">
        <v>8398</v>
      </c>
      <c r="H1542" s="38" t="n">
        <v>6.25</v>
      </c>
      <c r="I1542" s="38" t="n">
        <v>3.46</v>
      </c>
      <c r="J1542" s="38" t="n">
        <v>5.83</v>
      </c>
      <c r="K1542" s="20" t="n">
        <v>0</v>
      </c>
      <c r="L1542" s="26">
        <f>IF(H1542&lt;=J1542,1,0)</f>
        <v>0</v>
      </c>
    </row>
    <row r="1543">
      <c r="A1543" s="24" t="inlineStr">
        <is>
          <t>QL-256-6</t>
        </is>
      </c>
      <c r="B1543" s="39" t="n">
        <v>45913</v>
      </c>
      <c r="C1543" s="40" t="inlineStr">
        <is>
          <t>出港</t>
        </is>
      </c>
      <c r="D1543" s="24" t="inlineStr">
        <is>
          <t>件杂货</t>
        </is>
      </c>
      <c r="E1543" s="24" t="inlineStr">
        <is>
          <t>东南亚</t>
        </is>
      </c>
      <c r="F1543" s="24" t="inlineStr">
        <is>
          <t>06号泊位</t>
        </is>
      </c>
      <c r="G1543" s="25" t="n">
        <v>4612</v>
      </c>
      <c r="H1543" s="41" t="n">
        <v>8.449999999999999</v>
      </c>
      <c r="I1543" s="41" t="n">
        <v>2.47</v>
      </c>
      <c r="J1543" s="41" t="n">
        <v>7.56</v>
      </c>
      <c r="K1543" s="25" t="n">
        <v>0</v>
      </c>
      <c r="L1543" s="26">
        <f>IF(H1543&lt;=J1543,1,0)</f>
        <v>0</v>
      </c>
    </row>
    <row r="1544">
      <c r="A1544" s="19" t="inlineStr">
        <is>
          <t>QL-257-1</t>
        </is>
      </c>
      <c r="B1544" s="36" t="n">
        <v>45914</v>
      </c>
      <c r="C1544" s="37" t="inlineStr">
        <is>
          <t>进港</t>
        </is>
      </c>
      <c r="D1544" s="19" t="inlineStr">
        <is>
          <t>集装箱货物</t>
        </is>
      </c>
      <c r="E1544" s="19" t="inlineStr">
        <is>
          <t>欧洲</t>
        </is>
      </c>
      <c r="F1544" s="19" t="inlineStr">
        <is>
          <t>01号泊位</t>
        </is>
      </c>
      <c r="G1544" s="20" t="n">
        <v>8847</v>
      </c>
      <c r="H1544" s="38" t="n">
        <v>9.99</v>
      </c>
      <c r="I1544" s="38" t="n">
        <v>2.74</v>
      </c>
      <c r="J1544" s="38" t="n">
        <v>9.83</v>
      </c>
      <c r="K1544" s="20" t="n">
        <v>556</v>
      </c>
      <c r="L1544" s="26">
        <f>IF(H1544&lt;=J1544,1,0)</f>
        <v>0</v>
      </c>
    </row>
    <row r="1545">
      <c r="A1545" s="24" t="inlineStr">
        <is>
          <t>QL-257-2</t>
        </is>
      </c>
      <c r="B1545" s="39" t="n">
        <v>45914</v>
      </c>
      <c r="C1545" s="40" t="inlineStr">
        <is>
          <t>出港</t>
        </is>
      </c>
      <c r="D1545" s="24" t="inlineStr">
        <is>
          <t>金属矿石</t>
        </is>
      </c>
      <c r="E1545" s="24" t="inlineStr">
        <is>
          <t>国内沿海</t>
        </is>
      </c>
      <c r="F1545" s="24" t="inlineStr">
        <is>
          <t>02号泊位</t>
        </is>
      </c>
      <c r="G1545" s="25" t="n">
        <v>20578</v>
      </c>
      <c r="H1545" s="41" t="n">
        <v>13.1</v>
      </c>
      <c r="I1545" s="41" t="n">
        <v>3.87</v>
      </c>
      <c r="J1545" s="41" t="n">
        <v>13.28</v>
      </c>
      <c r="K1545" s="25" t="n">
        <v>0</v>
      </c>
      <c r="L1545" s="26">
        <f>IF(H1545&lt;=J1545,1,0)</f>
        <v>1</v>
      </c>
    </row>
    <row r="1546">
      <c r="A1546" s="19" t="inlineStr">
        <is>
          <t>QL-257-3</t>
        </is>
      </c>
      <c r="B1546" s="36" t="n">
        <v>45914</v>
      </c>
      <c r="C1546" s="37" t="inlineStr">
        <is>
          <t>进港</t>
        </is>
      </c>
      <c r="D1546" s="19" t="inlineStr">
        <is>
          <t>煤炭</t>
        </is>
      </c>
      <c r="E1546" s="19" t="inlineStr">
        <is>
          <t>欧洲</t>
        </is>
      </c>
      <c r="F1546" s="19" t="inlineStr">
        <is>
          <t>03号泊位</t>
        </is>
      </c>
      <c r="G1546" s="20" t="n">
        <v>14376</v>
      </c>
      <c r="H1546" s="38" t="n">
        <v>11.25</v>
      </c>
      <c r="I1546" s="38" t="n">
        <v>0.88</v>
      </c>
      <c r="J1546" s="38" t="n">
        <v>10.89</v>
      </c>
      <c r="K1546" s="20" t="n">
        <v>0</v>
      </c>
      <c r="L1546" s="26">
        <f>IF(H1546&lt;=J1546,1,0)</f>
        <v>0</v>
      </c>
    </row>
    <row r="1547">
      <c r="A1547" s="24" t="inlineStr">
        <is>
          <t>QL-257-4</t>
        </is>
      </c>
      <c r="B1547" s="39" t="n">
        <v>45914</v>
      </c>
      <c r="C1547" s="40" t="inlineStr">
        <is>
          <t>进港</t>
        </is>
      </c>
      <c r="D1547" s="24" t="inlineStr">
        <is>
          <t>粮食</t>
        </is>
      </c>
      <c r="E1547" s="24" t="inlineStr">
        <is>
          <t>欧洲</t>
        </is>
      </c>
      <c r="F1547" s="24" t="inlineStr">
        <is>
          <t>04号泊位</t>
        </is>
      </c>
      <c r="G1547" s="25" t="n">
        <v>8847</v>
      </c>
      <c r="H1547" s="41" t="n">
        <v>7.59</v>
      </c>
      <c r="I1547" s="41" t="n">
        <v>1.08</v>
      </c>
      <c r="J1547" s="41" t="n">
        <v>8.67</v>
      </c>
      <c r="K1547" s="25" t="n">
        <v>0</v>
      </c>
      <c r="L1547" s="26">
        <f>IF(H1547&lt;=J1547,1,0)</f>
        <v>1</v>
      </c>
    </row>
    <row r="1548">
      <c r="A1548" s="19" t="inlineStr">
        <is>
          <t>QL-257-5</t>
        </is>
      </c>
      <c r="B1548" s="36" t="n">
        <v>45914</v>
      </c>
      <c r="C1548" s="37" t="inlineStr">
        <is>
          <t>进港</t>
        </is>
      </c>
      <c r="D1548" s="19" t="inlineStr">
        <is>
          <t>液体散货</t>
        </is>
      </c>
      <c r="E1548" s="19" t="inlineStr">
        <is>
          <t>东亚</t>
        </is>
      </c>
      <c r="F1548" s="19" t="inlineStr">
        <is>
          <t>05号泊位</t>
        </is>
      </c>
      <c r="G1548" s="20" t="n">
        <v>15494</v>
      </c>
      <c r="H1548" s="38" t="n">
        <v>11.22</v>
      </c>
      <c r="I1548" s="38" t="n">
        <v>2.06</v>
      </c>
      <c r="J1548" s="38" t="n">
        <v>10.76</v>
      </c>
      <c r="K1548" s="20" t="n">
        <v>0</v>
      </c>
      <c r="L1548" s="26">
        <f>IF(H1548&lt;=J1548,1,0)</f>
        <v>0</v>
      </c>
    </row>
    <row r="1549">
      <c r="A1549" s="24" t="inlineStr">
        <is>
          <t>QL-257-6</t>
        </is>
      </c>
      <c r="B1549" s="39" t="n">
        <v>45914</v>
      </c>
      <c r="C1549" s="40" t="inlineStr">
        <is>
          <t>出港</t>
        </is>
      </c>
      <c r="D1549" s="24" t="inlineStr">
        <is>
          <t>件杂货</t>
        </is>
      </c>
      <c r="E1549" s="24" t="inlineStr">
        <is>
          <t>东亚</t>
        </is>
      </c>
      <c r="F1549" s="24" t="inlineStr">
        <is>
          <t>06号泊位</t>
        </is>
      </c>
      <c r="G1549" s="25" t="n">
        <v>4774</v>
      </c>
      <c r="H1549" s="41" t="n">
        <v>9.43</v>
      </c>
      <c r="I1549" s="41" t="n">
        <v>1.75</v>
      </c>
      <c r="J1549" s="41" t="n">
        <v>7.83</v>
      </c>
      <c r="K1549" s="25" t="n">
        <v>0</v>
      </c>
      <c r="L1549" s="26">
        <f>IF(H1549&lt;=J1549,1,0)</f>
        <v>0</v>
      </c>
    </row>
    <row r="1550">
      <c r="A1550" s="19" t="inlineStr">
        <is>
          <t>QL-258-1</t>
        </is>
      </c>
      <c r="B1550" s="36" t="n">
        <v>45915</v>
      </c>
      <c r="C1550" s="37" t="inlineStr">
        <is>
          <t>出港</t>
        </is>
      </c>
      <c r="D1550" s="19" t="inlineStr">
        <is>
          <t>集装箱货物</t>
        </is>
      </c>
      <c r="E1550" s="19" t="inlineStr">
        <is>
          <t>东南亚</t>
        </is>
      </c>
      <c r="F1550" s="19" t="inlineStr">
        <is>
          <t>01号泊位</t>
        </is>
      </c>
      <c r="G1550" s="20" t="n">
        <v>7613</v>
      </c>
      <c r="H1550" s="38" t="n">
        <v>10.03</v>
      </c>
      <c r="I1550" s="38" t="n">
        <v>1.14</v>
      </c>
      <c r="J1550" s="38" t="n">
        <v>8.460000000000001</v>
      </c>
      <c r="K1550" s="20" t="n">
        <v>467</v>
      </c>
      <c r="L1550" s="26">
        <f>IF(H1550&lt;=J1550,1,0)</f>
        <v>0</v>
      </c>
    </row>
    <row r="1551">
      <c r="A1551" s="24" t="inlineStr">
        <is>
          <t>QL-258-2</t>
        </is>
      </c>
      <c r="B1551" s="39" t="n">
        <v>45915</v>
      </c>
      <c r="C1551" s="40" t="inlineStr">
        <is>
          <t>进港</t>
        </is>
      </c>
      <c r="D1551" s="24" t="inlineStr">
        <is>
          <t>金属矿石</t>
        </is>
      </c>
      <c r="E1551" s="24" t="inlineStr">
        <is>
          <t>北美</t>
        </is>
      </c>
      <c r="F1551" s="24" t="inlineStr">
        <is>
          <t>02号泊位</t>
        </is>
      </c>
      <c r="G1551" s="25" t="n">
        <v>24859</v>
      </c>
      <c r="H1551" s="41" t="n">
        <v>14.46</v>
      </c>
      <c r="I1551" s="41" t="n">
        <v>1.23</v>
      </c>
      <c r="J1551" s="41" t="n">
        <v>16.04</v>
      </c>
      <c r="K1551" s="25" t="n">
        <v>0</v>
      </c>
      <c r="L1551" s="26">
        <f>IF(H1551&lt;=J1551,1,0)</f>
        <v>1</v>
      </c>
    </row>
    <row r="1552">
      <c r="A1552" s="19" t="inlineStr">
        <is>
          <t>QL-258-3</t>
        </is>
      </c>
      <c r="B1552" s="36" t="n">
        <v>45915</v>
      </c>
      <c r="C1552" s="37" t="inlineStr">
        <is>
          <t>进港</t>
        </is>
      </c>
      <c r="D1552" s="19" t="inlineStr">
        <is>
          <t>煤炭</t>
        </is>
      </c>
      <c r="E1552" s="19" t="inlineStr">
        <is>
          <t>国内沿海</t>
        </is>
      </c>
      <c r="F1552" s="19" t="inlineStr">
        <is>
          <t>03号泊位</t>
        </is>
      </c>
      <c r="G1552" s="20" t="n">
        <v>12962</v>
      </c>
      <c r="H1552" s="38" t="n">
        <v>10.81</v>
      </c>
      <c r="I1552" s="38" t="n">
        <v>8.390000000000001</v>
      </c>
      <c r="J1552" s="38" t="n">
        <v>9.82</v>
      </c>
      <c r="K1552" s="20" t="n">
        <v>0</v>
      </c>
      <c r="L1552" s="26">
        <f>IF(H1552&lt;=J1552,1,0)</f>
        <v>0</v>
      </c>
    </row>
    <row r="1553">
      <c r="A1553" s="24" t="inlineStr">
        <is>
          <t>QL-258-4</t>
        </is>
      </c>
      <c r="B1553" s="39" t="n">
        <v>45915</v>
      </c>
      <c r="C1553" s="40" t="inlineStr">
        <is>
          <t>出港</t>
        </is>
      </c>
      <c r="D1553" s="24" t="inlineStr">
        <is>
          <t>粮食</t>
        </is>
      </c>
      <c r="E1553" s="24" t="inlineStr">
        <is>
          <t>东亚</t>
        </is>
      </c>
      <c r="F1553" s="24" t="inlineStr">
        <is>
          <t>04号泊位</t>
        </is>
      </c>
      <c r="G1553" s="25" t="n">
        <v>9811</v>
      </c>
      <c r="H1553" s="41" t="n">
        <v>9.82</v>
      </c>
      <c r="I1553" s="41" t="n">
        <v>1.54</v>
      </c>
      <c r="J1553" s="41" t="n">
        <v>9.619999999999999</v>
      </c>
      <c r="K1553" s="25" t="n">
        <v>0</v>
      </c>
      <c r="L1553" s="26">
        <f>IF(H1553&lt;=J1553,1,0)</f>
        <v>0</v>
      </c>
    </row>
    <row r="1554">
      <c r="A1554" s="19" t="inlineStr">
        <is>
          <t>QL-258-5</t>
        </is>
      </c>
      <c r="B1554" s="36" t="n">
        <v>45915</v>
      </c>
      <c r="C1554" s="37" t="inlineStr">
        <is>
          <t>出港</t>
        </is>
      </c>
      <c r="D1554" s="19" t="inlineStr">
        <is>
          <t>液体散货</t>
        </is>
      </c>
      <c r="E1554" s="19" t="inlineStr">
        <is>
          <t>北美</t>
        </is>
      </c>
      <c r="F1554" s="19" t="inlineStr">
        <is>
          <t>05号泊位</t>
        </is>
      </c>
      <c r="G1554" s="20" t="n">
        <v>10149</v>
      </c>
      <c r="H1554" s="38" t="n">
        <v>7.47</v>
      </c>
      <c r="I1554" s="38" t="n">
        <v>4.43</v>
      </c>
      <c r="J1554" s="38" t="n">
        <v>7.05</v>
      </c>
      <c r="K1554" s="20" t="n">
        <v>0</v>
      </c>
      <c r="L1554" s="26">
        <f>IF(H1554&lt;=J1554,1,0)</f>
        <v>0</v>
      </c>
    </row>
    <row r="1555">
      <c r="A1555" s="24" t="inlineStr">
        <is>
          <t>QL-258-6</t>
        </is>
      </c>
      <c r="B1555" s="39" t="n">
        <v>45915</v>
      </c>
      <c r="C1555" s="40" t="inlineStr">
        <is>
          <t>进港</t>
        </is>
      </c>
      <c r="D1555" s="24" t="inlineStr">
        <is>
          <t>件杂货</t>
        </is>
      </c>
      <c r="E1555" s="24" t="inlineStr">
        <is>
          <t>东亚</t>
        </is>
      </c>
      <c r="F1555" s="24" t="inlineStr">
        <is>
          <t>06号泊位</t>
        </is>
      </c>
      <c r="G1555" s="25" t="n">
        <v>3631</v>
      </c>
      <c r="H1555" s="41" t="n">
        <v>5.82</v>
      </c>
      <c r="I1555" s="41" t="n">
        <v>0.74</v>
      </c>
      <c r="J1555" s="41" t="n">
        <v>5.95</v>
      </c>
      <c r="K1555" s="25" t="n">
        <v>0</v>
      </c>
      <c r="L1555" s="26">
        <f>IF(H1555&lt;=J1555,1,0)</f>
        <v>1</v>
      </c>
    </row>
    <row r="1556">
      <c r="A1556" s="19" t="inlineStr">
        <is>
          <t>QL-259-1</t>
        </is>
      </c>
      <c r="B1556" s="36" t="n">
        <v>45916</v>
      </c>
      <c r="C1556" s="37" t="inlineStr">
        <is>
          <t>出港</t>
        </is>
      </c>
      <c r="D1556" s="19" t="inlineStr">
        <is>
          <t>集装箱货物</t>
        </is>
      </c>
      <c r="E1556" s="19" t="inlineStr">
        <is>
          <t>国内沿海</t>
        </is>
      </c>
      <c r="F1556" s="19" t="inlineStr">
        <is>
          <t>01号泊位</t>
        </is>
      </c>
      <c r="G1556" s="20" t="n">
        <v>17018</v>
      </c>
      <c r="H1556" s="38" t="n">
        <v>17.02</v>
      </c>
      <c r="I1556" s="38" t="n">
        <v>7.54</v>
      </c>
      <c r="J1556" s="38" t="n">
        <v>18.91</v>
      </c>
      <c r="K1556" s="20" t="n">
        <v>1156</v>
      </c>
      <c r="L1556" s="26">
        <f>IF(H1556&lt;=J1556,1,0)</f>
        <v>1</v>
      </c>
    </row>
    <row r="1557">
      <c r="A1557" s="24" t="inlineStr">
        <is>
          <t>QL-259-2</t>
        </is>
      </c>
      <c r="B1557" s="39" t="n">
        <v>45916</v>
      </c>
      <c r="C1557" s="40" t="inlineStr">
        <is>
          <t>进港</t>
        </is>
      </c>
      <c r="D1557" s="24" t="inlineStr">
        <is>
          <t>金属矿石</t>
        </is>
      </c>
      <c r="E1557" s="24" t="inlineStr">
        <is>
          <t>东南亚</t>
        </is>
      </c>
      <c r="F1557" s="24" t="inlineStr">
        <is>
          <t>02号泊位</t>
        </is>
      </c>
      <c r="G1557" s="25" t="n">
        <v>33422</v>
      </c>
      <c r="H1557" s="41" t="n">
        <v>25.08</v>
      </c>
      <c r="I1557" s="41" t="n">
        <v>5.53</v>
      </c>
      <c r="J1557" s="41" t="n">
        <v>21.56</v>
      </c>
      <c r="K1557" s="25" t="n">
        <v>0</v>
      </c>
      <c r="L1557" s="26">
        <f>IF(H1557&lt;=J1557,1,0)</f>
        <v>0</v>
      </c>
    </row>
    <row r="1558">
      <c r="A1558" s="19" t="inlineStr">
        <is>
          <t>QL-259-3</t>
        </is>
      </c>
      <c r="B1558" s="36" t="n">
        <v>45916</v>
      </c>
      <c r="C1558" s="37" t="inlineStr">
        <is>
          <t>进港</t>
        </is>
      </c>
      <c r="D1558" s="19" t="inlineStr">
        <is>
          <t>煤炭</t>
        </is>
      </c>
      <c r="E1558" s="19" t="inlineStr">
        <is>
          <t>东南亚</t>
        </is>
      </c>
      <c r="F1558" s="19" t="inlineStr">
        <is>
          <t>03号泊位</t>
        </is>
      </c>
      <c r="G1558" s="20" t="n">
        <v>32994</v>
      </c>
      <c r="H1558" s="38" t="n">
        <v>25.45</v>
      </c>
      <c r="I1558" s="38" t="n">
        <v>2.8</v>
      </c>
      <c r="J1558" s="38" t="n">
        <v>25</v>
      </c>
      <c r="K1558" s="20" t="n">
        <v>0</v>
      </c>
      <c r="L1558" s="26">
        <f>IF(H1558&lt;=J1558,1,0)</f>
        <v>0</v>
      </c>
    </row>
    <row r="1559">
      <c r="A1559" s="24" t="inlineStr">
        <is>
          <t>QL-259-4</t>
        </is>
      </c>
      <c r="B1559" s="39" t="n">
        <v>45916</v>
      </c>
      <c r="C1559" s="40" t="inlineStr">
        <is>
          <t>进港</t>
        </is>
      </c>
      <c r="D1559" s="24" t="inlineStr">
        <is>
          <t>粮食</t>
        </is>
      </c>
      <c r="E1559" s="24" t="inlineStr">
        <is>
          <t>东南亚</t>
        </is>
      </c>
      <c r="F1559" s="24" t="inlineStr">
        <is>
          <t>04号泊位</t>
        </is>
      </c>
      <c r="G1559" s="25" t="n">
        <v>10075</v>
      </c>
      <c r="H1559" s="41" t="n">
        <v>8.09</v>
      </c>
      <c r="I1559" s="41" t="n">
        <v>8.4</v>
      </c>
      <c r="J1559" s="41" t="n">
        <v>9.880000000000001</v>
      </c>
      <c r="K1559" s="25" t="n">
        <v>0</v>
      </c>
      <c r="L1559" s="26">
        <f>IF(H1559&lt;=J1559,1,0)</f>
        <v>1</v>
      </c>
    </row>
    <row r="1560">
      <c r="A1560" s="19" t="inlineStr">
        <is>
          <t>QL-259-5</t>
        </is>
      </c>
      <c r="B1560" s="36" t="n">
        <v>45916</v>
      </c>
      <c r="C1560" s="37" t="inlineStr">
        <is>
          <t>进港</t>
        </is>
      </c>
      <c r="D1560" s="19" t="inlineStr">
        <is>
          <t>液体散货</t>
        </is>
      </c>
      <c r="E1560" s="19" t="inlineStr">
        <is>
          <t>东亚</t>
        </is>
      </c>
      <c r="F1560" s="19" t="inlineStr">
        <is>
          <t>05号泊位</t>
        </is>
      </c>
      <c r="G1560" s="20" t="n">
        <v>19185</v>
      </c>
      <c r="H1560" s="38" t="n">
        <v>12.81</v>
      </c>
      <c r="I1560" s="38" t="n">
        <v>2.78</v>
      </c>
      <c r="J1560" s="38" t="n">
        <v>13.32</v>
      </c>
      <c r="K1560" s="20" t="n">
        <v>0</v>
      </c>
      <c r="L1560" s="26">
        <f>IF(H1560&lt;=J1560,1,0)</f>
        <v>1</v>
      </c>
    </row>
    <row r="1561">
      <c r="A1561" s="24" t="inlineStr">
        <is>
          <t>QL-259-6</t>
        </is>
      </c>
      <c r="B1561" s="39" t="n">
        <v>45916</v>
      </c>
      <c r="C1561" s="40" t="inlineStr">
        <is>
          <t>出港</t>
        </is>
      </c>
      <c r="D1561" s="24" t="inlineStr">
        <is>
          <t>件杂货</t>
        </is>
      </c>
      <c r="E1561" s="24" t="inlineStr">
        <is>
          <t>国内沿海</t>
        </is>
      </c>
      <c r="F1561" s="24" t="inlineStr">
        <is>
          <t>06号泊位</t>
        </is>
      </c>
      <c r="G1561" s="25" t="n">
        <v>5648</v>
      </c>
      <c r="H1561" s="41" t="n">
        <v>10.47</v>
      </c>
      <c r="I1561" s="41" t="n">
        <v>2.27</v>
      </c>
      <c r="J1561" s="41" t="n">
        <v>9.26</v>
      </c>
      <c r="K1561" s="25" t="n">
        <v>0</v>
      </c>
      <c r="L1561" s="26">
        <f>IF(H1561&lt;=J1561,1,0)</f>
        <v>0</v>
      </c>
    </row>
    <row r="1562">
      <c r="A1562" s="19" t="inlineStr">
        <is>
          <t>QL-260-1</t>
        </is>
      </c>
      <c r="B1562" s="36" t="n">
        <v>45917</v>
      </c>
      <c r="C1562" s="37" t="inlineStr">
        <is>
          <t>进港</t>
        </is>
      </c>
      <c r="D1562" s="19" t="inlineStr">
        <is>
          <t>集装箱货物</t>
        </is>
      </c>
      <c r="E1562" s="19" t="inlineStr">
        <is>
          <t>东亚</t>
        </is>
      </c>
      <c r="F1562" s="19" t="inlineStr">
        <is>
          <t>01号泊位</t>
        </is>
      </c>
      <c r="G1562" s="20" t="n">
        <v>14817</v>
      </c>
      <c r="H1562" s="38" t="n">
        <v>14.79</v>
      </c>
      <c r="I1562" s="38" t="n">
        <v>6.04</v>
      </c>
      <c r="J1562" s="38" t="n">
        <v>16.46</v>
      </c>
      <c r="K1562" s="20" t="n">
        <v>944</v>
      </c>
      <c r="L1562" s="26">
        <f>IF(H1562&lt;=J1562,1,0)</f>
        <v>1</v>
      </c>
    </row>
    <row r="1563">
      <c r="A1563" s="24" t="inlineStr">
        <is>
          <t>QL-260-2</t>
        </is>
      </c>
      <c r="B1563" s="39" t="n">
        <v>45917</v>
      </c>
      <c r="C1563" s="40" t="inlineStr">
        <is>
          <t>进港</t>
        </is>
      </c>
      <c r="D1563" s="24" t="inlineStr">
        <is>
          <t>金属矿石</t>
        </is>
      </c>
      <c r="E1563" s="24" t="inlineStr">
        <is>
          <t>东南亚</t>
        </is>
      </c>
      <c r="F1563" s="24" t="inlineStr">
        <is>
          <t>02号泊位</t>
        </is>
      </c>
      <c r="G1563" s="25" t="n">
        <v>30746</v>
      </c>
      <c r="H1563" s="41" t="n">
        <v>18.55</v>
      </c>
      <c r="I1563" s="41" t="n">
        <v>3.78</v>
      </c>
      <c r="J1563" s="41" t="n">
        <v>19.84</v>
      </c>
      <c r="K1563" s="25" t="n">
        <v>0</v>
      </c>
      <c r="L1563" s="26">
        <f>IF(H1563&lt;=J1563,1,0)</f>
        <v>1</v>
      </c>
    </row>
    <row r="1564">
      <c r="A1564" s="19" t="inlineStr">
        <is>
          <t>QL-260-3</t>
        </is>
      </c>
      <c r="B1564" s="36" t="n">
        <v>45917</v>
      </c>
      <c r="C1564" s="37" t="inlineStr">
        <is>
          <t>进港</t>
        </is>
      </c>
      <c r="D1564" s="19" t="inlineStr">
        <is>
          <t>煤炭</t>
        </is>
      </c>
      <c r="E1564" s="19" t="inlineStr">
        <is>
          <t>欧洲</t>
        </is>
      </c>
      <c r="F1564" s="19" t="inlineStr">
        <is>
          <t>03号泊位</t>
        </is>
      </c>
      <c r="G1564" s="20" t="n">
        <v>16039</v>
      </c>
      <c r="H1564" s="38" t="n">
        <v>12.92</v>
      </c>
      <c r="I1564" s="38" t="n">
        <v>4.57</v>
      </c>
      <c r="J1564" s="38" t="n">
        <v>12.15</v>
      </c>
      <c r="K1564" s="20" t="n">
        <v>0</v>
      </c>
      <c r="L1564" s="26">
        <f>IF(H1564&lt;=J1564,1,0)</f>
        <v>0</v>
      </c>
    </row>
    <row r="1565">
      <c r="A1565" s="24" t="inlineStr">
        <is>
          <t>QL-260-4</t>
        </is>
      </c>
      <c r="B1565" s="39" t="n">
        <v>45917</v>
      </c>
      <c r="C1565" s="40" t="inlineStr">
        <is>
          <t>进港</t>
        </is>
      </c>
      <c r="D1565" s="24" t="inlineStr">
        <is>
          <t>粮食</t>
        </is>
      </c>
      <c r="E1565" s="24" t="inlineStr">
        <is>
          <t>欧洲</t>
        </is>
      </c>
      <c r="F1565" s="24" t="inlineStr">
        <is>
          <t>04号泊位</t>
        </is>
      </c>
      <c r="G1565" s="25" t="n">
        <v>11955</v>
      </c>
      <c r="H1565" s="41" t="n">
        <v>12.62</v>
      </c>
      <c r="I1565" s="41" t="n">
        <v>2.48</v>
      </c>
      <c r="J1565" s="41" t="n">
        <v>11.72</v>
      </c>
      <c r="K1565" s="25" t="n">
        <v>0</v>
      </c>
      <c r="L1565" s="26">
        <f>IF(H1565&lt;=J1565,1,0)</f>
        <v>0</v>
      </c>
    </row>
    <row r="1566">
      <c r="A1566" s="19" t="inlineStr">
        <is>
          <t>QL-260-5</t>
        </is>
      </c>
      <c r="B1566" s="36" t="n">
        <v>45917</v>
      </c>
      <c r="C1566" s="37" t="inlineStr">
        <is>
          <t>进港</t>
        </is>
      </c>
      <c r="D1566" s="19" t="inlineStr">
        <is>
          <t>液体散货</t>
        </is>
      </c>
      <c r="E1566" s="19" t="inlineStr">
        <is>
          <t>北美</t>
        </is>
      </c>
      <c r="F1566" s="19" t="inlineStr">
        <is>
          <t>05号泊位</t>
        </is>
      </c>
      <c r="G1566" s="20" t="n">
        <v>19883</v>
      </c>
      <c r="H1566" s="38" t="n">
        <v>11.51</v>
      </c>
      <c r="I1566" s="38" t="n">
        <v>2.51</v>
      </c>
      <c r="J1566" s="38" t="n">
        <v>13.81</v>
      </c>
      <c r="K1566" s="20" t="n">
        <v>0</v>
      </c>
      <c r="L1566" s="26">
        <f>IF(H1566&lt;=J1566,1,0)</f>
        <v>1</v>
      </c>
    </row>
    <row r="1567">
      <c r="A1567" s="24" t="inlineStr">
        <is>
          <t>QL-260-6</t>
        </is>
      </c>
      <c r="B1567" s="39" t="n">
        <v>45917</v>
      </c>
      <c r="C1567" s="40" t="inlineStr">
        <is>
          <t>出港</t>
        </is>
      </c>
      <c r="D1567" s="24" t="inlineStr">
        <is>
          <t>件杂货</t>
        </is>
      </c>
      <c r="E1567" s="24" t="inlineStr">
        <is>
          <t>北美</t>
        </is>
      </c>
      <c r="F1567" s="24" t="inlineStr">
        <is>
          <t>06号泊位</t>
        </is>
      </c>
      <c r="G1567" s="25" t="n">
        <v>5736</v>
      </c>
      <c r="H1567" s="41" t="n">
        <v>7.94</v>
      </c>
      <c r="I1567" s="41" t="n">
        <v>4.46</v>
      </c>
      <c r="J1567" s="41" t="n">
        <v>9.4</v>
      </c>
      <c r="K1567" s="25" t="n">
        <v>0</v>
      </c>
      <c r="L1567" s="26">
        <f>IF(H1567&lt;=J1567,1,0)</f>
        <v>1</v>
      </c>
    </row>
    <row r="1568">
      <c r="A1568" s="19" t="inlineStr">
        <is>
          <t>QL-261-1</t>
        </is>
      </c>
      <c r="B1568" s="36" t="n">
        <v>45918</v>
      </c>
      <c r="C1568" s="37" t="inlineStr">
        <is>
          <t>出港</t>
        </is>
      </c>
      <c r="D1568" s="19" t="inlineStr">
        <is>
          <t>集装箱货物</t>
        </is>
      </c>
      <c r="E1568" s="19" t="inlineStr">
        <is>
          <t>北美</t>
        </is>
      </c>
      <c r="F1568" s="19" t="inlineStr">
        <is>
          <t>01号泊位</t>
        </is>
      </c>
      <c r="G1568" s="20" t="n">
        <v>12705</v>
      </c>
      <c r="H1568" s="38" t="n">
        <v>15.41</v>
      </c>
      <c r="I1568" s="38" t="n">
        <v>5.15</v>
      </c>
      <c r="J1568" s="38" t="n">
        <v>14.12</v>
      </c>
      <c r="K1568" s="20" t="n">
        <v>942</v>
      </c>
      <c r="L1568" s="26">
        <f>IF(H1568&lt;=J1568,1,0)</f>
        <v>0</v>
      </c>
    </row>
    <row r="1569">
      <c r="A1569" s="24" t="inlineStr">
        <is>
          <t>QL-261-2</t>
        </is>
      </c>
      <c r="B1569" s="39" t="n">
        <v>45918</v>
      </c>
      <c r="C1569" s="40" t="inlineStr">
        <is>
          <t>进港</t>
        </is>
      </c>
      <c r="D1569" s="24" t="inlineStr">
        <is>
          <t>金属矿石</t>
        </is>
      </c>
      <c r="E1569" s="24" t="inlineStr">
        <is>
          <t>欧洲</t>
        </is>
      </c>
      <c r="F1569" s="24" t="inlineStr">
        <is>
          <t>02号泊位</t>
        </is>
      </c>
      <c r="G1569" s="25" t="n">
        <v>34533</v>
      </c>
      <c r="H1569" s="41" t="n">
        <v>19.97</v>
      </c>
      <c r="I1569" s="41" t="n">
        <v>4.72</v>
      </c>
      <c r="J1569" s="41" t="n">
        <v>22.28</v>
      </c>
      <c r="K1569" s="25" t="n">
        <v>0</v>
      </c>
      <c r="L1569" s="26">
        <f>IF(H1569&lt;=J1569,1,0)</f>
        <v>1</v>
      </c>
    </row>
    <row r="1570">
      <c r="A1570" s="19" t="inlineStr">
        <is>
          <t>QL-261-3</t>
        </is>
      </c>
      <c r="B1570" s="36" t="n">
        <v>45918</v>
      </c>
      <c r="C1570" s="37" t="inlineStr">
        <is>
          <t>出港</t>
        </is>
      </c>
      <c r="D1570" s="19" t="inlineStr">
        <is>
          <t>煤炭</t>
        </is>
      </c>
      <c r="E1570" s="19" t="inlineStr">
        <is>
          <t>北美</t>
        </is>
      </c>
      <c r="F1570" s="19" t="inlineStr">
        <is>
          <t>03号泊位</t>
        </is>
      </c>
      <c r="G1570" s="20" t="n">
        <v>16585</v>
      </c>
      <c r="H1570" s="38" t="n">
        <v>11.99</v>
      </c>
      <c r="I1570" s="38" t="n">
        <v>3.92</v>
      </c>
      <c r="J1570" s="38" t="n">
        <v>12.56</v>
      </c>
      <c r="K1570" s="20" t="n">
        <v>0</v>
      </c>
      <c r="L1570" s="26">
        <f>IF(H1570&lt;=J1570,1,0)</f>
        <v>1</v>
      </c>
    </row>
    <row r="1571">
      <c r="A1571" s="24" t="inlineStr">
        <is>
          <t>QL-261-4</t>
        </is>
      </c>
      <c r="B1571" s="39" t="n">
        <v>45918</v>
      </c>
      <c r="C1571" s="40" t="inlineStr">
        <is>
          <t>出港</t>
        </is>
      </c>
      <c r="D1571" s="24" t="inlineStr">
        <is>
          <t>粮食</t>
        </is>
      </c>
      <c r="E1571" s="24" t="inlineStr">
        <is>
          <t>东亚</t>
        </is>
      </c>
      <c r="F1571" s="24" t="inlineStr">
        <is>
          <t>04号泊位</t>
        </is>
      </c>
      <c r="G1571" s="25" t="n">
        <v>20661</v>
      </c>
      <c r="H1571" s="41" t="n">
        <v>20.77</v>
      </c>
      <c r="I1571" s="41" t="n">
        <v>4.41</v>
      </c>
      <c r="J1571" s="41" t="n">
        <v>20.26</v>
      </c>
      <c r="K1571" s="25" t="n">
        <v>0</v>
      </c>
      <c r="L1571" s="26">
        <f>IF(H1571&lt;=J1571,1,0)</f>
        <v>0</v>
      </c>
    </row>
    <row r="1572">
      <c r="A1572" s="19" t="inlineStr">
        <is>
          <t>QL-261-5</t>
        </is>
      </c>
      <c r="B1572" s="36" t="n">
        <v>45918</v>
      </c>
      <c r="C1572" s="37" t="inlineStr">
        <is>
          <t>出港</t>
        </is>
      </c>
      <c r="D1572" s="19" t="inlineStr">
        <is>
          <t>液体散货</t>
        </is>
      </c>
      <c r="E1572" s="19" t="inlineStr">
        <is>
          <t>东南亚</t>
        </is>
      </c>
      <c r="F1572" s="19" t="inlineStr">
        <is>
          <t>05号泊位</t>
        </is>
      </c>
      <c r="G1572" s="20" t="n">
        <v>16554</v>
      </c>
      <c r="H1572" s="38" t="n">
        <v>10</v>
      </c>
      <c r="I1572" s="38" t="n">
        <v>5.4</v>
      </c>
      <c r="J1572" s="38" t="n">
        <v>11.5</v>
      </c>
      <c r="K1572" s="20" t="n">
        <v>0</v>
      </c>
      <c r="L1572" s="26">
        <f>IF(H1572&lt;=J1572,1,0)</f>
        <v>1</v>
      </c>
    </row>
    <row r="1573">
      <c r="A1573" s="24" t="inlineStr">
        <is>
          <t>QL-261-6</t>
        </is>
      </c>
      <c r="B1573" s="39" t="n">
        <v>45918</v>
      </c>
      <c r="C1573" s="40" t="inlineStr">
        <is>
          <t>进港</t>
        </is>
      </c>
      <c r="D1573" s="24" t="inlineStr">
        <is>
          <t>件杂货</t>
        </is>
      </c>
      <c r="E1573" s="24" t="inlineStr">
        <is>
          <t>国内沿海</t>
        </is>
      </c>
      <c r="F1573" s="24" t="inlineStr">
        <is>
          <t>06号泊位</t>
        </is>
      </c>
      <c r="G1573" s="25" t="n">
        <v>10371</v>
      </c>
      <c r="H1573" s="41" t="n">
        <v>16.56</v>
      </c>
      <c r="I1573" s="41" t="n">
        <v>5.07</v>
      </c>
      <c r="J1573" s="41" t="n">
        <v>17</v>
      </c>
      <c r="K1573" s="25" t="n">
        <v>0</v>
      </c>
      <c r="L1573" s="26">
        <f>IF(H1573&lt;=J1573,1,0)</f>
        <v>1</v>
      </c>
    </row>
    <row r="1574">
      <c r="A1574" s="19" t="inlineStr">
        <is>
          <t>QL-262-1</t>
        </is>
      </c>
      <c r="B1574" s="36" t="n">
        <v>45919</v>
      </c>
      <c r="C1574" s="37" t="inlineStr">
        <is>
          <t>出港</t>
        </is>
      </c>
      <c r="D1574" s="19" t="inlineStr">
        <is>
          <t>集装箱货物</t>
        </is>
      </c>
      <c r="E1574" s="19" t="inlineStr">
        <is>
          <t>国内沿海</t>
        </is>
      </c>
      <c r="F1574" s="19" t="inlineStr">
        <is>
          <t>01号泊位</t>
        </is>
      </c>
      <c r="G1574" s="20" t="n">
        <v>10367</v>
      </c>
      <c r="H1574" s="38" t="n">
        <v>13.88</v>
      </c>
      <c r="I1574" s="38" t="n">
        <v>7.89</v>
      </c>
      <c r="J1574" s="38" t="n">
        <v>11.52</v>
      </c>
      <c r="K1574" s="20" t="n">
        <v>671</v>
      </c>
      <c r="L1574" s="26">
        <f>IF(H1574&lt;=J1574,1,0)</f>
        <v>0</v>
      </c>
    </row>
    <row r="1575">
      <c r="A1575" s="24" t="inlineStr">
        <is>
          <t>QL-262-2</t>
        </is>
      </c>
      <c r="B1575" s="39" t="n">
        <v>45919</v>
      </c>
      <c r="C1575" s="40" t="inlineStr">
        <is>
          <t>进港</t>
        </is>
      </c>
      <c r="D1575" s="24" t="inlineStr">
        <is>
          <t>金属矿石</t>
        </is>
      </c>
      <c r="E1575" s="24" t="inlineStr">
        <is>
          <t>东亚</t>
        </is>
      </c>
      <c r="F1575" s="24" t="inlineStr">
        <is>
          <t>02号泊位</t>
        </is>
      </c>
      <c r="G1575" s="25" t="n">
        <v>25522</v>
      </c>
      <c r="H1575" s="41" t="n">
        <v>18.96</v>
      </c>
      <c r="I1575" s="41" t="n">
        <v>5.5</v>
      </c>
      <c r="J1575" s="41" t="n">
        <v>16.47</v>
      </c>
      <c r="K1575" s="25" t="n">
        <v>0</v>
      </c>
      <c r="L1575" s="26">
        <f>IF(H1575&lt;=J1575,1,0)</f>
        <v>0</v>
      </c>
    </row>
    <row r="1576">
      <c r="A1576" s="19" t="inlineStr">
        <is>
          <t>QL-262-3</t>
        </is>
      </c>
      <c r="B1576" s="36" t="n">
        <v>45919</v>
      </c>
      <c r="C1576" s="37" t="inlineStr">
        <is>
          <t>进港</t>
        </is>
      </c>
      <c r="D1576" s="19" t="inlineStr">
        <is>
          <t>煤炭</t>
        </is>
      </c>
      <c r="E1576" s="19" t="inlineStr">
        <is>
          <t>国内沿海</t>
        </is>
      </c>
      <c r="F1576" s="19" t="inlineStr">
        <is>
          <t>03号泊位</t>
        </is>
      </c>
      <c r="G1576" s="20" t="n">
        <v>15264</v>
      </c>
      <c r="H1576" s="38" t="n">
        <v>10.07</v>
      </c>
      <c r="I1576" s="38" t="n">
        <v>4.02</v>
      </c>
      <c r="J1576" s="38" t="n">
        <v>11.56</v>
      </c>
      <c r="K1576" s="20" t="n">
        <v>0</v>
      </c>
      <c r="L1576" s="26">
        <f>IF(H1576&lt;=J1576,1,0)</f>
        <v>1</v>
      </c>
    </row>
    <row r="1577">
      <c r="A1577" s="24" t="inlineStr">
        <is>
          <t>QL-262-4</t>
        </is>
      </c>
      <c r="B1577" s="39" t="n">
        <v>45919</v>
      </c>
      <c r="C1577" s="40" t="inlineStr">
        <is>
          <t>进港</t>
        </is>
      </c>
      <c r="D1577" s="24" t="inlineStr">
        <is>
          <t>粮食</t>
        </is>
      </c>
      <c r="E1577" s="24" t="inlineStr">
        <is>
          <t>国内沿海</t>
        </is>
      </c>
      <c r="F1577" s="24" t="inlineStr">
        <is>
          <t>04号泊位</t>
        </is>
      </c>
      <c r="G1577" s="25" t="n">
        <v>9753</v>
      </c>
      <c r="H1577" s="41" t="n">
        <v>9.49</v>
      </c>
      <c r="I1577" s="41" t="n">
        <v>2.81</v>
      </c>
      <c r="J1577" s="41" t="n">
        <v>9.56</v>
      </c>
      <c r="K1577" s="25" t="n">
        <v>0</v>
      </c>
      <c r="L1577" s="26">
        <f>IF(H1577&lt;=J1577,1,0)</f>
        <v>1</v>
      </c>
    </row>
    <row r="1578">
      <c r="A1578" s="19" t="inlineStr">
        <is>
          <t>QL-262-5</t>
        </is>
      </c>
      <c r="B1578" s="36" t="n">
        <v>45919</v>
      </c>
      <c r="C1578" s="37" t="inlineStr">
        <is>
          <t>出港</t>
        </is>
      </c>
      <c r="D1578" s="19" t="inlineStr">
        <is>
          <t>液体散货</t>
        </is>
      </c>
      <c r="E1578" s="19" t="inlineStr">
        <is>
          <t>东亚</t>
        </is>
      </c>
      <c r="F1578" s="19" t="inlineStr">
        <is>
          <t>05号泊位</t>
        </is>
      </c>
      <c r="G1578" s="20" t="n">
        <v>16345</v>
      </c>
      <c r="H1578" s="38" t="n">
        <v>9.6</v>
      </c>
      <c r="I1578" s="38" t="n">
        <v>4.91</v>
      </c>
      <c r="J1578" s="38" t="n">
        <v>11.35</v>
      </c>
      <c r="K1578" s="20" t="n">
        <v>0</v>
      </c>
      <c r="L1578" s="26">
        <f>IF(H1578&lt;=J1578,1,0)</f>
        <v>1</v>
      </c>
    </row>
    <row r="1579">
      <c r="A1579" s="24" t="inlineStr">
        <is>
          <t>QL-262-6</t>
        </is>
      </c>
      <c r="B1579" s="39" t="n">
        <v>45919</v>
      </c>
      <c r="C1579" s="40" t="inlineStr">
        <is>
          <t>出港</t>
        </is>
      </c>
      <c r="D1579" s="24" t="inlineStr">
        <is>
          <t>件杂货</t>
        </is>
      </c>
      <c r="E1579" s="24" t="inlineStr">
        <is>
          <t>国内沿海</t>
        </is>
      </c>
      <c r="F1579" s="24" t="inlineStr">
        <is>
          <t>06号泊位</t>
        </is>
      </c>
      <c r="G1579" s="25" t="n">
        <v>10563</v>
      </c>
      <c r="H1579" s="41" t="n">
        <v>19.22</v>
      </c>
      <c r="I1579" s="41" t="n">
        <v>4.69</v>
      </c>
      <c r="J1579" s="41" t="n">
        <v>17.32</v>
      </c>
      <c r="K1579" s="25" t="n">
        <v>0</v>
      </c>
      <c r="L1579" s="26">
        <f>IF(H1579&lt;=J1579,1,0)</f>
        <v>0</v>
      </c>
    </row>
    <row r="1580">
      <c r="A1580" s="19" t="inlineStr">
        <is>
          <t>QL-263-1</t>
        </is>
      </c>
      <c r="B1580" s="36" t="n">
        <v>45920</v>
      </c>
      <c r="C1580" s="37" t="inlineStr">
        <is>
          <t>进港</t>
        </is>
      </c>
      <c r="D1580" s="19" t="inlineStr">
        <is>
          <t>集装箱货物</t>
        </is>
      </c>
      <c r="E1580" s="19" t="inlineStr">
        <is>
          <t>国内沿海</t>
        </is>
      </c>
      <c r="F1580" s="19" t="inlineStr">
        <is>
          <t>01号泊位</t>
        </is>
      </c>
      <c r="G1580" s="20" t="n">
        <v>13890</v>
      </c>
      <c r="H1580" s="38" t="n">
        <v>16.31</v>
      </c>
      <c r="I1580" s="38" t="n">
        <v>4.08</v>
      </c>
      <c r="J1580" s="38" t="n">
        <v>15.43</v>
      </c>
      <c r="K1580" s="20" t="n">
        <v>979</v>
      </c>
      <c r="L1580" s="26">
        <f>IF(H1580&lt;=J1580,1,0)</f>
        <v>0</v>
      </c>
    </row>
    <row r="1581">
      <c r="A1581" s="24" t="inlineStr">
        <is>
          <t>QL-263-2</t>
        </is>
      </c>
      <c r="B1581" s="39" t="n">
        <v>45920</v>
      </c>
      <c r="C1581" s="40" t="inlineStr">
        <is>
          <t>进港</t>
        </is>
      </c>
      <c r="D1581" s="24" t="inlineStr">
        <is>
          <t>金属矿石</t>
        </is>
      </c>
      <c r="E1581" s="24" t="inlineStr">
        <is>
          <t>北美</t>
        </is>
      </c>
      <c r="F1581" s="24" t="inlineStr">
        <is>
          <t>02号泊位</t>
        </is>
      </c>
      <c r="G1581" s="25" t="n">
        <v>22985</v>
      </c>
      <c r="H1581" s="41" t="n">
        <v>15.89</v>
      </c>
      <c r="I1581" s="41" t="n">
        <v>5.08</v>
      </c>
      <c r="J1581" s="41" t="n">
        <v>14.83</v>
      </c>
      <c r="K1581" s="25" t="n">
        <v>0</v>
      </c>
      <c r="L1581" s="26">
        <f>IF(H1581&lt;=J1581,1,0)</f>
        <v>0</v>
      </c>
    </row>
    <row r="1582">
      <c r="A1582" s="19" t="inlineStr">
        <is>
          <t>QL-263-3</t>
        </is>
      </c>
      <c r="B1582" s="36" t="n">
        <v>45920</v>
      </c>
      <c r="C1582" s="37" t="inlineStr">
        <is>
          <t>进港</t>
        </is>
      </c>
      <c r="D1582" s="19" t="inlineStr">
        <is>
          <t>煤炭</t>
        </is>
      </c>
      <c r="E1582" s="19" t="inlineStr">
        <is>
          <t>国内沿海</t>
        </is>
      </c>
      <c r="F1582" s="19" t="inlineStr">
        <is>
          <t>03号泊位</t>
        </is>
      </c>
      <c r="G1582" s="20" t="n">
        <v>25804</v>
      </c>
      <c r="H1582" s="38" t="n">
        <v>21.35</v>
      </c>
      <c r="I1582" s="38" t="n">
        <v>4.22</v>
      </c>
      <c r="J1582" s="38" t="n">
        <v>19.55</v>
      </c>
      <c r="K1582" s="20" t="n">
        <v>0</v>
      </c>
      <c r="L1582" s="26">
        <f>IF(H1582&lt;=J1582,1,0)</f>
        <v>0</v>
      </c>
    </row>
    <row r="1583">
      <c r="A1583" s="24" t="inlineStr">
        <is>
          <t>QL-263-4</t>
        </is>
      </c>
      <c r="B1583" s="39" t="n">
        <v>45920</v>
      </c>
      <c r="C1583" s="40" t="inlineStr">
        <is>
          <t>进港</t>
        </is>
      </c>
      <c r="D1583" s="24" t="inlineStr">
        <is>
          <t>粮食</t>
        </is>
      </c>
      <c r="E1583" s="24" t="inlineStr">
        <is>
          <t>欧洲</t>
        </is>
      </c>
      <c r="F1583" s="24" t="inlineStr">
        <is>
          <t>04号泊位</t>
        </is>
      </c>
      <c r="G1583" s="25" t="n">
        <v>23878</v>
      </c>
      <c r="H1583" s="41" t="n">
        <v>21.17</v>
      </c>
      <c r="I1583" s="41" t="n">
        <v>6.28</v>
      </c>
      <c r="J1583" s="41" t="n">
        <v>23.41</v>
      </c>
      <c r="K1583" s="25" t="n">
        <v>0</v>
      </c>
      <c r="L1583" s="26">
        <f>IF(H1583&lt;=J1583,1,0)</f>
        <v>1</v>
      </c>
    </row>
    <row r="1584">
      <c r="A1584" s="19" t="inlineStr">
        <is>
          <t>QL-263-5</t>
        </is>
      </c>
      <c r="B1584" s="36" t="n">
        <v>45920</v>
      </c>
      <c r="C1584" s="37" t="inlineStr">
        <is>
          <t>出港</t>
        </is>
      </c>
      <c r="D1584" s="19" t="inlineStr">
        <is>
          <t>液体散货</t>
        </is>
      </c>
      <c r="E1584" s="19" t="inlineStr">
        <is>
          <t>国内沿海</t>
        </is>
      </c>
      <c r="F1584" s="19" t="inlineStr">
        <is>
          <t>05号泊位</t>
        </is>
      </c>
      <c r="G1584" s="20" t="n">
        <v>21145</v>
      </c>
      <c r="H1584" s="38" t="n">
        <v>17.03</v>
      </c>
      <c r="I1584" s="38" t="n">
        <v>4.36</v>
      </c>
      <c r="J1584" s="38" t="n">
        <v>14.68</v>
      </c>
      <c r="K1584" s="20" t="n">
        <v>0</v>
      </c>
      <c r="L1584" s="26">
        <f>IF(H1584&lt;=J1584,1,0)</f>
        <v>0</v>
      </c>
    </row>
    <row r="1585">
      <c r="A1585" s="24" t="inlineStr">
        <is>
          <t>QL-263-6</t>
        </is>
      </c>
      <c r="B1585" s="39" t="n">
        <v>45920</v>
      </c>
      <c r="C1585" s="40" t="inlineStr">
        <is>
          <t>出港</t>
        </is>
      </c>
      <c r="D1585" s="24" t="inlineStr">
        <is>
          <t>件杂货</t>
        </is>
      </c>
      <c r="E1585" s="24" t="inlineStr">
        <is>
          <t>东亚</t>
        </is>
      </c>
      <c r="F1585" s="24" t="inlineStr">
        <is>
          <t>06号泊位</t>
        </is>
      </c>
      <c r="G1585" s="25" t="n">
        <v>9583</v>
      </c>
      <c r="H1585" s="41" t="n">
        <v>18.97</v>
      </c>
      <c r="I1585" s="41" t="n">
        <v>2.86</v>
      </c>
      <c r="J1585" s="41" t="n">
        <v>15.71</v>
      </c>
      <c r="K1585" s="25" t="n">
        <v>0</v>
      </c>
      <c r="L1585" s="26">
        <f>IF(H1585&lt;=J1585,1,0)</f>
        <v>0</v>
      </c>
    </row>
    <row r="1586">
      <c r="A1586" s="19" t="inlineStr">
        <is>
          <t>QL-264-1</t>
        </is>
      </c>
      <c r="B1586" s="36" t="n">
        <v>45921</v>
      </c>
      <c r="C1586" s="37" t="inlineStr">
        <is>
          <t>进港</t>
        </is>
      </c>
      <c r="D1586" s="19" t="inlineStr">
        <is>
          <t>集装箱货物</t>
        </is>
      </c>
      <c r="E1586" s="19" t="inlineStr">
        <is>
          <t>国内沿海</t>
        </is>
      </c>
      <c r="F1586" s="19" t="inlineStr">
        <is>
          <t>01号泊位</t>
        </is>
      </c>
      <c r="G1586" s="20" t="n">
        <v>13609</v>
      </c>
      <c r="H1586" s="38" t="n">
        <v>16.96</v>
      </c>
      <c r="I1586" s="38" t="n">
        <v>3.29</v>
      </c>
      <c r="J1586" s="38" t="n">
        <v>15.12</v>
      </c>
      <c r="K1586" s="20" t="n">
        <v>914</v>
      </c>
      <c r="L1586" s="26">
        <f>IF(H1586&lt;=J1586,1,0)</f>
        <v>0</v>
      </c>
    </row>
    <row r="1587">
      <c r="A1587" s="24" t="inlineStr">
        <is>
          <t>QL-264-2</t>
        </is>
      </c>
      <c r="B1587" s="39" t="n">
        <v>45921</v>
      </c>
      <c r="C1587" s="40" t="inlineStr">
        <is>
          <t>进港</t>
        </is>
      </c>
      <c r="D1587" s="24" t="inlineStr">
        <is>
          <t>金属矿石</t>
        </is>
      </c>
      <c r="E1587" s="24" t="inlineStr">
        <is>
          <t>国内沿海</t>
        </is>
      </c>
      <c r="F1587" s="24" t="inlineStr">
        <is>
          <t>02号泊位</t>
        </is>
      </c>
      <c r="G1587" s="25" t="n">
        <v>24479</v>
      </c>
      <c r="H1587" s="41" t="n">
        <v>16.78</v>
      </c>
      <c r="I1587" s="41" t="n">
        <v>5.58</v>
      </c>
      <c r="J1587" s="41" t="n">
        <v>15.79</v>
      </c>
      <c r="K1587" s="25" t="n">
        <v>0</v>
      </c>
      <c r="L1587" s="26">
        <f>IF(H1587&lt;=J1587,1,0)</f>
        <v>0</v>
      </c>
    </row>
    <row r="1588">
      <c r="A1588" s="19" t="inlineStr">
        <is>
          <t>QL-264-3</t>
        </is>
      </c>
      <c r="B1588" s="36" t="n">
        <v>45921</v>
      </c>
      <c r="C1588" s="37" t="inlineStr">
        <is>
          <t>进港</t>
        </is>
      </c>
      <c r="D1588" s="19" t="inlineStr">
        <is>
          <t>煤炭</t>
        </is>
      </c>
      <c r="E1588" s="19" t="inlineStr">
        <is>
          <t>东亚</t>
        </is>
      </c>
      <c r="F1588" s="19" t="inlineStr">
        <is>
          <t>03号泊位</t>
        </is>
      </c>
      <c r="G1588" s="20" t="n">
        <v>28148</v>
      </c>
      <c r="H1588" s="38" t="n">
        <v>17.91</v>
      </c>
      <c r="I1588" s="38" t="n">
        <v>4.36</v>
      </c>
      <c r="J1588" s="38" t="n">
        <v>21.32</v>
      </c>
      <c r="K1588" s="20" t="n">
        <v>0</v>
      </c>
      <c r="L1588" s="26">
        <f>IF(H1588&lt;=J1588,1,0)</f>
        <v>1</v>
      </c>
    </row>
    <row r="1589">
      <c r="A1589" s="24" t="inlineStr">
        <is>
          <t>QL-264-4</t>
        </is>
      </c>
      <c r="B1589" s="39" t="n">
        <v>45921</v>
      </c>
      <c r="C1589" s="40" t="inlineStr">
        <is>
          <t>进港</t>
        </is>
      </c>
      <c r="D1589" s="24" t="inlineStr">
        <is>
          <t>粮食</t>
        </is>
      </c>
      <c r="E1589" s="24" t="inlineStr">
        <is>
          <t>东南亚</t>
        </is>
      </c>
      <c r="F1589" s="24" t="inlineStr">
        <is>
          <t>04号泊位</t>
        </is>
      </c>
      <c r="G1589" s="25" t="n">
        <v>13298</v>
      </c>
      <c r="H1589" s="41" t="n">
        <v>11.15</v>
      </c>
      <c r="I1589" s="41" t="n">
        <v>2.47</v>
      </c>
      <c r="J1589" s="41" t="n">
        <v>13.04</v>
      </c>
      <c r="K1589" s="25" t="n">
        <v>0</v>
      </c>
      <c r="L1589" s="26">
        <f>IF(H1589&lt;=J1589,1,0)</f>
        <v>1</v>
      </c>
    </row>
    <row r="1590">
      <c r="A1590" s="19" t="inlineStr">
        <is>
          <t>QL-264-5</t>
        </is>
      </c>
      <c r="B1590" s="36" t="n">
        <v>45921</v>
      </c>
      <c r="C1590" s="37" t="inlineStr">
        <is>
          <t>进港</t>
        </is>
      </c>
      <c r="D1590" s="19" t="inlineStr">
        <is>
          <t>液体散货</t>
        </is>
      </c>
      <c r="E1590" s="19" t="inlineStr">
        <is>
          <t>国内沿海</t>
        </is>
      </c>
      <c r="F1590" s="19" t="inlineStr">
        <is>
          <t>05号泊位</t>
        </is>
      </c>
      <c r="G1590" s="20" t="n">
        <v>17495</v>
      </c>
      <c r="H1590" s="38" t="n">
        <v>14.05</v>
      </c>
      <c r="I1590" s="38" t="n">
        <v>4.99</v>
      </c>
      <c r="J1590" s="38" t="n">
        <v>12.15</v>
      </c>
      <c r="K1590" s="20" t="n">
        <v>0</v>
      </c>
      <c r="L1590" s="26">
        <f>IF(H1590&lt;=J1590,1,0)</f>
        <v>0</v>
      </c>
    </row>
    <row r="1591">
      <c r="A1591" s="24" t="inlineStr">
        <is>
          <t>QL-264-6</t>
        </is>
      </c>
      <c r="B1591" s="39" t="n">
        <v>45921</v>
      </c>
      <c r="C1591" s="40" t="inlineStr">
        <is>
          <t>进港</t>
        </is>
      </c>
      <c r="D1591" s="24" t="inlineStr">
        <is>
          <t>件杂货</t>
        </is>
      </c>
      <c r="E1591" s="24" t="inlineStr">
        <is>
          <t>国内沿海</t>
        </is>
      </c>
      <c r="F1591" s="24" t="inlineStr">
        <is>
          <t>06号泊位</t>
        </is>
      </c>
      <c r="G1591" s="25" t="n">
        <v>11844</v>
      </c>
      <c r="H1591" s="41" t="n">
        <v>22.34</v>
      </c>
      <c r="I1591" s="41" t="n">
        <v>2.68</v>
      </c>
      <c r="J1591" s="41" t="n">
        <v>19.42</v>
      </c>
      <c r="K1591" s="25" t="n">
        <v>0</v>
      </c>
      <c r="L1591" s="26">
        <f>IF(H1591&lt;=J1591,1,0)</f>
        <v>0</v>
      </c>
    </row>
    <row r="1592">
      <c r="A1592" s="19" t="inlineStr">
        <is>
          <t>QL-265-1</t>
        </is>
      </c>
      <c r="B1592" s="36" t="n">
        <v>45922</v>
      </c>
      <c r="C1592" s="37" t="inlineStr">
        <is>
          <t>出港</t>
        </is>
      </c>
      <c r="D1592" s="19" t="inlineStr">
        <is>
          <t>集装箱货物</t>
        </is>
      </c>
      <c r="E1592" s="19" t="inlineStr">
        <is>
          <t>东南亚</t>
        </is>
      </c>
      <c r="F1592" s="19" t="inlineStr">
        <is>
          <t>01号泊位</t>
        </is>
      </c>
      <c r="G1592" s="20" t="n">
        <v>19106</v>
      </c>
      <c r="H1592" s="38" t="n">
        <v>22.95</v>
      </c>
      <c r="I1592" s="38" t="n">
        <v>4.95</v>
      </c>
      <c r="J1592" s="38" t="n">
        <v>21.23</v>
      </c>
      <c r="K1592" s="20" t="n">
        <v>1315</v>
      </c>
      <c r="L1592" s="26">
        <f>IF(H1592&lt;=J1592,1,0)</f>
        <v>0</v>
      </c>
    </row>
    <row r="1593">
      <c r="A1593" s="24" t="inlineStr">
        <is>
          <t>QL-265-2</t>
        </is>
      </c>
      <c r="B1593" s="39" t="n">
        <v>45922</v>
      </c>
      <c r="C1593" s="40" t="inlineStr">
        <is>
          <t>进港</t>
        </is>
      </c>
      <c r="D1593" s="24" t="inlineStr">
        <is>
          <t>金属矿石</t>
        </is>
      </c>
      <c r="E1593" s="24" t="inlineStr">
        <is>
          <t>国内沿海</t>
        </is>
      </c>
      <c r="F1593" s="24" t="inlineStr">
        <is>
          <t>02号泊位</t>
        </is>
      </c>
      <c r="G1593" s="25" t="n">
        <v>28468</v>
      </c>
      <c r="H1593" s="41" t="n">
        <v>17.11</v>
      </c>
      <c r="I1593" s="41" t="n">
        <v>5.97</v>
      </c>
      <c r="J1593" s="41" t="n">
        <v>18.37</v>
      </c>
      <c r="K1593" s="25" t="n">
        <v>0</v>
      </c>
      <c r="L1593" s="26">
        <f>IF(H1593&lt;=J1593,1,0)</f>
        <v>1</v>
      </c>
    </row>
    <row r="1594">
      <c r="A1594" s="19" t="inlineStr">
        <is>
          <t>QL-265-3</t>
        </is>
      </c>
      <c r="B1594" s="36" t="n">
        <v>45922</v>
      </c>
      <c r="C1594" s="37" t="inlineStr">
        <is>
          <t>进港</t>
        </is>
      </c>
      <c r="D1594" s="19" t="inlineStr">
        <is>
          <t>煤炭</t>
        </is>
      </c>
      <c r="E1594" s="19" t="inlineStr">
        <is>
          <t>东亚</t>
        </is>
      </c>
      <c r="F1594" s="19" t="inlineStr">
        <is>
          <t>03号泊位</t>
        </is>
      </c>
      <c r="G1594" s="20" t="n">
        <v>13859</v>
      </c>
      <c r="H1594" s="38" t="n">
        <v>9.220000000000001</v>
      </c>
      <c r="I1594" s="38" t="n">
        <v>3.61</v>
      </c>
      <c r="J1594" s="38" t="n">
        <v>10.5</v>
      </c>
      <c r="K1594" s="20" t="n">
        <v>0</v>
      </c>
      <c r="L1594" s="26">
        <f>IF(H1594&lt;=J1594,1,0)</f>
        <v>1</v>
      </c>
    </row>
    <row r="1595">
      <c r="A1595" s="24" t="inlineStr">
        <is>
          <t>QL-265-4</t>
        </is>
      </c>
      <c r="B1595" s="39" t="n">
        <v>45922</v>
      </c>
      <c r="C1595" s="40" t="inlineStr">
        <is>
          <t>进港</t>
        </is>
      </c>
      <c r="D1595" s="24" t="inlineStr">
        <is>
          <t>粮食</t>
        </is>
      </c>
      <c r="E1595" s="24" t="inlineStr">
        <is>
          <t>东亚</t>
        </is>
      </c>
      <c r="F1595" s="24" t="inlineStr">
        <is>
          <t>04号泊位</t>
        </is>
      </c>
      <c r="G1595" s="25" t="n">
        <v>17293</v>
      </c>
      <c r="H1595" s="41" t="n">
        <v>16.32</v>
      </c>
      <c r="I1595" s="41" t="n">
        <v>3.63</v>
      </c>
      <c r="J1595" s="41" t="n">
        <v>16.95</v>
      </c>
      <c r="K1595" s="25" t="n">
        <v>0</v>
      </c>
      <c r="L1595" s="26">
        <f>IF(H1595&lt;=J1595,1,0)</f>
        <v>1</v>
      </c>
    </row>
    <row r="1596">
      <c r="A1596" s="19" t="inlineStr">
        <is>
          <t>QL-265-5</t>
        </is>
      </c>
      <c r="B1596" s="36" t="n">
        <v>45922</v>
      </c>
      <c r="C1596" s="37" t="inlineStr">
        <is>
          <t>进港</t>
        </is>
      </c>
      <c r="D1596" s="19" t="inlineStr">
        <is>
          <t>液体散货</t>
        </is>
      </c>
      <c r="E1596" s="19" t="inlineStr">
        <is>
          <t>国内沿海</t>
        </is>
      </c>
      <c r="F1596" s="19" t="inlineStr">
        <is>
          <t>05号泊位</t>
        </is>
      </c>
      <c r="G1596" s="20" t="n">
        <v>18797</v>
      </c>
      <c r="H1596" s="38" t="n">
        <v>11.53</v>
      </c>
      <c r="I1596" s="38" t="n">
        <v>3.66</v>
      </c>
      <c r="J1596" s="38" t="n">
        <v>13.05</v>
      </c>
      <c r="K1596" s="20" t="n">
        <v>0</v>
      </c>
      <c r="L1596" s="26">
        <f>IF(H1596&lt;=J1596,1,0)</f>
        <v>1</v>
      </c>
    </row>
    <row r="1597">
      <c r="A1597" s="24" t="inlineStr">
        <is>
          <t>QL-265-6</t>
        </is>
      </c>
      <c r="B1597" s="39" t="n">
        <v>45922</v>
      </c>
      <c r="C1597" s="40" t="inlineStr">
        <is>
          <t>出港</t>
        </is>
      </c>
      <c r="D1597" s="24" t="inlineStr">
        <is>
          <t>件杂货</t>
        </is>
      </c>
      <c r="E1597" s="24" t="inlineStr">
        <is>
          <t>欧洲</t>
        </is>
      </c>
      <c r="F1597" s="24" t="inlineStr">
        <is>
          <t>06号泊位</t>
        </is>
      </c>
      <c r="G1597" s="25" t="n">
        <v>9600</v>
      </c>
      <c r="H1597" s="41" t="n">
        <v>18.65</v>
      </c>
      <c r="I1597" s="41" t="n">
        <v>3.32</v>
      </c>
      <c r="J1597" s="41" t="n">
        <v>15.74</v>
      </c>
      <c r="K1597" s="25" t="n">
        <v>0</v>
      </c>
      <c r="L1597" s="26">
        <f>IF(H1597&lt;=J1597,1,0)</f>
        <v>0</v>
      </c>
    </row>
    <row r="1598">
      <c r="A1598" s="19" t="inlineStr">
        <is>
          <t>QL-266-1</t>
        </is>
      </c>
      <c r="B1598" s="36" t="n">
        <v>45923</v>
      </c>
      <c r="C1598" s="37" t="inlineStr">
        <is>
          <t>进港</t>
        </is>
      </c>
      <c r="D1598" s="19" t="inlineStr">
        <is>
          <t>集装箱货物</t>
        </is>
      </c>
      <c r="E1598" s="19" t="inlineStr">
        <is>
          <t>东亚</t>
        </is>
      </c>
      <c r="F1598" s="19" t="inlineStr">
        <is>
          <t>01号泊位</t>
        </is>
      </c>
      <c r="G1598" s="20" t="n">
        <v>13060</v>
      </c>
      <c r="H1598" s="38" t="n">
        <v>14.32</v>
      </c>
      <c r="I1598" s="38" t="n">
        <v>5.02</v>
      </c>
      <c r="J1598" s="38" t="n">
        <v>14.51</v>
      </c>
      <c r="K1598" s="20" t="n">
        <v>800</v>
      </c>
      <c r="L1598" s="26">
        <f>IF(H1598&lt;=J1598,1,0)</f>
        <v>1</v>
      </c>
    </row>
    <row r="1599">
      <c r="A1599" s="24" t="inlineStr">
        <is>
          <t>QL-266-2</t>
        </is>
      </c>
      <c r="B1599" s="39" t="n">
        <v>45923</v>
      </c>
      <c r="C1599" s="40" t="inlineStr">
        <is>
          <t>进港</t>
        </is>
      </c>
      <c r="D1599" s="24" t="inlineStr">
        <is>
          <t>金属矿石</t>
        </is>
      </c>
      <c r="E1599" s="24" t="inlineStr">
        <is>
          <t>北美</t>
        </is>
      </c>
      <c r="F1599" s="24" t="inlineStr">
        <is>
          <t>02号泊位</t>
        </is>
      </c>
      <c r="G1599" s="25" t="n">
        <v>26220</v>
      </c>
      <c r="H1599" s="41" t="n">
        <v>17.57</v>
      </c>
      <c r="I1599" s="41" t="n">
        <v>3.18</v>
      </c>
      <c r="J1599" s="41" t="n">
        <v>16.92</v>
      </c>
      <c r="K1599" s="25" t="n">
        <v>0</v>
      </c>
      <c r="L1599" s="26">
        <f>IF(H1599&lt;=J1599,1,0)</f>
        <v>0</v>
      </c>
    </row>
    <row r="1600">
      <c r="A1600" s="19" t="inlineStr">
        <is>
          <t>QL-266-3</t>
        </is>
      </c>
      <c r="B1600" s="36" t="n">
        <v>45923</v>
      </c>
      <c r="C1600" s="37" t="inlineStr">
        <is>
          <t>出港</t>
        </is>
      </c>
      <c r="D1600" s="19" t="inlineStr">
        <is>
          <t>煤炭</t>
        </is>
      </c>
      <c r="E1600" s="19" t="inlineStr">
        <is>
          <t>东亚</t>
        </is>
      </c>
      <c r="F1600" s="19" t="inlineStr">
        <is>
          <t>03号泊位</t>
        </is>
      </c>
      <c r="G1600" s="20" t="n">
        <v>15272</v>
      </c>
      <c r="H1600" s="38" t="n">
        <v>9.789999999999999</v>
      </c>
      <c r="I1600" s="38" t="n">
        <v>7.32</v>
      </c>
      <c r="J1600" s="38" t="n">
        <v>11.57</v>
      </c>
      <c r="K1600" s="20" t="n">
        <v>0</v>
      </c>
      <c r="L1600" s="26">
        <f>IF(H1600&lt;=J1600,1,0)</f>
        <v>1</v>
      </c>
    </row>
    <row r="1601">
      <c r="A1601" s="24" t="inlineStr">
        <is>
          <t>QL-266-4</t>
        </is>
      </c>
      <c r="B1601" s="39" t="n">
        <v>45923</v>
      </c>
      <c r="C1601" s="40" t="inlineStr">
        <is>
          <t>进港</t>
        </is>
      </c>
      <c r="D1601" s="24" t="inlineStr">
        <is>
          <t>粮食</t>
        </is>
      </c>
      <c r="E1601" s="24" t="inlineStr">
        <is>
          <t>北美</t>
        </is>
      </c>
      <c r="F1601" s="24" t="inlineStr">
        <is>
          <t>04号泊位</t>
        </is>
      </c>
      <c r="G1601" s="25" t="n">
        <v>19741</v>
      </c>
      <c r="H1601" s="41" t="n">
        <v>20.83</v>
      </c>
      <c r="I1601" s="41" t="n">
        <v>3.17</v>
      </c>
      <c r="J1601" s="41" t="n">
        <v>19.35</v>
      </c>
      <c r="K1601" s="25" t="n">
        <v>0</v>
      </c>
      <c r="L1601" s="26">
        <f>IF(H1601&lt;=J1601,1,0)</f>
        <v>0</v>
      </c>
    </row>
    <row r="1602">
      <c r="A1602" s="19" t="inlineStr">
        <is>
          <t>QL-266-5</t>
        </is>
      </c>
      <c r="B1602" s="36" t="n">
        <v>45923</v>
      </c>
      <c r="C1602" s="37" t="inlineStr">
        <is>
          <t>出港</t>
        </is>
      </c>
      <c r="D1602" s="19" t="inlineStr">
        <is>
          <t>液体散货</t>
        </is>
      </c>
      <c r="E1602" s="19" t="inlineStr">
        <is>
          <t>北美</t>
        </is>
      </c>
      <c r="F1602" s="19" t="inlineStr">
        <is>
          <t>05号泊位</t>
        </is>
      </c>
      <c r="G1602" s="20" t="n">
        <v>19978</v>
      </c>
      <c r="H1602" s="38" t="n">
        <v>12.16</v>
      </c>
      <c r="I1602" s="38" t="n">
        <v>4.06</v>
      </c>
      <c r="J1602" s="38" t="n">
        <v>13.87</v>
      </c>
      <c r="K1602" s="20" t="n">
        <v>0</v>
      </c>
      <c r="L1602" s="26">
        <f>IF(H1602&lt;=J1602,1,0)</f>
        <v>1</v>
      </c>
    </row>
    <row r="1603">
      <c r="A1603" s="24" t="inlineStr">
        <is>
          <t>QL-266-6</t>
        </is>
      </c>
      <c r="B1603" s="39" t="n">
        <v>45923</v>
      </c>
      <c r="C1603" s="40" t="inlineStr">
        <is>
          <t>进港</t>
        </is>
      </c>
      <c r="D1603" s="24" t="inlineStr">
        <is>
          <t>件杂货</t>
        </is>
      </c>
      <c r="E1603" s="24" t="inlineStr">
        <is>
          <t>国内沿海</t>
        </is>
      </c>
      <c r="F1603" s="24" t="inlineStr">
        <is>
          <t>06号泊位</t>
        </is>
      </c>
      <c r="G1603" s="25" t="n">
        <v>8084</v>
      </c>
      <c r="H1603" s="41" t="n">
        <v>12.54</v>
      </c>
      <c r="I1603" s="41" t="n">
        <v>7.06</v>
      </c>
      <c r="J1603" s="41" t="n">
        <v>13.25</v>
      </c>
      <c r="K1603" s="25" t="n">
        <v>0</v>
      </c>
      <c r="L1603" s="26">
        <f>IF(H1603&lt;=J1603,1,0)</f>
        <v>1</v>
      </c>
    </row>
    <row r="1604">
      <c r="A1604" s="19" t="inlineStr">
        <is>
          <t>QL-267-1</t>
        </is>
      </c>
      <c r="B1604" s="36" t="n">
        <v>45924</v>
      </c>
      <c r="C1604" s="37" t="inlineStr">
        <is>
          <t>进港</t>
        </is>
      </c>
      <c r="D1604" s="19" t="inlineStr">
        <is>
          <t>集装箱货物</t>
        </is>
      </c>
      <c r="E1604" s="19" t="inlineStr">
        <is>
          <t>欧洲</t>
        </is>
      </c>
      <c r="F1604" s="19" t="inlineStr">
        <is>
          <t>01号泊位</t>
        </is>
      </c>
      <c r="G1604" s="20" t="n">
        <v>14547</v>
      </c>
      <c r="H1604" s="38" t="n">
        <v>18.37</v>
      </c>
      <c r="I1604" s="38" t="n">
        <v>2.21</v>
      </c>
      <c r="J1604" s="38" t="n">
        <v>16.16</v>
      </c>
      <c r="K1604" s="20" t="n">
        <v>1051</v>
      </c>
      <c r="L1604" s="26">
        <f>IF(H1604&lt;=J1604,1,0)</f>
        <v>0</v>
      </c>
    </row>
    <row r="1605">
      <c r="A1605" s="24" t="inlineStr">
        <is>
          <t>QL-267-2</t>
        </is>
      </c>
      <c r="B1605" s="39" t="n">
        <v>45924</v>
      </c>
      <c r="C1605" s="40" t="inlineStr">
        <is>
          <t>出港</t>
        </is>
      </c>
      <c r="D1605" s="24" t="inlineStr">
        <is>
          <t>金属矿石</t>
        </is>
      </c>
      <c r="E1605" s="24" t="inlineStr">
        <is>
          <t>东南亚</t>
        </is>
      </c>
      <c r="F1605" s="24" t="inlineStr">
        <is>
          <t>02号泊位</t>
        </is>
      </c>
      <c r="G1605" s="25" t="n">
        <v>41954</v>
      </c>
      <c r="H1605" s="41" t="n">
        <v>26.57</v>
      </c>
      <c r="I1605" s="41" t="n">
        <v>6.32</v>
      </c>
      <c r="J1605" s="41" t="n">
        <v>27.07</v>
      </c>
      <c r="K1605" s="25" t="n">
        <v>0</v>
      </c>
      <c r="L1605" s="26">
        <f>IF(H1605&lt;=J1605,1,0)</f>
        <v>1</v>
      </c>
    </row>
    <row r="1606">
      <c r="A1606" s="19" t="inlineStr">
        <is>
          <t>QL-267-3</t>
        </is>
      </c>
      <c r="B1606" s="36" t="n">
        <v>45924</v>
      </c>
      <c r="C1606" s="37" t="inlineStr">
        <is>
          <t>进港</t>
        </is>
      </c>
      <c r="D1606" s="19" t="inlineStr">
        <is>
          <t>煤炭</t>
        </is>
      </c>
      <c r="E1606" s="19" t="inlineStr">
        <is>
          <t>东亚</t>
        </is>
      </c>
      <c r="F1606" s="19" t="inlineStr">
        <is>
          <t>03号泊位</t>
        </is>
      </c>
      <c r="G1606" s="20" t="n">
        <v>23475</v>
      </c>
      <c r="H1606" s="38" t="n">
        <v>18.2</v>
      </c>
      <c r="I1606" s="38" t="n">
        <v>2.85</v>
      </c>
      <c r="J1606" s="38" t="n">
        <v>17.78</v>
      </c>
      <c r="K1606" s="20" t="n">
        <v>0</v>
      </c>
      <c r="L1606" s="26">
        <f>IF(H1606&lt;=J1606,1,0)</f>
        <v>0</v>
      </c>
    </row>
    <row r="1607">
      <c r="A1607" s="24" t="inlineStr">
        <is>
          <t>QL-267-4</t>
        </is>
      </c>
      <c r="B1607" s="39" t="n">
        <v>45924</v>
      </c>
      <c r="C1607" s="40" t="inlineStr">
        <is>
          <t>出港</t>
        </is>
      </c>
      <c r="D1607" s="24" t="inlineStr">
        <is>
          <t>粮食</t>
        </is>
      </c>
      <c r="E1607" s="24" t="inlineStr">
        <is>
          <t>国内沿海</t>
        </is>
      </c>
      <c r="F1607" s="24" t="inlineStr">
        <is>
          <t>04号泊位</t>
        </is>
      </c>
      <c r="G1607" s="25" t="n">
        <v>13611</v>
      </c>
      <c r="H1607" s="41" t="n">
        <v>11.08</v>
      </c>
      <c r="I1607" s="41" t="n">
        <v>3.14</v>
      </c>
      <c r="J1607" s="41" t="n">
        <v>13.34</v>
      </c>
      <c r="K1607" s="25" t="n">
        <v>0</v>
      </c>
      <c r="L1607" s="26">
        <f>IF(H1607&lt;=J1607,1,0)</f>
        <v>1</v>
      </c>
    </row>
    <row r="1608">
      <c r="A1608" s="19" t="inlineStr">
        <is>
          <t>QL-267-5</t>
        </is>
      </c>
      <c r="B1608" s="36" t="n">
        <v>45924</v>
      </c>
      <c r="C1608" s="37" t="inlineStr">
        <is>
          <t>进港</t>
        </is>
      </c>
      <c r="D1608" s="19" t="inlineStr">
        <is>
          <t>液体散货</t>
        </is>
      </c>
      <c r="E1608" s="19" t="inlineStr">
        <is>
          <t>国内沿海</t>
        </is>
      </c>
      <c r="F1608" s="19" t="inlineStr">
        <is>
          <t>05号泊位</t>
        </is>
      </c>
      <c r="G1608" s="20" t="n">
        <v>23975</v>
      </c>
      <c r="H1608" s="38" t="n">
        <v>14.45</v>
      </c>
      <c r="I1608" s="38" t="n">
        <v>4.9</v>
      </c>
      <c r="J1608" s="38" t="n">
        <v>16.65</v>
      </c>
      <c r="K1608" s="20" t="n">
        <v>0</v>
      </c>
      <c r="L1608" s="26">
        <f>IF(H1608&lt;=J1608,1,0)</f>
        <v>1</v>
      </c>
    </row>
    <row r="1609">
      <c r="A1609" s="24" t="inlineStr">
        <is>
          <t>QL-267-6</t>
        </is>
      </c>
      <c r="B1609" s="39" t="n">
        <v>45924</v>
      </c>
      <c r="C1609" s="40" t="inlineStr">
        <is>
          <t>进港</t>
        </is>
      </c>
      <c r="D1609" s="24" t="inlineStr">
        <is>
          <t>件杂货</t>
        </is>
      </c>
      <c r="E1609" s="24" t="inlineStr">
        <is>
          <t>东亚</t>
        </is>
      </c>
      <c r="F1609" s="24" t="inlineStr">
        <is>
          <t>06号泊位</t>
        </is>
      </c>
      <c r="G1609" s="25" t="n">
        <v>9557</v>
      </c>
      <c r="H1609" s="41" t="n">
        <v>16.39</v>
      </c>
      <c r="I1609" s="41" t="n">
        <v>4.68</v>
      </c>
      <c r="J1609" s="41" t="n">
        <v>15.67</v>
      </c>
      <c r="K1609" s="25" t="n">
        <v>0</v>
      </c>
      <c r="L1609" s="26">
        <f>IF(H1609&lt;=J1609,1,0)</f>
        <v>0</v>
      </c>
    </row>
    <row r="1610">
      <c r="A1610" s="19" t="inlineStr">
        <is>
          <t>QL-268-1</t>
        </is>
      </c>
      <c r="B1610" s="36" t="n">
        <v>45925</v>
      </c>
      <c r="C1610" s="37" t="inlineStr">
        <is>
          <t>进港</t>
        </is>
      </c>
      <c r="D1610" s="19" t="inlineStr">
        <is>
          <t>集装箱货物</t>
        </is>
      </c>
      <c r="E1610" s="19" t="inlineStr">
        <is>
          <t>国内沿海</t>
        </is>
      </c>
      <c r="F1610" s="19" t="inlineStr">
        <is>
          <t>01号泊位</t>
        </is>
      </c>
      <c r="G1610" s="20" t="n">
        <v>9017</v>
      </c>
      <c r="H1610" s="38" t="n">
        <v>8.74</v>
      </c>
      <c r="I1610" s="38" t="n">
        <v>4.86</v>
      </c>
      <c r="J1610" s="38" t="n">
        <v>10.02</v>
      </c>
      <c r="K1610" s="20" t="n">
        <v>674</v>
      </c>
      <c r="L1610" s="26">
        <f>IF(H1610&lt;=J1610,1,0)</f>
        <v>1</v>
      </c>
    </row>
    <row r="1611">
      <c r="A1611" s="24" t="inlineStr">
        <is>
          <t>QL-268-2</t>
        </is>
      </c>
      <c r="B1611" s="39" t="n">
        <v>45925</v>
      </c>
      <c r="C1611" s="40" t="inlineStr">
        <is>
          <t>进港</t>
        </is>
      </c>
      <c r="D1611" s="24" t="inlineStr">
        <is>
          <t>金属矿石</t>
        </is>
      </c>
      <c r="E1611" s="24" t="inlineStr">
        <is>
          <t>国内沿海</t>
        </is>
      </c>
      <c r="F1611" s="24" t="inlineStr">
        <is>
          <t>02号泊位</t>
        </is>
      </c>
      <c r="G1611" s="25" t="n">
        <v>26248</v>
      </c>
      <c r="H1611" s="41" t="n">
        <v>16.04</v>
      </c>
      <c r="I1611" s="41" t="n">
        <v>4.49</v>
      </c>
      <c r="J1611" s="41" t="n">
        <v>16.93</v>
      </c>
      <c r="K1611" s="25" t="n">
        <v>0</v>
      </c>
      <c r="L1611" s="26">
        <f>IF(H1611&lt;=J1611,1,0)</f>
        <v>1</v>
      </c>
    </row>
    <row r="1612">
      <c r="A1612" s="19" t="inlineStr">
        <is>
          <t>QL-268-3</t>
        </is>
      </c>
      <c r="B1612" s="36" t="n">
        <v>45925</v>
      </c>
      <c r="C1612" s="37" t="inlineStr">
        <is>
          <t>进港</t>
        </is>
      </c>
      <c r="D1612" s="19" t="inlineStr">
        <is>
          <t>煤炭</t>
        </is>
      </c>
      <c r="E1612" s="19" t="inlineStr">
        <is>
          <t>国内沿海</t>
        </is>
      </c>
      <c r="F1612" s="19" t="inlineStr">
        <is>
          <t>03号泊位</t>
        </is>
      </c>
      <c r="G1612" s="20" t="n">
        <v>19832</v>
      </c>
      <c r="H1612" s="38" t="n">
        <v>13.3</v>
      </c>
      <c r="I1612" s="38" t="n">
        <v>1.25</v>
      </c>
      <c r="J1612" s="38" t="n">
        <v>15.02</v>
      </c>
      <c r="K1612" s="20" t="n">
        <v>0</v>
      </c>
      <c r="L1612" s="26">
        <f>IF(H1612&lt;=J1612,1,0)</f>
        <v>1</v>
      </c>
    </row>
    <row r="1613">
      <c r="A1613" s="24" t="inlineStr">
        <is>
          <t>QL-268-4</t>
        </is>
      </c>
      <c r="B1613" s="39" t="n">
        <v>45925</v>
      </c>
      <c r="C1613" s="40" t="inlineStr">
        <is>
          <t>进港</t>
        </is>
      </c>
      <c r="D1613" s="24" t="inlineStr">
        <is>
          <t>粮食</t>
        </is>
      </c>
      <c r="E1613" s="24" t="inlineStr">
        <is>
          <t>国内沿海</t>
        </is>
      </c>
      <c r="F1613" s="24" t="inlineStr">
        <is>
          <t>04号泊位</t>
        </is>
      </c>
      <c r="G1613" s="25" t="n">
        <v>6078</v>
      </c>
      <c r="H1613" s="41" t="n">
        <v>6.65</v>
      </c>
      <c r="I1613" s="41" t="n">
        <v>2.8</v>
      </c>
      <c r="J1613" s="41" t="n">
        <v>5.96</v>
      </c>
      <c r="K1613" s="25" t="n">
        <v>0</v>
      </c>
      <c r="L1613" s="26">
        <f>IF(H1613&lt;=J1613,1,0)</f>
        <v>0</v>
      </c>
    </row>
    <row r="1614">
      <c r="A1614" s="19" t="inlineStr">
        <is>
          <t>QL-268-5</t>
        </is>
      </c>
      <c r="B1614" s="36" t="n">
        <v>45925</v>
      </c>
      <c r="C1614" s="37" t="inlineStr">
        <is>
          <t>出港</t>
        </is>
      </c>
      <c r="D1614" s="19" t="inlineStr">
        <is>
          <t>液体散货</t>
        </is>
      </c>
      <c r="E1614" s="19" t="inlineStr">
        <is>
          <t>国内沿海</t>
        </is>
      </c>
      <c r="F1614" s="19" t="inlineStr">
        <is>
          <t>05号泊位</t>
        </is>
      </c>
      <c r="G1614" s="20" t="n">
        <v>13477</v>
      </c>
      <c r="H1614" s="38" t="n">
        <v>7.8</v>
      </c>
      <c r="I1614" s="38" t="n">
        <v>1.1</v>
      </c>
      <c r="J1614" s="38" t="n">
        <v>9.359999999999999</v>
      </c>
      <c r="K1614" s="20" t="n">
        <v>0</v>
      </c>
      <c r="L1614" s="26">
        <f>IF(H1614&lt;=J1614,1,0)</f>
        <v>1</v>
      </c>
    </row>
    <row r="1615">
      <c r="A1615" s="24" t="inlineStr">
        <is>
          <t>QL-268-6</t>
        </is>
      </c>
      <c r="B1615" s="39" t="n">
        <v>45925</v>
      </c>
      <c r="C1615" s="40" t="inlineStr">
        <is>
          <t>进港</t>
        </is>
      </c>
      <c r="D1615" s="24" t="inlineStr">
        <is>
          <t>件杂货</t>
        </is>
      </c>
      <c r="E1615" s="24" t="inlineStr">
        <is>
          <t>国内沿海</t>
        </is>
      </c>
      <c r="F1615" s="24" t="inlineStr">
        <is>
          <t>06号泊位</t>
        </is>
      </c>
      <c r="G1615" s="25" t="n">
        <v>9952</v>
      </c>
      <c r="H1615" s="41" t="n">
        <v>17.72</v>
      </c>
      <c r="I1615" s="41" t="n">
        <v>1.41</v>
      </c>
      <c r="J1615" s="41" t="n">
        <v>16.31</v>
      </c>
      <c r="K1615" s="25" t="n">
        <v>0</v>
      </c>
      <c r="L1615" s="26">
        <f>IF(H1615&lt;=J1615,1,0)</f>
        <v>0</v>
      </c>
    </row>
    <row r="1616">
      <c r="A1616" s="19" t="inlineStr">
        <is>
          <t>QL-269-1</t>
        </is>
      </c>
      <c r="B1616" s="36" t="n">
        <v>45926</v>
      </c>
      <c r="C1616" s="37" t="inlineStr">
        <is>
          <t>出港</t>
        </is>
      </c>
      <c r="D1616" s="19" t="inlineStr">
        <is>
          <t>集装箱货物</t>
        </is>
      </c>
      <c r="E1616" s="19" t="inlineStr">
        <is>
          <t>东亚</t>
        </is>
      </c>
      <c r="F1616" s="19" t="inlineStr">
        <is>
          <t>01号泊位</t>
        </is>
      </c>
      <c r="G1616" s="20" t="n">
        <v>10515</v>
      </c>
      <c r="H1616" s="38" t="n">
        <v>13.17</v>
      </c>
      <c r="I1616" s="38" t="n">
        <v>2.14</v>
      </c>
      <c r="J1616" s="38" t="n">
        <v>11.68</v>
      </c>
      <c r="K1616" s="20" t="n">
        <v>837</v>
      </c>
      <c r="L1616" s="26">
        <f>IF(H1616&lt;=J1616,1,0)</f>
        <v>0</v>
      </c>
    </row>
    <row r="1617">
      <c r="A1617" s="24" t="inlineStr">
        <is>
          <t>QL-269-2</t>
        </is>
      </c>
      <c r="B1617" s="39" t="n">
        <v>45926</v>
      </c>
      <c r="C1617" s="40" t="inlineStr">
        <is>
          <t>进港</t>
        </is>
      </c>
      <c r="D1617" s="24" t="inlineStr">
        <is>
          <t>金属矿石</t>
        </is>
      </c>
      <c r="E1617" s="24" t="inlineStr">
        <is>
          <t>东亚</t>
        </is>
      </c>
      <c r="F1617" s="24" t="inlineStr">
        <is>
          <t>02号泊位</t>
        </is>
      </c>
      <c r="G1617" s="25" t="n">
        <v>25478</v>
      </c>
      <c r="H1617" s="41" t="n">
        <v>14.43</v>
      </c>
      <c r="I1617" s="41" t="n">
        <v>0.42</v>
      </c>
      <c r="J1617" s="41" t="n">
        <v>16.44</v>
      </c>
      <c r="K1617" s="25" t="n">
        <v>0</v>
      </c>
      <c r="L1617" s="26">
        <f>IF(H1617&lt;=J1617,1,0)</f>
        <v>1</v>
      </c>
    </row>
    <row r="1618">
      <c r="A1618" s="19" t="inlineStr">
        <is>
          <t>QL-269-3</t>
        </is>
      </c>
      <c r="B1618" s="36" t="n">
        <v>45926</v>
      </c>
      <c r="C1618" s="37" t="inlineStr">
        <is>
          <t>进港</t>
        </is>
      </c>
      <c r="D1618" s="19" t="inlineStr">
        <is>
          <t>煤炭</t>
        </is>
      </c>
      <c r="E1618" s="19" t="inlineStr">
        <is>
          <t>国内沿海</t>
        </is>
      </c>
      <c r="F1618" s="19" t="inlineStr">
        <is>
          <t>03号泊位</t>
        </is>
      </c>
      <c r="G1618" s="20" t="n">
        <v>20162</v>
      </c>
      <c r="H1618" s="38" t="n">
        <v>16.13</v>
      </c>
      <c r="I1618" s="38" t="n">
        <v>0.88</v>
      </c>
      <c r="J1618" s="38" t="n">
        <v>15.27</v>
      </c>
      <c r="K1618" s="20" t="n">
        <v>0</v>
      </c>
      <c r="L1618" s="26">
        <f>IF(H1618&lt;=J1618,1,0)</f>
        <v>0</v>
      </c>
    </row>
    <row r="1619">
      <c r="A1619" s="24" t="inlineStr">
        <is>
          <t>QL-269-4</t>
        </is>
      </c>
      <c r="B1619" s="39" t="n">
        <v>45926</v>
      </c>
      <c r="C1619" s="40" t="inlineStr">
        <is>
          <t>进港</t>
        </is>
      </c>
      <c r="D1619" s="24" t="inlineStr">
        <is>
          <t>粮食</t>
        </is>
      </c>
      <c r="E1619" s="24" t="inlineStr">
        <is>
          <t>东亚</t>
        </is>
      </c>
      <c r="F1619" s="24" t="inlineStr">
        <is>
          <t>04号泊位</t>
        </is>
      </c>
      <c r="G1619" s="25" t="n">
        <v>10116</v>
      </c>
      <c r="H1619" s="41" t="n">
        <v>8.02</v>
      </c>
      <c r="I1619" s="41" t="n">
        <v>5.73</v>
      </c>
      <c r="J1619" s="41" t="n">
        <v>9.92</v>
      </c>
      <c r="K1619" s="25" t="n">
        <v>0</v>
      </c>
      <c r="L1619" s="26">
        <f>IF(H1619&lt;=J1619,1,0)</f>
        <v>1</v>
      </c>
    </row>
    <row r="1620">
      <c r="A1620" s="19" t="inlineStr">
        <is>
          <t>QL-269-5</t>
        </is>
      </c>
      <c r="B1620" s="36" t="n">
        <v>45926</v>
      </c>
      <c r="C1620" s="37" t="inlineStr">
        <is>
          <t>进港</t>
        </is>
      </c>
      <c r="D1620" s="19" t="inlineStr">
        <is>
          <t>液体散货</t>
        </is>
      </c>
      <c r="E1620" s="19" t="inlineStr">
        <is>
          <t>国内沿海</t>
        </is>
      </c>
      <c r="F1620" s="19" t="inlineStr">
        <is>
          <t>05号泊位</t>
        </is>
      </c>
      <c r="G1620" s="20" t="n">
        <v>12225</v>
      </c>
      <c r="H1620" s="38" t="n">
        <v>7.64</v>
      </c>
      <c r="I1620" s="38" t="n">
        <v>4.45</v>
      </c>
      <c r="J1620" s="38" t="n">
        <v>8.49</v>
      </c>
      <c r="K1620" s="20" t="n">
        <v>0</v>
      </c>
      <c r="L1620" s="26">
        <f>IF(H1620&lt;=J1620,1,0)</f>
        <v>1</v>
      </c>
    </row>
    <row r="1621">
      <c r="A1621" s="24" t="inlineStr">
        <is>
          <t>QL-269-6</t>
        </is>
      </c>
      <c r="B1621" s="39" t="n">
        <v>45926</v>
      </c>
      <c r="C1621" s="40" t="inlineStr">
        <is>
          <t>进港</t>
        </is>
      </c>
      <c r="D1621" s="24" t="inlineStr">
        <is>
          <t>件杂货</t>
        </is>
      </c>
      <c r="E1621" s="24" t="inlineStr">
        <is>
          <t>国内沿海</t>
        </is>
      </c>
      <c r="F1621" s="24" t="inlineStr">
        <is>
          <t>06号泊位</t>
        </is>
      </c>
      <c r="G1621" s="25" t="n">
        <v>5131</v>
      </c>
      <c r="H1621" s="41" t="n">
        <v>7.17</v>
      </c>
      <c r="I1621" s="41" t="n">
        <v>4.28</v>
      </c>
      <c r="J1621" s="41" t="n">
        <v>8.41</v>
      </c>
      <c r="K1621" s="25" t="n">
        <v>0</v>
      </c>
      <c r="L1621" s="26">
        <f>IF(H1621&lt;=J1621,1,0)</f>
        <v>1</v>
      </c>
    </row>
    <row r="1622">
      <c r="A1622" s="19" t="inlineStr">
        <is>
          <t>QL-270-1</t>
        </is>
      </c>
      <c r="B1622" s="36" t="n">
        <v>45927</v>
      </c>
      <c r="C1622" s="37" t="inlineStr">
        <is>
          <t>进港</t>
        </is>
      </c>
      <c r="D1622" s="19" t="inlineStr">
        <is>
          <t>集装箱货物</t>
        </is>
      </c>
      <c r="E1622" s="19" t="inlineStr">
        <is>
          <t>国内沿海</t>
        </is>
      </c>
      <c r="F1622" s="19" t="inlineStr">
        <is>
          <t>01号泊位</t>
        </is>
      </c>
      <c r="G1622" s="20" t="n">
        <v>10797</v>
      </c>
      <c r="H1622" s="38" t="n">
        <v>11.98</v>
      </c>
      <c r="I1622" s="38" t="n">
        <v>1.32</v>
      </c>
      <c r="J1622" s="38" t="n">
        <v>12</v>
      </c>
      <c r="K1622" s="20" t="n">
        <v>706</v>
      </c>
      <c r="L1622" s="26">
        <f>IF(H1622&lt;=J1622,1,0)</f>
        <v>1</v>
      </c>
    </row>
    <row r="1623">
      <c r="A1623" s="24" t="inlineStr">
        <is>
          <t>QL-270-2</t>
        </is>
      </c>
      <c r="B1623" s="39" t="n">
        <v>45927</v>
      </c>
      <c r="C1623" s="40" t="inlineStr">
        <is>
          <t>进港</t>
        </is>
      </c>
      <c r="D1623" s="24" t="inlineStr">
        <is>
          <t>金属矿石</t>
        </is>
      </c>
      <c r="E1623" s="24" t="inlineStr">
        <is>
          <t>北美</t>
        </is>
      </c>
      <c r="F1623" s="24" t="inlineStr">
        <is>
          <t>02号泊位</t>
        </is>
      </c>
      <c r="G1623" s="25" t="n">
        <v>25146</v>
      </c>
      <c r="H1623" s="41" t="n">
        <v>18.07</v>
      </c>
      <c r="I1623" s="41" t="n">
        <v>8.94</v>
      </c>
      <c r="J1623" s="41" t="n">
        <v>16.22</v>
      </c>
      <c r="K1623" s="25" t="n">
        <v>0</v>
      </c>
      <c r="L1623" s="26">
        <f>IF(H1623&lt;=J1623,1,0)</f>
        <v>0</v>
      </c>
    </row>
    <row r="1624">
      <c r="A1624" s="19" t="inlineStr">
        <is>
          <t>QL-270-3</t>
        </is>
      </c>
      <c r="B1624" s="36" t="n">
        <v>45927</v>
      </c>
      <c r="C1624" s="37" t="inlineStr">
        <is>
          <t>进港</t>
        </is>
      </c>
      <c r="D1624" s="19" t="inlineStr">
        <is>
          <t>煤炭</t>
        </is>
      </c>
      <c r="E1624" s="19" t="inlineStr">
        <is>
          <t>欧洲</t>
        </is>
      </c>
      <c r="F1624" s="19" t="inlineStr">
        <is>
          <t>03号泊位</t>
        </is>
      </c>
      <c r="G1624" s="20" t="n">
        <v>19671</v>
      </c>
      <c r="H1624" s="38" t="n">
        <v>15.16</v>
      </c>
      <c r="I1624" s="38" t="n">
        <v>2.02</v>
      </c>
      <c r="J1624" s="38" t="n">
        <v>14.9</v>
      </c>
      <c r="K1624" s="20" t="n">
        <v>0</v>
      </c>
      <c r="L1624" s="26">
        <f>IF(H1624&lt;=J1624,1,0)</f>
        <v>0</v>
      </c>
    </row>
    <row r="1625">
      <c r="A1625" s="24" t="inlineStr">
        <is>
          <t>QL-270-4</t>
        </is>
      </c>
      <c r="B1625" s="39" t="n">
        <v>45927</v>
      </c>
      <c r="C1625" s="40" t="inlineStr">
        <is>
          <t>进港</t>
        </is>
      </c>
      <c r="D1625" s="24" t="inlineStr">
        <is>
          <t>粮食</t>
        </is>
      </c>
      <c r="E1625" s="24" t="inlineStr">
        <is>
          <t>东南亚</t>
        </is>
      </c>
      <c r="F1625" s="24" t="inlineStr">
        <is>
          <t>04号泊位</t>
        </is>
      </c>
      <c r="G1625" s="25" t="n">
        <v>9364</v>
      </c>
      <c r="H1625" s="41" t="n">
        <v>7.58</v>
      </c>
      <c r="I1625" s="41" t="n">
        <v>1.47</v>
      </c>
      <c r="J1625" s="41" t="n">
        <v>9.18</v>
      </c>
      <c r="K1625" s="25" t="n">
        <v>0</v>
      </c>
      <c r="L1625" s="26">
        <f>IF(H1625&lt;=J1625,1,0)</f>
        <v>1</v>
      </c>
    </row>
    <row r="1626">
      <c r="A1626" s="19" t="inlineStr">
        <is>
          <t>QL-270-5</t>
        </is>
      </c>
      <c r="B1626" s="36" t="n">
        <v>45927</v>
      </c>
      <c r="C1626" s="37" t="inlineStr">
        <is>
          <t>进港</t>
        </is>
      </c>
      <c r="D1626" s="19" t="inlineStr">
        <is>
          <t>液体散货</t>
        </is>
      </c>
      <c r="E1626" s="19" t="inlineStr">
        <is>
          <t>东南亚</t>
        </is>
      </c>
      <c r="F1626" s="19" t="inlineStr">
        <is>
          <t>05号泊位</t>
        </is>
      </c>
      <c r="G1626" s="20" t="n">
        <v>12225</v>
      </c>
      <c r="H1626" s="38" t="n">
        <v>8.640000000000001</v>
      </c>
      <c r="I1626" s="38" t="n">
        <v>1.72</v>
      </c>
      <c r="J1626" s="38" t="n">
        <v>8.49</v>
      </c>
      <c r="K1626" s="20" t="n">
        <v>0</v>
      </c>
      <c r="L1626" s="26">
        <f>IF(H1626&lt;=J1626,1,0)</f>
        <v>0</v>
      </c>
    </row>
    <row r="1627">
      <c r="A1627" s="24" t="inlineStr">
        <is>
          <t>QL-270-6</t>
        </is>
      </c>
      <c r="B1627" s="39" t="n">
        <v>45927</v>
      </c>
      <c r="C1627" s="40" t="inlineStr">
        <is>
          <t>出港</t>
        </is>
      </c>
      <c r="D1627" s="24" t="inlineStr">
        <is>
          <t>件杂货</t>
        </is>
      </c>
      <c r="E1627" s="24" t="inlineStr">
        <is>
          <t>欧洲</t>
        </is>
      </c>
      <c r="F1627" s="24" t="inlineStr">
        <is>
          <t>06号泊位</t>
        </is>
      </c>
      <c r="G1627" s="25" t="n">
        <v>2970</v>
      </c>
      <c r="H1627" s="41" t="n">
        <v>4.21</v>
      </c>
      <c r="I1627" s="41" t="n">
        <v>0.7</v>
      </c>
      <c r="J1627" s="41" t="n">
        <v>4.87</v>
      </c>
      <c r="K1627" s="25" t="n">
        <v>0</v>
      </c>
      <c r="L1627" s="26">
        <f>IF(H1627&lt;=J1627,1,0)</f>
        <v>1</v>
      </c>
    </row>
    <row r="1628">
      <c r="A1628" s="19" t="inlineStr">
        <is>
          <t>QL-271-1</t>
        </is>
      </c>
      <c r="B1628" s="36" t="n">
        <v>45928</v>
      </c>
      <c r="C1628" s="37" t="inlineStr">
        <is>
          <t>进港</t>
        </is>
      </c>
      <c r="D1628" s="19" t="inlineStr">
        <is>
          <t>集装箱货物</t>
        </is>
      </c>
      <c r="E1628" s="19" t="inlineStr">
        <is>
          <t>国内沿海</t>
        </is>
      </c>
      <c r="F1628" s="19" t="inlineStr">
        <is>
          <t>01号泊位</t>
        </is>
      </c>
      <c r="G1628" s="20" t="n">
        <v>10337</v>
      </c>
      <c r="H1628" s="38" t="n">
        <v>11.54</v>
      </c>
      <c r="I1628" s="38" t="n">
        <v>5.13</v>
      </c>
      <c r="J1628" s="38" t="n">
        <v>11.49</v>
      </c>
      <c r="K1628" s="20" t="n">
        <v>638</v>
      </c>
      <c r="L1628" s="26">
        <f>IF(H1628&lt;=J1628,1,0)</f>
        <v>0</v>
      </c>
    </row>
    <row r="1629">
      <c r="A1629" s="24" t="inlineStr">
        <is>
          <t>QL-271-2</t>
        </is>
      </c>
      <c r="B1629" s="39" t="n">
        <v>45928</v>
      </c>
      <c r="C1629" s="40" t="inlineStr">
        <is>
          <t>进港</t>
        </is>
      </c>
      <c r="D1629" s="24" t="inlineStr">
        <is>
          <t>金属矿石</t>
        </is>
      </c>
      <c r="E1629" s="24" t="inlineStr">
        <is>
          <t>东亚</t>
        </is>
      </c>
      <c r="F1629" s="24" t="inlineStr">
        <is>
          <t>02号泊位</t>
        </is>
      </c>
      <c r="G1629" s="25" t="n">
        <v>15238</v>
      </c>
      <c r="H1629" s="41" t="n">
        <v>8.050000000000001</v>
      </c>
      <c r="I1629" s="41" t="n">
        <v>4.43</v>
      </c>
      <c r="J1629" s="41" t="n">
        <v>9.83</v>
      </c>
      <c r="K1629" s="25" t="n">
        <v>0</v>
      </c>
      <c r="L1629" s="26">
        <f>IF(H1629&lt;=J1629,1,0)</f>
        <v>1</v>
      </c>
    </row>
    <row r="1630">
      <c r="A1630" s="19" t="inlineStr">
        <is>
          <t>QL-271-3</t>
        </is>
      </c>
      <c r="B1630" s="36" t="n">
        <v>45928</v>
      </c>
      <c r="C1630" s="37" t="inlineStr">
        <is>
          <t>进港</t>
        </is>
      </c>
      <c r="D1630" s="19" t="inlineStr">
        <is>
          <t>煤炭</t>
        </is>
      </c>
      <c r="E1630" s="19" t="inlineStr">
        <is>
          <t>东亚</t>
        </is>
      </c>
      <c r="F1630" s="19" t="inlineStr">
        <is>
          <t>03号泊位</t>
        </is>
      </c>
      <c r="G1630" s="20" t="n">
        <v>12496</v>
      </c>
      <c r="H1630" s="38" t="n">
        <v>9.029999999999999</v>
      </c>
      <c r="I1630" s="38" t="n">
        <v>2.27</v>
      </c>
      <c r="J1630" s="38" t="n">
        <v>9.470000000000001</v>
      </c>
      <c r="K1630" s="20" t="n">
        <v>0</v>
      </c>
      <c r="L1630" s="26">
        <f>IF(H1630&lt;=J1630,1,0)</f>
        <v>1</v>
      </c>
    </row>
    <row r="1631">
      <c r="A1631" s="24" t="inlineStr">
        <is>
          <t>QL-271-4</t>
        </is>
      </c>
      <c r="B1631" s="39" t="n">
        <v>45928</v>
      </c>
      <c r="C1631" s="40" t="inlineStr">
        <is>
          <t>进港</t>
        </is>
      </c>
      <c r="D1631" s="24" t="inlineStr">
        <is>
          <t>粮食</t>
        </is>
      </c>
      <c r="E1631" s="24" t="inlineStr">
        <is>
          <t>东南亚</t>
        </is>
      </c>
      <c r="F1631" s="24" t="inlineStr">
        <is>
          <t>04号泊位</t>
        </is>
      </c>
      <c r="G1631" s="25" t="n">
        <v>8537</v>
      </c>
      <c r="H1631" s="41" t="n">
        <v>7.36</v>
      </c>
      <c r="I1631" s="41" t="n">
        <v>2.12</v>
      </c>
      <c r="J1631" s="41" t="n">
        <v>8.369999999999999</v>
      </c>
      <c r="K1631" s="25" t="n">
        <v>0</v>
      </c>
      <c r="L1631" s="26">
        <f>IF(H1631&lt;=J1631,1,0)</f>
        <v>1</v>
      </c>
    </row>
    <row r="1632">
      <c r="A1632" s="19" t="inlineStr">
        <is>
          <t>QL-271-5</t>
        </is>
      </c>
      <c r="B1632" s="36" t="n">
        <v>45928</v>
      </c>
      <c r="C1632" s="37" t="inlineStr">
        <is>
          <t>出港</t>
        </is>
      </c>
      <c r="D1632" s="19" t="inlineStr">
        <is>
          <t>液体散货</t>
        </is>
      </c>
      <c r="E1632" s="19" t="inlineStr">
        <is>
          <t>国内沿海</t>
        </is>
      </c>
      <c r="F1632" s="19" t="inlineStr">
        <is>
          <t>05号泊位</t>
        </is>
      </c>
      <c r="G1632" s="20" t="n">
        <v>14893</v>
      </c>
      <c r="H1632" s="38" t="n">
        <v>8.85</v>
      </c>
      <c r="I1632" s="38" t="n">
        <v>1.79</v>
      </c>
      <c r="J1632" s="38" t="n">
        <v>10.34</v>
      </c>
      <c r="K1632" s="20" t="n">
        <v>0</v>
      </c>
      <c r="L1632" s="26">
        <f>IF(H1632&lt;=J1632,1,0)</f>
        <v>1</v>
      </c>
    </row>
    <row r="1633">
      <c r="A1633" s="24" t="inlineStr">
        <is>
          <t>QL-271-6</t>
        </is>
      </c>
      <c r="B1633" s="39" t="n">
        <v>45928</v>
      </c>
      <c r="C1633" s="40" t="inlineStr">
        <is>
          <t>进港</t>
        </is>
      </c>
      <c r="D1633" s="24" t="inlineStr">
        <is>
          <t>件杂货</t>
        </is>
      </c>
      <c r="E1633" s="24" t="inlineStr">
        <is>
          <t>东亚</t>
        </is>
      </c>
      <c r="F1633" s="24" t="inlineStr">
        <is>
          <t>06号泊位</t>
        </is>
      </c>
      <c r="G1633" s="25" t="n">
        <v>12636</v>
      </c>
      <c r="H1633" s="41" t="n">
        <v>19.84</v>
      </c>
      <c r="I1633" s="41" t="n">
        <v>1.29</v>
      </c>
      <c r="J1633" s="41" t="n">
        <v>20.71</v>
      </c>
      <c r="K1633" s="25" t="n">
        <v>0</v>
      </c>
      <c r="L1633" s="26">
        <f>IF(H1633&lt;=J1633,1,0)</f>
        <v>1</v>
      </c>
    </row>
    <row r="1634">
      <c r="A1634" s="19" t="inlineStr">
        <is>
          <t>QL-272-1</t>
        </is>
      </c>
      <c r="B1634" s="36" t="n">
        <v>45929</v>
      </c>
      <c r="C1634" s="37" t="inlineStr">
        <is>
          <t>出港</t>
        </is>
      </c>
      <c r="D1634" s="19" t="inlineStr">
        <is>
          <t>集装箱货物</t>
        </is>
      </c>
      <c r="E1634" s="19" t="inlineStr">
        <is>
          <t>国内沿海</t>
        </is>
      </c>
      <c r="F1634" s="19" t="inlineStr">
        <is>
          <t>01号泊位</t>
        </is>
      </c>
      <c r="G1634" s="20" t="n">
        <v>8906</v>
      </c>
      <c r="H1634" s="38" t="n">
        <v>8.51</v>
      </c>
      <c r="I1634" s="38" t="n">
        <v>1.67</v>
      </c>
      <c r="J1634" s="38" t="n">
        <v>9.9</v>
      </c>
      <c r="K1634" s="20" t="n">
        <v>711</v>
      </c>
      <c r="L1634" s="26">
        <f>IF(H1634&lt;=J1634,1,0)</f>
        <v>1</v>
      </c>
    </row>
    <row r="1635">
      <c r="A1635" s="24" t="inlineStr">
        <is>
          <t>QL-272-2</t>
        </is>
      </c>
      <c r="B1635" s="39" t="n">
        <v>45929</v>
      </c>
      <c r="C1635" s="40" t="inlineStr">
        <is>
          <t>进港</t>
        </is>
      </c>
      <c r="D1635" s="24" t="inlineStr">
        <is>
          <t>金属矿石</t>
        </is>
      </c>
      <c r="E1635" s="24" t="inlineStr">
        <is>
          <t>东亚</t>
        </is>
      </c>
      <c r="F1635" s="24" t="inlineStr">
        <is>
          <t>02号泊位</t>
        </is>
      </c>
      <c r="G1635" s="25" t="n">
        <v>23495</v>
      </c>
      <c r="H1635" s="41" t="n">
        <v>17.79</v>
      </c>
      <c r="I1635" s="41" t="n">
        <v>2.13</v>
      </c>
      <c r="J1635" s="41" t="n">
        <v>15.16</v>
      </c>
      <c r="K1635" s="25" t="n">
        <v>0</v>
      </c>
      <c r="L1635" s="26">
        <f>IF(H1635&lt;=J1635,1,0)</f>
        <v>0</v>
      </c>
    </row>
    <row r="1636">
      <c r="A1636" s="19" t="inlineStr">
        <is>
          <t>QL-272-3</t>
        </is>
      </c>
      <c r="B1636" s="36" t="n">
        <v>45929</v>
      </c>
      <c r="C1636" s="37" t="inlineStr">
        <is>
          <t>出港</t>
        </is>
      </c>
      <c r="D1636" s="19" t="inlineStr">
        <is>
          <t>煤炭</t>
        </is>
      </c>
      <c r="E1636" s="19" t="inlineStr">
        <is>
          <t>东南亚</t>
        </is>
      </c>
      <c r="F1636" s="19" t="inlineStr">
        <is>
          <t>03号泊位</t>
        </is>
      </c>
      <c r="G1636" s="20" t="n">
        <v>16173</v>
      </c>
      <c r="H1636" s="38" t="n">
        <v>11.96</v>
      </c>
      <c r="I1636" s="38" t="n">
        <v>3.24</v>
      </c>
      <c r="J1636" s="38" t="n">
        <v>12.25</v>
      </c>
      <c r="K1636" s="20" t="n">
        <v>0</v>
      </c>
      <c r="L1636" s="26">
        <f>IF(H1636&lt;=J1636,1,0)</f>
        <v>1</v>
      </c>
    </row>
    <row r="1637">
      <c r="A1637" s="24" t="inlineStr">
        <is>
          <t>QL-272-4</t>
        </is>
      </c>
      <c r="B1637" s="39" t="n">
        <v>45929</v>
      </c>
      <c r="C1637" s="40" t="inlineStr">
        <is>
          <t>进港</t>
        </is>
      </c>
      <c r="D1637" s="24" t="inlineStr">
        <is>
          <t>粮食</t>
        </is>
      </c>
      <c r="E1637" s="24" t="inlineStr">
        <is>
          <t>东亚</t>
        </is>
      </c>
      <c r="F1637" s="24" t="inlineStr">
        <is>
          <t>04号泊位</t>
        </is>
      </c>
      <c r="G1637" s="25" t="n">
        <v>10245</v>
      </c>
      <c r="H1637" s="41" t="n">
        <v>11.52</v>
      </c>
      <c r="I1637" s="41" t="n">
        <v>1.45</v>
      </c>
      <c r="J1637" s="41" t="n">
        <v>10.04</v>
      </c>
      <c r="K1637" s="25" t="n">
        <v>0</v>
      </c>
      <c r="L1637" s="26">
        <f>IF(H1637&lt;=J1637,1,0)</f>
        <v>0</v>
      </c>
    </row>
    <row r="1638">
      <c r="A1638" s="19" t="inlineStr">
        <is>
          <t>QL-272-5</t>
        </is>
      </c>
      <c r="B1638" s="36" t="n">
        <v>45929</v>
      </c>
      <c r="C1638" s="37" t="inlineStr">
        <is>
          <t>进港</t>
        </is>
      </c>
      <c r="D1638" s="19" t="inlineStr">
        <is>
          <t>液体散货</t>
        </is>
      </c>
      <c r="E1638" s="19" t="inlineStr">
        <is>
          <t>欧洲</t>
        </is>
      </c>
      <c r="F1638" s="19" t="inlineStr">
        <is>
          <t>05号泊位</t>
        </is>
      </c>
      <c r="G1638" s="20" t="n">
        <v>10725</v>
      </c>
      <c r="H1638" s="38" t="n">
        <v>6.25</v>
      </c>
      <c r="I1638" s="38" t="n">
        <v>4.17</v>
      </c>
      <c r="J1638" s="38" t="n">
        <v>7.45</v>
      </c>
      <c r="K1638" s="20" t="n">
        <v>0</v>
      </c>
      <c r="L1638" s="26">
        <f>IF(H1638&lt;=J1638,1,0)</f>
        <v>1</v>
      </c>
    </row>
    <row r="1639">
      <c r="A1639" s="24" t="inlineStr">
        <is>
          <t>QL-272-6</t>
        </is>
      </c>
      <c r="B1639" s="39" t="n">
        <v>45929</v>
      </c>
      <c r="C1639" s="40" t="inlineStr">
        <is>
          <t>进港</t>
        </is>
      </c>
      <c r="D1639" s="24" t="inlineStr">
        <is>
          <t>件杂货</t>
        </is>
      </c>
      <c r="E1639" s="24" t="inlineStr">
        <is>
          <t>国内沿海</t>
        </is>
      </c>
      <c r="F1639" s="24" t="inlineStr">
        <is>
          <t>06号泊位</t>
        </is>
      </c>
      <c r="G1639" s="25" t="n">
        <v>4928</v>
      </c>
      <c r="H1639" s="41" t="n">
        <v>7.51</v>
      </c>
      <c r="I1639" s="41" t="n">
        <v>1.51</v>
      </c>
      <c r="J1639" s="41" t="n">
        <v>8.08</v>
      </c>
      <c r="K1639" s="25" t="n">
        <v>0</v>
      </c>
      <c r="L1639" s="26">
        <f>IF(H1639&lt;=J1639,1,0)</f>
        <v>1</v>
      </c>
    </row>
    <row r="1640">
      <c r="A1640" s="19" t="inlineStr">
        <is>
          <t>QL-273-1</t>
        </is>
      </c>
      <c r="B1640" s="36" t="n">
        <v>45930</v>
      </c>
      <c r="C1640" s="37" t="inlineStr">
        <is>
          <t>出港</t>
        </is>
      </c>
      <c r="D1640" s="19" t="inlineStr">
        <is>
          <t>集装箱货物</t>
        </is>
      </c>
      <c r="E1640" s="19" t="inlineStr">
        <is>
          <t>东亚</t>
        </is>
      </c>
      <c r="F1640" s="19" t="inlineStr">
        <is>
          <t>01号泊位</t>
        </is>
      </c>
      <c r="G1640" s="20" t="n">
        <v>13394</v>
      </c>
      <c r="H1640" s="38" t="n">
        <v>15.9</v>
      </c>
      <c r="I1640" s="38" t="n">
        <v>1.23</v>
      </c>
      <c r="J1640" s="38" t="n">
        <v>14.88</v>
      </c>
      <c r="K1640" s="20" t="n">
        <v>943</v>
      </c>
      <c r="L1640" s="26">
        <f>IF(H1640&lt;=J1640,1,0)</f>
        <v>0</v>
      </c>
    </row>
    <row r="1641">
      <c r="A1641" s="24" t="inlineStr">
        <is>
          <t>QL-273-2</t>
        </is>
      </c>
      <c r="B1641" s="39" t="n">
        <v>45930</v>
      </c>
      <c r="C1641" s="40" t="inlineStr">
        <is>
          <t>进港</t>
        </is>
      </c>
      <c r="D1641" s="24" t="inlineStr">
        <is>
          <t>金属矿石</t>
        </is>
      </c>
      <c r="E1641" s="24" t="inlineStr">
        <is>
          <t>北美</t>
        </is>
      </c>
      <c r="F1641" s="24" t="inlineStr">
        <is>
          <t>02号泊位</t>
        </is>
      </c>
      <c r="G1641" s="25" t="n">
        <v>19803</v>
      </c>
      <c r="H1641" s="41" t="n">
        <v>10.46</v>
      </c>
      <c r="I1641" s="41" t="n">
        <v>2.91</v>
      </c>
      <c r="J1641" s="41" t="n">
        <v>12.78</v>
      </c>
      <c r="K1641" s="25" t="n">
        <v>0</v>
      </c>
      <c r="L1641" s="26">
        <f>IF(H1641&lt;=J1641,1,0)</f>
        <v>1</v>
      </c>
    </row>
    <row r="1642">
      <c r="A1642" s="19" t="inlineStr">
        <is>
          <t>QL-273-3</t>
        </is>
      </c>
      <c r="B1642" s="36" t="n">
        <v>45930</v>
      </c>
      <c r="C1642" s="37" t="inlineStr">
        <is>
          <t>出港</t>
        </is>
      </c>
      <c r="D1642" s="19" t="inlineStr">
        <is>
          <t>煤炭</t>
        </is>
      </c>
      <c r="E1642" s="19" t="inlineStr">
        <is>
          <t>东南亚</t>
        </is>
      </c>
      <c r="F1642" s="19" t="inlineStr">
        <is>
          <t>03号泊位</t>
        </is>
      </c>
      <c r="G1642" s="20" t="n">
        <v>26111</v>
      </c>
      <c r="H1642" s="38" t="n">
        <v>19.43</v>
      </c>
      <c r="I1642" s="38" t="n">
        <v>4.77</v>
      </c>
      <c r="J1642" s="38" t="n">
        <v>19.78</v>
      </c>
      <c r="K1642" s="20" t="n">
        <v>0</v>
      </c>
      <c r="L1642" s="26">
        <f>IF(H1642&lt;=J1642,1,0)</f>
        <v>1</v>
      </c>
    </row>
    <row r="1643">
      <c r="A1643" s="24" t="inlineStr">
        <is>
          <t>QL-273-4</t>
        </is>
      </c>
      <c r="B1643" s="39" t="n">
        <v>45930</v>
      </c>
      <c r="C1643" s="40" t="inlineStr">
        <is>
          <t>进港</t>
        </is>
      </c>
      <c r="D1643" s="24" t="inlineStr">
        <is>
          <t>粮食</t>
        </is>
      </c>
      <c r="E1643" s="24" t="inlineStr">
        <is>
          <t>东亚</t>
        </is>
      </c>
      <c r="F1643" s="24" t="inlineStr">
        <is>
          <t>04号泊位</t>
        </is>
      </c>
      <c r="G1643" s="25" t="n">
        <v>6798</v>
      </c>
      <c r="H1643" s="41" t="n">
        <v>7.28</v>
      </c>
      <c r="I1643" s="41" t="n">
        <v>6.75</v>
      </c>
      <c r="J1643" s="41" t="n">
        <v>6.66</v>
      </c>
      <c r="K1643" s="25" t="n">
        <v>0</v>
      </c>
      <c r="L1643" s="26">
        <f>IF(H1643&lt;=J1643,1,0)</f>
        <v>0</v>
      </c>
    </row>
    <row r="1644">
      <c r="A1644" s="19" t="inlineStr">
        <is>
          <t>QL-273-5</t>
        </is>
      </c>
      <c r="B1644" s="36" t="n">
        <v>45930</v>
      </c>
      <c r="C1644" s="37" t="inlineStr">
        <is>
          <t>出港</t>
        </is>
      </c>
      <c r="D1644" s="19" t="inlineStr">
        <is>
          <t>液体散货</t>
        </is>
      </c>
      <c r="E1644" s="19" t="inlineStr">
        <is>
          <t>欧洲</t>
        </is>
      </c>
      <c r="F1644" s="19" t="inlineStr">
        <is>
          <t>05号泊位</t>
        </is>
      </c>
      <c r="G1644" s="20" t="n">
        <v>10201</v>
      </c>
      <c r="H1644" s="38" t="n">
        <v>6.45</v>
      </c>
      <c r="I1644" s="38" t="n">
        <v>1.21</v>
      </c>
      <c r="J1644" s="38" t="n">
        <v>7.08</v>
      </c>
      <c r="K1644" s="20" t="n">
        <v>0</v>
      </c>
      <c r="L1644" s="26">
        <f>IF(H1644&lt;=J1644,1,0)</f>
        <v>1</v>
      </c>
    </row>
    <row r="1645">
      <c r="A1645" s="24" t="inlineStr">
        <is>
          <t>QL-273-6</t>
        </is>
      </c>
      <c r="B1645" s="39" t="n">
        <v>45930</v>
      </c>
      <c r="C1645" s="40" t="inlineStr">
        <is>
          <t>进港</t>
        </is>
      </c>
      <c r="D1645" s="24" t="inlineStr">
        <is>
          <t>件杂货</t>
        </is>
      </c>
      <c r="E1645" s="24" t="inlineStr">
        <is>
          <t>国内沿海</t>
        </is>
      </c>
      <c r="F1645" s="24" t="inlineStr">
        <is>
          <t>06号泊位</t>
        </is>
      </c>
      <c r="G1645" s="25" t="n">
        <v>8907</v>
      </c>
      <c r="H1645" s="41" t="n">
        <v>15.14</v>
      </c>
      <c r="I1645" s="41" t="n">
        <v>0.84</v>
      </c>
      <c r="J1645" s="41" t="n">
        <v>14.6</v>
      </c>
      <c r="K1645" s="25" t="n">
        <v>0</v>
      </c>
      <c r="L1645" s="26">
        <f>IF(H1645&lt;=J1645,1,0)</f>
        <v>0</v>
      </c>
    </row>
    <row r="1646">
      <c r="A1646" s="19" t="inlineStr">
        <is>
          <t>QL-274-1</t>
        </is>
      </c>
      <c r="B1646" s="36" t="n">
        <v>45931</v>
      </c>
      <c r="C1646" s="37" t="inlineStr">
        <is>
          <t>出港</t>
        </is>
      </c>
      <c r="D1646" s="19" t="inlineStr">
        <is>
          <t>集装箱货物</t>
        </is>
      </c>
      <c r="E1646" s="19" t="inlineStr">
        <is>
          <t>东亚</t>
        </is>
      </c>
      <c r="F1646" s="19" t="inlineStr">
        <is>
          <t>01号泊位</t>
        </is>
      </c>
      <c r="G1646" s="20" t="n">
        <v>11867</v>
      </c>
      <c r="H1646" s="38" t="n">
        <v>12.12</v>
      </c>
      <c r="I1646" s="38" t="n">
        <v>1.49</v>
      </c>
      <c r="J1646" s="38" t="n">
        <v>13.19</v>
      </c>
      <c r="K1646" s="20" t="n">
        <v>828</v>
      </c>
      <c r="L1646" s="26">
        <f>IF(H1646&lt;=J1646,1,0)</f>
        <v>1</v>
      </c>
    </row>
    <row r="1647">
      <c r="A1647" s="24" t="inlineStr">
        <is>
          <t>QL-274-2</t>
        </is>
      </c>
      <c r="B1647" s="39" t="n">
        <v>45931</v>
      </c>
      <c r="C1647" s="40" t="inlineStr">
        <is>
          <t>进港</t>
        </is>
      </c>
      <c r="D1647" s="24" t="inlineStr">
        <is>
          <t>金属矿石</t>
        </is>
      </c>
      <c r="E1647" s="24" t="inlineStr">
        <is>
          <t>东亚</t>
        </is>
      </c>
      <c r="F1647" s="24" t="inlineStr">
        <is>
          <t>02号泊位</t>
        </is>
      </c>
      <c r="G1647" s="25" t="n">
        <v>21349</v>
      </c>
      <c r="H1647" s="41" t="n">
        <v>13.66</v>
      </c>
      <c r="I1647" s="41" t="n">
        <v>1.26</v>
      </c>
      <c r="J1647" s="41" t="n">
        <v>13.77</v>
      </c>
      <c r="K1647" s="25" t="n">
        <v>0</v>
      </c>
      <c r="L1647" s="26">
        <f>IF(H1647&lt;=J1647,1,0)</f>
        <v>1</v>
      </c>
    </row>
    <row r="1648">
      <c r="A1648" s="19" t="inlineStr">
        <is>
          <t>QL-274-3</t>
        </is>
      </c>
      <c r="B1648" s="36" t="n">
        <v>45931</v>
      </c>
      <c r="C1648" s="37" t="inlineStr">
        <is>
          <t>进港</t>
        </is>
      </c>
      <c r="D1648" s="19" t="inlineStr">
        <is>
          <t>煤炭</t>
        </is>
      </c>
      <c r="E1648" s="19" t="inlineStr">
        <is>
          <t>欧洲</t>
        </is>
      </c>
      <c r="F1648" s="19" t="inlineStr">
        <is>
          <t>03号泊位</t>
        </is>
      </c>
      <c r="G1648" s="20" t="n">
        <v>20376</v>
      </c>
      <c r="H1648" s="38" t="n">
        <v>13.66</v>
      </c>
      <c r="I1648" s="38" t="n">
        <v>1.24</v>
      </c>
      <c r="J1648" s="38" t="n">
        <v>15.44</v>
      </c>
      <c r="K1648" s="20" t="n">
        <v>0</v>
      </c>
      <c r="L1648" s="26">
        <f>IF(H1648&lt;=J1648,1,0)</f>
        <v>1</v>
      </c>
    </row>
    <row r="1649">
      <c r="A1649" s="24" t="inlineStr">
        <is>
          <t>QL-274-4</t>
        </is>
      </c>
      <c r="B1649" s="39" t="n">
        <v>45931</v>
      </c>
      <c r="C1649" s="40" t="inlineStr">
        <is>
          <t>进港</t>
        </is>
      </c>
      <c r="D1649" s="24" t="inlineStr">
        <is>
          <t>粮食</t>
        </is>
      </c>
      <c r="E1649" s="24" t="inlineStr">
        <is>
          <t>国内沿海</t>
        </is>
      </c>
      <c r="F1649" s="24" t="inlineStr">
        <is>
          <t>04号泊位</t>
        </is>
      </c>
      <c r="G1649" s="25" t="n">
        <v>8007</v>
      </c>
      <c r="H1649" s="41" t="n">
        <v>6.68</v>
      </c>
      <c r="I1649" s="41" t="n">
        <v>2.2</v>
      </c>
      <c r="J1649" s="41" t="n">
        <v>7.85</v>
      </c>
      <c r="K1649" s="25" t="n">
        <v>0</v>
      </c>
      <c r="L1649" s="26">
        <f>IF(H1649&lt;=J1649,1,0)</f>
        <v>1</v>
      </c>
    </row>
    <row r="1650">
      <c r="A1650" s="19" t="inlineStr">
        <is>
          <t>QL-274-5</t>
        </is>
      </c>
      <c r="B1650" s="36" t="n">
        <v>45931</v>
      </c>
      <c r="C1650" s="37" t="inlineStr">
        <is>
          <t>进港</t>
        </is>
      </c>
      <c r="D1650" s="19" t="inlineStr">
        <is>
          <t>液体散货</t>
        </is>
      </c>
      <c r="E1650" s="19" t="inlineStr">
        <is>
          <t>欧洲</t>
        </is>
      </c>
      <c r="F1650" s="19" t="inlineStr">
        <is>
          <t>05号泊位</t>
        </is>
      </c>
      <c r="G1650" s="20" t="n">
        <v>19686</v>
      </c>
      <c r="H1650" s="38" t="n">
        <v>11.64</v>
      </c>
      <c r="I1650" s="38" t="n">
        <v>3.75</v>
      </c>
      <c r="J1650" s="38" t="n">
        <v>13.67</v>
      </c>
      <c r="K1650" s="20" t="n">
        <v>0</v>
      </c>
      <c r="L1650" s="26">
        <f>IF(H1650&lt;=J1650,1,0)</f>
        <v>1</v>
      </c>
    </row>
    <row r="1651">
      <c r="A1651" s="24" t="inlineStr">
        <is>
          <t>QL-274-6</t>
        </is>
      </c>
      <c r="B1651" s="39" t="n">
        <v>45931</v>
      </c>
      <c r="C1651" s="40" t="inlineStr">
        <is>
          <t>进港</t>
        </is>
      </c>
      <c r="D1651" s="24" t="inlineStr">
        <is>
          <t>件杂货</t>
        </is>
      </c>
      <c r="E1651" s="24" t="inlineStr">
        <is>
          <t>欧洲</t>
        </is>
      </c>
      <c r="F1651" s="24" t="inlineStr">
        <is>
          <t>06号泊位</t>
        </is>
      </c>
      <c r="G1651" s="25" t="n">
        <v>5783</v>
      </c>
      <c r="H1651" s="41" t="n">
        <v>8.460000000000001</v>
      </c>
      <c r="I1651" s="41" t="n">
        <v>3.72</v>
      </c>
      <c r="J1651" s="41" t="n">
        <v>9.48</v>
      </c>
      <c r="K1651" s="25" t="n">
        <v>0</v>
      </c>
      <c r="L1651" s="26">
        <f>IF(H1651&lt;=J1651,1,0)</f>
        <v>1</v>
      </c>
    </row>
    <row r="1652">
      <c r="A1652" s="19" t="inlineStr">
        <is>
          <t>QL-275-1</t>
        </is>
      </c>
      <c r="B1652" s="36" t="n">
        <v>45932</v>
      </c>
      <c r="C1652" s="37" t="inlineStr">
        <is>
          <t>进港</t>
        </is>
      </c>
      <c r="D1652" s="19" t="inlineStr">
        <is>
          <t>集装箱货物</t>
        </is>
      </c>
      <c r="E1652" s="19" t="inlineStr">
        <is>
          <t>东南亚</t>
        </is>
      </c>
      <c r="F1652" s="19" t="inlineStr">
        <is>
          <t>01号泊位</t>
        </is>
      </c>
      <c r="G1652" s="20" t="n">
        <v>8461</v>
      </c>
      <c r="H1652" s="38" t="n">
        <v>10.15</v>
      </c>
      <c r="I1652" s="38" t="n">
        <v>1.14</v>
      </c>
      <c r="J1652" s="38" t="n">
        <v>9.4</v>
      </c>
      <c r="K1652" s="20" t="n">
        <v>675</v>
      </c>
      <c r="L1652" s="26">
        <f>IF(H1652&lt;=J1652,1,0)</f>
        <v>0</v>
      </c>
    </row>
    <row r="1653">
      <c r="A1653" s="24" t="inlineStr">
        <is>
          <t>QL-275-2</t>
        </is>
      </c>
      <c r="B1653" s="39" t="n">
        <v>45932</v>
      </c>
      <c r="C1653" s="40" t="inlineStr">
        <is>
          <t>进港</t>
        </is>
      </c>
      <c r="D1653" s="24" t="inlineStr">
        <is>
          <t>金属矿石</t>
        </is>
      </c>
      <c r="E1653" s="24" t="inlineStr">
        <is>
          <t>国内沿海</t>
        </is>
      </c>
      <c r="F1653" s="24" t="inlineStr">
        <is>
          <t>02号泊位</t>
        </is>
      </c>
      <c r="G1653" s="25" t="n">
        <v>21211</v>
      </c>
      <c r="H1653" s="41" t="n">
        <v>12.63</v>
      </c>
      <c r="I1653" s="41" t="n">
        <v>5.52</v>
      </c>
      <c r="J1653" s="41" t="n">
        <v>13.68</v>
      </c>
      <c r="K1653" s="25" t="n">
        <v>0</v>
      </c>
      <c r="L1653" s="26">
        <f>IF(H1653&lt;=J1653,1,0)</f>
        <v>1</v>
      </c>
    </row>
    <row r="1654">
      <c r="A1654" s="19" t="inlineStr">
        <is>
          <t>QL-275-3</t>
        </is>
      </c>
      <c r="B1654" s="36" t="n">
        <v>45932</v>
      </c>
      <c r="C1654" s="37" t="inlineStr">
        <is>
          <t>出港</t>
        </is>
      </c>
      <c r="D1654" s="19" t="inlineStr">
        <is>
          <t>煤炭</t>
        </is>
      </c>
      <c r="E1654" s="19" t="inlineStr">
        <is>
          <t>东南亚</t>
        </is>
      </c>
      <c r="F1654" s="19" t="inlineStr">
        <is>
          <t>03号泊位</t>
        </is>
      </c>
      <c r="G1654" s="20" t="n">
        <v>19594</v>
      </c>
      <c r="H1654" s="38" t="n">
        <v>16.33</v>
      </c>
      <c r="I1654" s="38" t="n">
        <v>1.92</v>
      </c>
      <c r="J1654" s="38" t="n">
        <v>14.84</v>
      </c>
      <c r="K1654" s="20" t="n">
        <v>0</v>
      </c>
      <c r="L1654" s="26">
        <f>IF(H1654&lt;=J1654,1,0)</f>
        <v>0</v>
      </c>
    </row>
    <row r="1655">
      <c r="A1655" s="24" t="inlineStr">
        <is>
          <t>QL-275-4</t>
        </is>
      </c>
      <c r="B1655" s="39" t="n">
        <v>45932</v>
      </c>
      <c r="C1655" s="40" t="inlineStr">
        <is>
          <t>进港</t>
        </is>
      </c>
      <c r="D1655" s="24" t="inlineStr">
        <is>
          <t>粮食</t>
        </is>
      </c>
      <c r="E1655" s="24" t="inlineStr">
        <is>
          <t>欧洲</t>
        </is>
      </c>
      <c r="F1655" s="24" t="inlineStr">
        <is>
          <t>04号泊位</t>
        </is>
      </c>
      <c r="G1655" s="25" t="n">
        <v>9361</v>
      </c>
      <c r="H1655" s="41" t="n">
        <v>7.85</v>
      </c>
      <c r="I1655" s="41" t="n">
        <v>2.69</v>
      </c>
      <c r="J1655" s="41" t="n">
        <v>9.18</v>
      </c>
      <c r="K1655" s="25" t="n">
        <v>0</v>
      </c>
      <c r="L1655" s="26">
        <f>IF(H1655&lt;=J1655,1,0)</f>
        <v>1</v>
      </c>
    </row>
    <row r="1656">
      <c r="A1656" s="19" t="inlineStr">
        <is>
          <t>QL-275-5</t>
        </is>
      </c>
      <c r="B1656" s="36" t="n">
        <v>45932</v>
      </c>
      <c r="C1656" s="37" t="inlineStr">
        <is>
          <t>出港</t>
        </is>
      </c>
      <c r="D1656" s="19" t="inlineStr">
        <is>
          <t>液体散货</t>
        </is>
      </c>
      <c r="E1656" s="19" t="inlineStr">
        <is>
          <t>东南亚</t>
        </is>
      </c>
      <c r="F1656" s="19" t="inlineStr">
        <is>
          <t>05号泊位</t>
        </is>
      </c>
      <c r="G1656" s="20" t="n">
        <v>18105</v>
      </c>
      <c r="H1656" s="38" t="n">
        <v>13.76</v>
      </c>
      <c r="I1656" s="38" t="n">
        <v>3.36</v>
      </c>
      <c r="J1656" s="38" t="n">
        <v>12.57</v>
      </c>
      <c r="K1656" s="20" t="n">
        <v>0</v>
      </c>
      <c r="L1656" s="26">
        <f>IF(H1656&lt;=J1656,1,0)</f>
        <v>0</v>
      </c>
    </row>
    <row r="1657">
      <c r="A1657" s="24" t="inlineStr">
        <is>
          <t>QL-275-6</t>
        </is>
      </c>
      <c r="B1657" s="39" t="n">
        <v>45932</v>
      </c>
      <c r="C1657" s="40" t="inlineStr">
        <is>
          <t>出港</t>
        </is>
      </c>
      <c r="D1657" s="24" t="inlineStr">
        <is>
          <t>件杂货</t>
        </is>
      </c>
      <c r="E1657" s="24" t="inlineStr">
        <is>
          <t>东南亚</t>
        </is>
      </c>
      <c r="F1657" s="24" t="inlineStr">
        <is>
          <t>06号泊位</t>
        </is>
      </c>
      <c r="G1657" s="25" t="n">
        <v>5126</v>
      </c>
      <c r="H1657" s="41" t="n">
        <v>10.07</v>
      </c>
      <c r="I1657" s="41" t="n">
        <v>5.04</v>
      </c>
      <c r="J1657" s="41" t="n">
        <v>8.4</v>
      </c>
      <c r="K1657" s="25" t="n">
        <v>0</v>
      </c>
      <c r="L1657" s="26">
        <f>IF(H1657&lt;=J1657,1,0)</f>
        <v>0</v>
      </c>
    </row>
    <row r="1658">
      <c r="A1658" s="19" t="inlineStr">
        <is>
          <t>QL-276-1</t>
        </is>
      </c>
      <c r="B1658" s="36" t="n">
        <v>45933</v>
      </c>
      <c r="C1658" s="37" t="inlineStr">
        <is>
          <t>进港</t>
        </is>
      </c>
      <c r="D1658" s="19" t="inlineStr">
        <is>
          <t>集装箱货物</t>
        </is>
      </c>
      <c r="E1658" s="19" t="inlineStr">
        <is>
          <t>国内沿海</t>
        </is>
      </c>
      <c r="F1658" s="19" t="inlineStr">
        <is>
          <t>01号泊位</t>
        </is>
      </c>
      <c r="G1658" s="20" t="n">
        <v>9057</v>
      </c>
      <c r="H1658" s="38" t="n">
        <v>9.470000000000001</v>
      </c>
      <c r="I1658" s="38" t="n">
        <v>3.19</v>
      </c>
      <c r="J1658" s="38" t="n">
        <v>10.06</v>
      </c>
      <c r="K1658" s="20" t="n">
        <v>675</v>
      </c>
      <c r="L1658" s="26">
        <f>IF(H1658&lt;=J1658,1,0)</f>
        <v>1</v>
      </c>
    </row>
    <row r="1659">
      <c r="A1659" s="24" t="inlineStr">
        <is>
          <t>QL-276-2</t>
        </is>
      </c>
      <c r="B1659" s="39" t="n">
        <v>45933</v>
      </c>
      <c r="C1659" s="40" t="inlineStr">
        <is>
          <t>进港</t>
        </is>
      </c>
      <c r="D1659" s="24" t="inlineStr">
        <is>
          <t>金属矿石</t>
        </is>
      </c>
      <c r="E1659" s="24" t="inlineStr">
        <is>
          <t>东南亚</t>
        </is>
      </c>
      <c r="F1659" s="24" t="inlineStr">
        <is>
          <t>02号泊位</t>
        </is>
      </c>
      <c r="G1659" s="25" t="n">
        <v>21723</v>
      </c>
      <c r="H1659" s="41" t="n">
        <v>12.86</v>
      </c>
      <c r="I1659" s="41" t="n">
        <v>2.53</v>
      </c>
      <c r="J1659" s="41" t="n">
        <v>14.01</v>
      </c>
      <c r="K1659" s="25" t="n">
        <v>0</v>
      </c>
      <c r="L1659" s="26">
        <f>IF(H1659&lt;=J1659,1,0)</f>
        <v>1</v>
      </c>
    </row>
    <row r="1660">
      <c r="A1660" s="19" t="inlineStr">
        <is>
          <t>QL-276-3</t>
        </is>
      </c>
      <c r="B1660" s="36" t="n">
        <v>45933</v>
      </c>
      <c r="C1660" s="37" t="inlineStr">
        <is>
          <t>进港</t>
        </is>
      </c>
      <c r="D1660" s="19" t="inlineStr">
        <is>
          <t>煤炭</t>
        </is>
      </c>
      <c r="E1660" s="19" t="inlineStr">
        <is>
          <t>国内沿海</t>
        </is>
      </c>
      <c r="F1660" s="19" t="inlineStr">
        <is>
          <t>03号泊位</t>
        </is>
      </c>
      <c r="G1660" s="20" t="n">
        <v>16961</v>
      </c>
      <c r="H1660" s="38" t="n">
        <v>11.81</v>
      </c>
      <c r="I1660" s="38" t="n">
        <v>0.71</v>
      </c>
      <c r="J1660" s="38" t="n">
        <v>12.85</v>
      </c>
      <c r="K1660" s="20" t="n">
        <v>0</v>
      </c>
      <c r="L1660" s="26">
        <f>IF(H1660&lt;=J1660,1,0)</f>
        <v>1</v>
      </c>
    </row>
    <row r="1661">
      <c r="A1661" s="24" t="inlineStr">
        <is>
          <t>QL-276-4</t>
        </is>
      </c>
      <c r="B1661" s="39" t="n">
        <v>45933</v>
      </c>
      <c r="C1661" s="40" t="inlineStr">
        <is>
          <t>进港</t>
        </is>
      </c>
      <c r="D1661" s="24" t="inlineStr">
        <is>
          <t>粮食</t>
        </is>
      </c>
      <c r="E1661" s="24" t="inlineStr">
        <is>
          <t>国内沿海</t>
        </is>
      </c>
      <c r="F1661" s="24" t="inlineStr">
        <is>
          <t>04号泊位</t>
        </is>
      </c>
      <c r="G1661" s="25" t="n">
        <v>8655</v>
      </c>
      <c r="H1661" s="41" t="n">
        <v>7.69</v>
      </c>
      <c r="I1661" s="41" t="n">
        <v>2.82</v>
      </c>
      <c r="J1661" s="41" t="n">
        <v>8.49</v>
      </c>
      <c r="K1661" s="25" t="n">
        <v>0</v>
      </c>
      <c r="L1661" s="26">
        <f>IF(H1661&lt;=J1661,1,0)</f>
        <v>1</v>
      </c>
    </row>
    <row r="1662">
      <c r="A1662" s="19" t="inlineStr">
        <is>
          <t>QL-276-5</t>
        </is>
      </c>
      <c r="B1662" s="36" t="n">
        <v>45933</v>
      </c>
      <c r="C1662" s="37" t="inlineStr">
        <is>
          <t>出港</t>
        </is>
      </c>
      <c r="D1662" s="19" t="inlineStr">
        <is>
          <t>液体散货</t>
        </is>
      </c>
      <c r="E1662" s="19" t="inlineStr">
        <is>
          <t>东亚</t>
        </is>
      </c>
      <c r="F1662" s="19" t="inlineStr">
        <is>
          <t>05号泊位</t>
        </is>
      </c>
      <c r="G1662" s="20" t="n">
        <v>19809</v>
      </c>
      <c r="H1662" s="38" t="n">
        <v>12.3</v>
      </c>
      <c r="I1662" s="38" t="n">
        <v>0.75</v>
      </c>
      <c r="J1662" s="38" t="n">
        <v>13.76</v>
      </c>
      <c r="K1662" s="20" t="n">
        <v>0</v>
      </c>
      <c r="L1662" s="26">
        <f>IF(H1662&lt;=J1662,1,0)</f>
        <v>1</v>
      </c>
    </row>
    <row r="1663">
      <c r="A1663" s="24" t="inlineStr">
        <is>
          <t>QL-276-6</t>
        </is>
      </c>
      <c r="B1663" s="39" t="n">
        <v>45933</v>
      </c>
      <c r="C1663" s="40" t="inlineStr">
        <is>
          <t>进港</t>
        </is>
      </c>
      <c r="D1663" s="24" t="inlineStr">
        <is>
          <t>件杂货</t>
        </is>
      </c>
      <c r="E1663" s="24" t="inlineStr">
        <is>
          <t>东亚</t>
        </is>
      </c>
      <c r="F1663" s="24" t="inlineStr">
        <is>
          <t>06号泊位</t>
        </is>
      </c>
      <c r="G1663" s="25" t="n">
        <v>6807</v>
      </c>
      <c r="H1663" s="41" t="n">
        <v>13.24</v>
      </c>
      <c r="I1663" s="41" t="n">
        <v>3.88</v>
      </c>
      <c r="J1663" s="41" t="n">
        <v>11.16</v>
      </c>
      <c r="K1663" s="25" t="n">
        <v>0</v>
      </c>
      <c r="L1663" s="26">
        <f>IF(H1663&lt;=J1663,1,0)</f>
        <v>0</v>
      </c>
    </row>
    <row r="1664">
      <c r="A1664" s="19" t="inlineStr">
        <is>
          <t>QL-277-1</t>
        </is>
      </c>
      <c r="B1664" s="36" t="n">
        <v>45934</v>
      </c>
      <c r="C1664" s="37" t="inlineStr">
        <is>
          <t>进港</t>
        </is>
      </c>
      <c r="D1664" s="19" t="inlineStr">
        <is>
          <t>集装箱货物</t>
        </is>
      </c>
      <c r="E1664" s="19" t="inlineStr">
        <is>
          <t>东南亚</t>
        </is>
      </c>
      <c r="F1664" s="19" t="inlineStr">
        <is>
          <t>01号泊位</t>
        </is>
      </c>
      <c r="G1664" s="20" t="n">
        <v>14259</v>
      </c>
      <c r="H1664" s="38" t="n">
        <v>14.23</v>
      </c>
      <c r="I1664" s="38" t="n">
        <v>6.49</v>
      </c>
      <c r="J1664" s="38" t="n">
        <v>15.84</v>
      </c>
      <c r="K1664" s="20" t="n">
        <v>873</v>
      </c>
      <c r="L1664" s="26">
        <f>IF(H1664&lt;=J1664,1,0)</f>
        <v>1</v>
      </c>
    </row>
    <row r="1665">
      <c r="A1665" s="24" t="inlineStr">
        <is>
          <t>QL-277-2</t>
        </is>
      </c>
      <c r="B1665" s="39" t="n">
        <v>45934</v>
      </c>
      <c r="C1665" s="40" t="inlineStr">
        <is>
          <t>进港</t>
        </is>
      </c>
      <c r="D1665" s="24" t="inlineStr">
        <is>
          <t>金属矿石</t>
        </is>
      </c>
      <c r="E1665" s="24" t="inlineStr">
        <is>
          <t>东亚</t>
        </is>
      </c>
      <c r="F1665" s="24" t="inlineStr">
        <is>
          <t>02号泊位</t>
        </is>
      </c>
      <c r="G1665" s="25" t="n">
        <v>27235</v>
      </c>
      <c r="H1665" s="41" t="n">
        <v>19.42</v>
      </c>
      <c r="I1665" s="41" t="n">
        <v>5.59</v>
      </c>
      <c r="J1665" s="41" t="n">
        <v>17.57</v>
      </c>
      <c r="K1665" s="25" t="n">
        <v>0</v>
      </c>
      <c r="L1665" s="26">
        <f>IF(H1665&lt;=J1665,1,0)</f>
        <v>0</v>
      </c>
    </row>
    <row r="1666">
      <c r="A1666" s="19" t="inlineStr">
        <is>
          <t>QL-277-3</t>
        </is>
      </c>
      <c r="B1666" s="36" t="n">
        <v>45934</v>
      </c>
      <c r="C1666" s="37" t="inlineStr">
        <is>
          <t>进港</t>
        </is>
      </c>
      <c r="D1666" s="19" t="inlineStr">
        <is>
          <t>煤炭</t>
        </is>
      </c>
      <c r="E1666" s="19" t="inlineStr">
        <is>
          <t>国内沿海</t>
        </is>
      </c>
      <c r="F1666" s="19" t="inlineStr">
        <is>
          <t>03号泊位</t>
        </is>
      </c>
      <c r="G1666" s="20" t="n">
        <v>20715</v>
      </c>
      <c r="H1666" s="38" t="n">
        <v>16.22</v>
      </c>
      <c r="I1666" s="38" t="n">
        <v>0.32</v>
      </c>
      <c r="J1666" s="38" t="n">
        <v>15.69</v>
      </c>
      <c r="K1666" s="20" t="n">
        <v>0</v>
      </c>
      <c r="L1666" s="26">
        <f>IF(H1666&lt;=J1666,1,0)</f>
        <v>0</v>
      </c>
    </row>
    <row r="1667">
      <c r="A1667" s="24" t="inlineStr">
        <is>
          <t>QL-277-4</t>
        </is>
      </c>
      <c r="B1667" s="39" t="n">
        <v>45934</v>
      </c>
      <c r="C1667" s="40" t="inlineStr">
        <is>
          <t>进港</t>
        </is>
      </c>
      <c r="D1667" s="24" t="inlineStr">
        <is>
          <t>粮食</t>
        </is>
      </c>
      <c r="E1667" s="24" t="inlineStr">
        <is>
          <t>东亚</t>
        </is>
      </c>
      <c r="F1667" s="24" t="inlineStr">
        <is>
          <t>04号泊位</t>
        </is>
      </c>
      <c r="G1667" s="25" t="n">
        <v>14934</v>
      </c>
      <c r="H1667" s="41" t="n">
        <v>14.58</v>
      </c>
      <c r="I1667" s="41" t="n">
        <v>4.79</v>
      </c>
      <c r="J1667" s="41" t="n">
        <v>14.64</v>
      </c>
      <c r="K1667" s="25" t="n">
        <v>0</v>
      </c>
      <c r="L1667" s="26">
        <f>IF(H1667&lt;=J1667,1,0)</f>
        <v>1</v>
      </c>
    </row>
    <row r="1668">
      <c r="A1668" s="19" t="inlineStr">
        <is>
          <t>QL-277-5</t>
        </is>
      </c>
      <c r="B1668" s="36" t="n">
        <v>45934</v>
      </c>
      <c r="C1668" s="37" t="inlineStr">
        <is>
          <t>进港</t>
        </is>
      </c>
      <c r="D1668" s="19" t="inlineStr">
        <is>
          <t>液体散货</t>
        </is>
      </c>
      <c r="E1668" s="19" t="inlineStr">
        <is>
          <t>东南亚</t>
        </is>
      </c>
      <c r="F1668" s="19" t="inlineStr">
        <is>
          <t>05号泊位</t>
        </is>
      </c>
      <c r="G1668" s="20" t="n">
        <v>15099</v>
      </c>
      <c r="H1668" s="38" t="n">
        <v>10.17</v>
      </c>
      <c r="I1668" s="38" t="n">
        <v>3.31</v>
      </c>
      <c r="J1668" s="38" t="n">
        <v>10.49</v>
      </c>
      <c r="K1668" s="20" t="n">
        <v>0</v>
      </c>
      <c r="L1668" s="26">
        <f>IF(H1668&lt;=J1668,1,0)</f>
        <v>1</v>
      </c>
    </row>
    <row r="1669">
      <c r="A1669" s="24" t="inlineStr">
        <is>
          <t>QL-277-6</t>
        </is>
      </c>
      <c r="B1669" s="39" t="n">
        <v>45934</v>
      </c>
      <c r="C1669" s="40" t="inlineStr">
        <is>
          <t>出港</t>
        </is>
      </c>
      <c r="D1669" s="24" t="inlineStr">
        <is>
          <t>件杂货</t>
        </is>
      </c>
      <c r="E1669" s="24" t="inlineStr">
        <is>
          <t>东亚</t>
        </is>
      </c>
      <c r="F1669" s="24" t="inlineStr">
        <is>
          <t>06号泊位</t>
        </is>
      </c>
      <c r="G1669" s="25" t="n">
        <v>6100</v>
      </c>
      <c r="H1669" s="41" t="n">
        <v>10.98</v>
      </c>
      <c r="I1669" s="41" t="n">
        <v>3.24</v>
      </c>
      <c r="J1669" s="41" t="n">
        <v>10</v>
      </c>
      <c r="K1669" s="25" t="n">
        <v>0</v>
      </c>
      <c r="L1669" s="26">
        <f>IF(H1669&lt;=J1669,1,0)</f>
        <v>0</v>
      </c>
    </row>
    <row r="1670">
      <c r="A1670" s="19" t="inlineStr">
        <is>
          <t>QL-278-1</t>
        </is>
      </c>
      <c r="B1670" s="36" t="n">
        <v>45935</v>
      </c>
      <c r="C1670" s="37" t="inlineStr">
        <is>
          <t>出港</t>
        </is>
      </c>
      <c r="D1670" s="19" t="inlineStr">
        <is>
          <t>集装箱货物</t>
        </is>
      </c>
      <c r="E1670" s="19" t="inlineStr">
        <is>
          <t>北美</t>
        </is>
      </c>
      <c r="F1670" s="19" t="inlineStr">
        <is>
          <t>01号泊位</t>
        </is>
      </c>
      <c r="G1670" s="20" t="n">
        <v>9765</v>
      </c>
      <c r="H1670" s="38" t="n">
        <v>12.73</v>
      </c>
      <c r="I1670" s="38" t="n">
        <v>3.21</v>
      </c>
      <c r="J1670" s="38" t="n">
        <v>10.85</v>
      </c>
      <c r="K1670" s="20" t="n">
        <v>630</v>
      </c>
      <c r="L1670" s="26">
        <f>IF(H1670&lt;=J1670,1,0)</f>
        <v>0</v>
      </c>
    </row>
    <row r="1671">
      <c r="A1671" s="24" t="inlineStr">
        <is>
          <t>QL-278-2</t>
        </is>
      </c>
      <c r="B1671" s="39" t="n">
        <v>45935</v>
      </c>
      <c r="C1671" s="40" t="inlineStr">
        <is>
          <t>进港</t>
        </is>
      </c>
      <c r="D1671" s="24" t="inlineStr">
        <is>
          <t>金属矿石</t>
        </is>
      </c>
      <c r="E1671" s="24" t="inlineStr">
        <is>
          <t>东亚</t>
        </is>
      </c>
      <c r="F1671" s="24" t="inlineStr">
        <is>
          <t>02号泊位</t>
        </is>
      </c>
      <c r="G1671" s="25" t="n">
        <v>15293</v>
      </c>
      <c r="H1671" s="41" t="n">
        <v>9.91</v>
      </c>
      <c r="I1671" s="41" t="n">
        <v>1.12</v>
      </c>
      <c r="J1671" s="41" t="n">
        <v>9.869999999999999</v>
      </c>
      <c r="K1671" s="25" t="n">
        <v>0</v>
      </c>
      <c r="L1671" s="26">
        <f>IF(H1671&lt;=J1671,1,0)</f>
        <v>0</v>
      </c>
    </row>
    <row r="1672">
      <c r="A1672" s="19" t="inlineStr">
        <is>
          <t>QL-278-3</t>
        </is>
      </c>
      <c r="B1672" s="36" t="n">
        <v>45935</v>
      </c>
      <c r="C1672" s="37" t="inlineStr">
        <is>
          <t>进港</t>
        </is>
      </c>
      <c r="D1672" s="19" t="inlineStr">
        <is>
          <t>煤炭</t>
        </is>
      </c>
      <c r="E1672" s="19" t="inlineStr">
        <is>
          <t>国内沿海</t>
        </is>
      </c>
      <c r="F1672" s="19" t="inlineStr">
        <is>
          <t>03号泊位</t>
        </is>
      </c>
      <c r="G1672" s="20" t="n">
        <v>14537</v>
      </c>
      <c r="H1672" s="38" t="n">
        <v>8.93</v>
      </c>
      <c r="I1672" s="38" t="n">
        <v>2.2</v>
      </c>
      <c r="J1672" s="38" t="n">
        <v>11.01</v>
      </c>
      <c r="K1672" s="20" t="n">
        <v>0</v>
      </c>
      <c r="L1672" s="26">
        <f>IF(H1672&lt;=J1672,1,0)</f>
        <v>1</v>
      </c>
    </row>
    <row r="1673">
      <c r="A1673" s="24" t="inlineStr">
        <is>
          <t>QL-278-4</t>
        </is>
      </c>
      <c r="B1673" s="39" t="n">
        <v>45935</v>
      </c>
      <c r="C1673" s="40" t="inlineStr">
        <is>
          <t>进港</t>
        </is>
      </c>
      <c r="D1673" s="24" t="inlineStr">
        <is>
          <t>粮食</t>
        </is>
      </c>
      <c r="E1673" s="24" t="inlineStr">
        <is>
          <t>北美</t>
        </is>
      </c>
      <c r="F1673" s="24" t="inlineStr">
        <is>
          <t>04号泊位</t>
        </is>
      </c>
      <c r="G1673" s="25" t="n">
        <v>8814</v>
      </c>
      <c r="H1673" s="41" t="n">
        <v>9.890000000000001</v>
      </c>
      <c r="I1673" s="41" t="n">
        <v>2.57</v>
      </c>
      <c r="J1673" s="41" t="n">
        <v>8.640000000000001</v>
      </c>
      <c r="K1673" s="25" t="n">
        <v>0</v>
      </c>
      <c r="L1673" s="26">
        <f>IF(H1673&lt;=J1673,1,0)</f>
        <v>0</v>
      </c>
    </row>
    <row r="1674">
      <c r="A1674" s="19" t="inlineStr">
        <is>
          <t>QL-278-5</t>
        </is>
      </c>
      <c r="B1674" s="36" t="n">
        <v>45935</v>
      </c>
      <c r="C1674" s="37" t="inlineStr">
        <is>
          <t>进港</t>
        </is>
      </c>
      <c r="D1674" s="19" t="inlineStr">
        <is>
          <t>液体散货</t>
        </is>
      </c>
      <c r="E1674" s="19" t="inlineStr">
        <is>
          <t>东亚</t>
        </is>
      </c>
      <c r="F1674" s="19" t="inlineStr">
        <is>
          <t>05号泊位</t>
        </is>
      </c>
      <c r="G1674" s="20" t="n">
        <v>23981</v>
      </c>
      <c r="H1674" s="38" t="n">
        <v>16.62</v>
      </c>
      <c r="I1674" s="38" t="n">
        <v>6.17</v>
      </c>
      <c r="J1674" s="38" t="n">
        <v>16.65</v>
      </c>
      <c r="K1674" s="20" t="n">
        <v>0</v>
      </c>
      <c r="L1674" s="26">
        <f>IF(H1674&lt;=J1674,1,0)</f>
        <v>1</v>
      </c>
    </row>
    <row r="1675">
      <c r="A1675" s="24" t="inlineStr">
        <is>
          <t>QL-278-6</t>
        </is>
      </c>
      <c r="B1675" s="39" t="n">
        <v>45935</v>
      </c>
      <c r="C1675" s="40" t="inlineStr">
        <is>
          <t>出港</t>
        </is>
      </c>
      <c r="D1675" s="24" t="inlineStr">
        <is>
          <t>件杂货</t>
        </is>
      </c>
      <c r="E1675" s="24" t="inlineStr">
        <is>
          <t>国内沿海</t>
        </is>
      </c>
      <c r="F1675" s="24" t="inlineStr">
        <is>
          <t>06号泊位</t>
        </is>
      </c>
      <c r="G1675" s="25" t="n">
        <v>9686</v>
      </c>
      <c r="H1675" s="41" t="n">
        <v>16.38</v>
      </c>
      <c r="I1675" s="41" t="n">
        <v>0.34</v>
      </c>
      <c r="J1675" s="41" t="n">
        <v>15.88</v>
      </c>
      <c r="K1675" s="25" t="n">
        <v>0</v>
      </c>
      <c r="L1675" s="26">
        <f>IF(H1675&lt;=J1675,1,0)</f>
        <v>0</v>
      </c>
    </row>
    <row r="1676">
      <c r="A1676" s="19" t="inlineStr">
        <is>
          <t>QL-279-1</t>
        </is>
      </c>
      <c r="B1676" s="36" t="n">
        <v>45936</v>
      </c>
      <c r="C1676" s="37" t="inlineStr">
        <is>
          <t>进港</t>
        </is>
      </c>
      <c r="D1676" s="19" t="inlineStr">
        <is>
          <t>集装箱货物</t>
        </is>
      </c>
      <c r="E1676" s="19" t="inlineStr">
        <is>
          <t>北美</t>
        </is>
      </c>
      <c r="F1676" s="19" t="inlineStr">
        <is>
          <t>01号泊位</t>
        </is>
      </c>
      <c r="G1676" s="20" t="n">
        <v>13353</v>
      </c>
      <c r="H1676" s="38" t="n">
        <v>12.74</v>
      </c>
      <c r="I1676" s="38" t="n">
        <v>3.17</v>
      </c>
      <c r="J1676" s="38" t="n">
        <v>14.84</v>
      </c>
      <c r="K1676" s="20" t="n">
        <v>892</v>
      </c>
      <c r="L1676" s="26">
        <f>IF(H1676&lt;=J1676,1,0)</f>
        <v>1</v>
      </c>
    </row>
    <row r="1677">
      <c r="A1677" s="24" t="inlineStr">
        <is>
          <t>QL-279-2</t>
        </is>
      </c>
      <c r="B1677" s="39" t="n">
        <v>45936</v>
      </c>
      <c r="C1677" s="40" t="inlineStr">
        <is>
          <t>进港</t>
        </is>
      </c>
      <c r="D1677" s="24" t="inlineStr">
        <is>
          <t>金属矿石</t>
        </is>
      </c>
      <c r="E1677" s="24" t="inlineStr">
        <is>
          <t>东南亚</t>
        </is>
      </c>
      <c r="F1677" s="24" t="inlineStr">
        <is>
          <t>02号泊位</t>
        </is>
      </c>
      <c r="G1677" s="25" t="n">
        <v>20129</v>
      </c>
      <c r="H1677" s="41" t="n">
        <v>12.56</v>
      </c>
      <c r="I1677" s="41" t="n">
        <v>1.79</v>
      </c>
      <c r="J1677" s="41" t="n">
        <v>12.99</v>
      </c>
      <c r="K1677" s="25" t="n">
        <v>0</v>
      </c>
      <c r="L1677" s="26">
        <f>IF(H1677&lt;=J1677,1,0)</f>
        <v>1</v>
      </c>
    </row>
    <row r="1678">
      <c r="A1678" s="19" t="inlineStr">
        <is>
          <t>QL-279-3</t>
        </is>
      </c>
      <c r="B1678" s="36" t="n">
        <v>45936</v>
      </c>
      <c r="C1678" s="37" t="inlineStr">
        <is>
          <t>进港</t>
        </is>
      </c>
      <c r="D1678" s="19" t="inlineStr">
        <is>
          <t>煤炭</t>
        </is>
      </c>
      <c r="E1678" s="19" t="inlineStr">
        <is>
          <t>北美</t>
        </is>
      </c>
      <c r="F1678" s="19" t="inlineStr">
        <is>
          <t>03号泊位</t>
        </is>
      </c>
      <c r="G1678" s="20" t="n">
        <v>32787</v>
      </c>
      <c r="H1678" s="38" t="n">
        <v>25.16</v>
      </c>
      <c r="I1678" s="38" t="n">
        <v>1.71</v>
      </c>
      <c r="J1678" s="38" t="n">
        <v>24.84</v>
      </c>
      <c r="K1678" s="20" t="n">
        <v>0</v>
      </c>
      <c r="L1678" s="26">
        <f>IF(H1678&lt;=J1678,1,0)</f>
        <v>0</v>
      </c>
    </row>
    <row r="1679">
      <c r="A1679" s="24" t="inlineStr">
        <is>
          <t>QL-279-4</t>
        </is>
      </c>
      <c r="B1679" s="39" t="n">
        <v>45936</v>
      </c>
      <c r="C1679" s="40" t="inlineStr">
        <is>
          <t>进港</t>
        </is>
      </c>
      <c r="D1679" s="24" t="inlineStr">
        <is>
          <t>粮食</t>
        </is>
      </c>
      <c r="E1679" s="24" t="inlineStr">
        <is>
          <t>欧洲</t>
        </is>
      </c>
      <c r="F1679" s="24" t="inlineStr">
        <is>
          <t>04号泊位</t>
        </is>
      </c>
      <c r="G1679" s="25" t="n">
        <v>7823</v>
      </c>
      <c r="H1679" s="41" t="n">
        <v>8.34</v>
      </c>
      <c r="I1679" s="41" t="n">
        <v>7.27</v>
      </c>
      <c r="J1679" s="41" t="n">
        <v>7.67</v>
      </c>
      <c r="K1679" s="25" t="n">
        <v>0</v>
      </c>
      <c r="L1679" s="26">
        <f>IF(H1679&lt;=J1679,1,0)</f>
        <v>0</v>
      </c>
    </row>
    <row r="1680">
      <c r="A1680" s="19" t="inlineStr">
        <is>
          <t>QL-279-5</t>
        </is>
      </c>
      <c r="B1680" s="36" t="n">
        <v>45936</v>
      </c>
      <c r="C1680" s="37" t="inlineStr">
        <is>
          <t>进港</t>
        </is>
      </c>
      <c r="D1680" s="19" t="inlineStr">
        <is>
          <t>液体散货</t>
        </is>
      </c>
      <c r="E1680" s="19" t="inlineStr">
        <is>
          <t>东南亚</t>
        </is>
      </c>
      <c r="F1680" s="19" t="inlineStr">
        <is>
          <t>05号泊位</t>
        </is>
      </c>
      <c r="G1680" s="20" t="n">
        <v>16355</v>
      </c>
      <c r="H1680" s="38" t="n">
        <v>9.83</v>
      </c>
      <c r="I1680" s="38" t="n">
        <v>1.68</v>
      </c>
      <c r="J1680" s="38" t="n">
        <v>11.36</v>
      </c>
      <c r="K1680" s="20" t="n">
        <v>0</v>
      </c>
      <c r="L1680" s="26">
        <f>IF(H1680&lt;=J1680,1,0)</f>
        <v>1</v>
      </c>
    </row>
    <row r="1681">
      <c r="A1681" s="24" t="inlineStr">
        <is>
          <t>QL-279-6</t>
        </is>
      </c>
      <c r="B1681" s="39" t="n">
        <v>45936</v>
      </c>
      <c r="C1681" s="40" t="inlineStr">
        <is>
          <t>出港</t>
        </is>
      </c>
      <c r="D1681" s="24" t="inlineStr">
        <is>
          <t>件杂货</t>
        </is>
      </c>
      <c r="E1681" s="24" t="inlineStr">
        <is>
          <t>东亚</t>
        </is>
      </c>
      <c r="F1681" s="24" t="inlineStr">
        <is>
          <t>06号泊位</t>
        </is>
      </c>
      <c r="G1681" s="25" t="n">
        <v>3400</v>
      </c>
      <c r="H1681" s="41" t="n">
        <v>6.54</v>
      </c>
      <c r="I1681" s="41" t="n">
        <v>1.49</v>
      </c>
      <c r="J1681" s="41" t="n">
        <v>5.57</v>
      </c>
      <c r="K1681" s="25" t="n">
        <v>0</v>
      </c>
      <c r="L1681" s="26">
        <f>IF(H1681&lt;=J1681,1,0)</f>
        <v>0</v>
      </c>
    </row>
    <row r="1682">
      <c r="A1682" s="19" t="inlineStr">
        <is>
          <t>QL-280-1</t>
        </is>
      </c>
      <c r="B1682" s="36" t="n">
        <v>45937</v>
      </c>
      <c r="C1682" s="37" t="inlineStr">
        <is>
          <t>出港</t>
        </is>
      </c>
      <c r="D1682" s="19" t="inlineStr">
        <is>
          <t>集装箱货物</t>
        </is>
      </c>
      <c r="E1682" s="19" t="inlineStr">
        <is>
          <t>东亚</t>
        </is>
      </c>
      <c r="F1682" s="19" t="inlineStr">
        <is>
          <t>01号泊位</t>
        </is>
      </c>
      <c r="G1682" s="20" t="n">
        <v>18642</v>
      </c>
      <c r="H1682" s="38" t="n">
        <v>24.76</v>
      </c>
      <c r="I1682" s="38" t="n">
        <v>1.8</v>
      </c>
      <c r="J1682" s="38" t="n">
        <v>20.71</v>
      </c>
      <c r="K1682" s="20" t="n">
        <v>1316</v>
      </c>
      <c r="L1682" s="26">
        <f>IF(H1682&lt;=J1682,1,0)</f>
        <v>0</v>
      </c>
    </row>
    <row r="1683">
      <c r="A1683" s="24" t="inlineStr">
        <is>
          <t>QL-280-2</t>
        </is>
      </c>
      <c r="B1683" s="39" t="n">
        <v>45937</v>
      </c>
      <c r="C1683" s="40" t="inlineStr">
        <is>
          <t>进港</t>
        </is>
      </c>
      <c r="D1683" s="24" t="inlineStr">
        <is>
          <t>金属矿石</t>
        </is>
      </c>
      <c r="E1683" s="24" t="inlineStr">
        <is>
          <t>东南亚</t>
        </is>
      </c>
      <c r="F1683" s="24" t="inlineStr">
        <is>
          <t>02号泊位</t>
        </is>
      </c>
      <c r="G1683" s="25" t="n">
        <v>20553</v>
      </c>
      <c r="H1683" s="41" t="n">
        <v>15.35</v>
      </c>
      <c r="I1683" s="41" t="n">
        <v>0.3</v>
      </c>
      <c r="J1683" s="41" t="n">
        <v>13.26</v>
      </c>
      <c r="K1683" s="25" t="n">
        <v>0</v>
      </c>
      <c r="L1683" s="26">
        <f>IF(H1683&lt;=J1683,1,0)</f>
        <v>0</v>
      </c>
    </row>
    <row r="1684">
      <c r="A1684" s="19" t="inlineStr">
        <is>
          <t>QL-280-3</t>
        </is>
      </c>
      <c r="B1684" s="36" t="n">
        <v>45937</v>
      </c>
      <c r="C1684" s="37" t="inlineStr">
        <is>
          <t>出港</t>
        </is>
      </c>
      <c r="D1684" s="19" t="inlineStr">
        <is>
          <t>煤炭</t>
        </is>
      </c>
      <c r="E1684" s="19" t="inlineStr">
        <is>
          <t>东南亚</t>
        </is>
      </c>
      <c r="F1684" s="19" t="inlineStr">
        <is>
          <t>03号泊位</t>
        </is>
      </c>
      <c r="G1684" s="20" t="n">
        <v>15914</v>
      </c>
      <c r="H1684" s="38" t="n">
        <v>11.67</v>
      </c>
      <c r="I1684" s="38" t="n">
        <v>2.88</v>
      </c>
      <c r="J1684" s="38" t="n">
        <v>12.06</v>
      </c>
      <c r="K1684" s="20" t="n">
        <v>0</v>
      </c>
      <c r="L1684" s="26">
        <f>IF(H1684&lt;=J1684,1,0)</f>
        <v>1</v>
      </c>
    </row>
    <row r="1685">
      <c r="A1685" s="24" t="inlineStr">
        <is>
          <t>QL-280-4</t>
        </is>
      </c>
      <c r="B1685" s="39" t="n">
        <v>45937</v>
      </c>
      <c r="C1685" s="40" t="inlineStr">
        <is>
          <t>进港</t>
        </is>
      </c>
      <c r="D1685" s="24" t="inlineStr">
        <is>
          <t>粮食</t>
        </is>
      </c>
      <c r="E1685" s="24" t="inlineStr">
        <is>
          <t>北美</t>
        </is>
      </c>
      <c r="F1685" s="24" t="inlineStr">
        <is>
          <t>04号泊位</t>
        </is>
      </c>
      <c r="G1685" s="25" t="n">
        <v>13332</v>
      </c>
      <c r="H1685" s="41" t="n">
        <v>14.62</v>
      </c>
      <c r="I1685" s="41" t="n">
        <v>1.97</v>
      </c>
      <c r="J1685" s="41" t="n">
        <v>13.07</v>
      </c>
      <c r="K1685" s="25" t="n">
        <v>0</v>
      </c>
      <c r="L1685" s="26">
        <f>IF(H1685&lt;=J1685,1,0)</f>
        <v>0</v>
      </c>
    </row>
    <row r="1686">
      <c r="A1686" s="19" t="inlineStr">
        <is>
          <t>QL-280-5</t>
        </is>
      </c>
      <c r="B1686" s="36" t="n">
        <v>45937</v>
      </c>
      <c r="C1686" s="37" t="inlineStr">
        <is>
          <t>进港</t>
        </is>
      </c>
      <c r="D1686" s="19" t="inlineStr">
        <is>
          <t>液体散货</t>
        </is>
      </c>
      <c r="E1686" s="19" t="inlineStr">
        <is>
          <t>国内沿海</t>
        </is>
      </c>
      <c r="F1686" s="19" t="inlineStr">
        <is>
          <t>05号泊位</t>
        </is>
      </c>
      <c r="G1686" s="20" t="n">
        <v>23521</v>
      </c>
      <c r="H1686" s="38" t="n">
        <v>15.16</v>
      </c>
      <c r="I1686" s="38" t="n">
        <v>3.12</v>
      </c>
      <c r="J1686" s="38" t="n">
        <v>16.33</v>
      </c>
      <c r="K1686" s="20" t="n">
        <v>0</v>
      </c>
      <c r="L1686" s="26">
        <f>IF(H1686&lt;=J1686,1,0)</f>
        <v>1</v>
      </c>
    </row>
    <row r="1687">
      <c r="A1687" s="24" t="inlineStr">
        <is>
          <t>QL-280-6</t>
        </is>
      </c>
      <c r="B1687" s="39" t="n">
        <v>45937</v>
      </c>
      <c r="C1687" s="40" t="inlineStr">
        <is>
          <t>进港</t>
        </is>
      </c>
      <c r="D1687" s="24" t="inlineStr">
        <is>
          <t>件杂货</t>
        </is>
      </c>
      <c r="E1687" s="24" t="inlineStr">
        <is>
          <t>东亚</t>
        </is>
      </c>
      <c r="F1687" s="24" t="inlineStr">
        <is>
          <t>06号泊位</t>
        </is>
      </c>
      <c r="G1687" s="25" t="n">
        <v>6763</v>
      </c>
      <c r="H1687" s="41" t="n">
        <v>12.18</v>
      </c>
      <c r="I1687" s="41" t="n">
        <v>1.96</v>
      </c>
      <c r="J1687" s="41" t="n">
        <v>11.09</v>
      </c>
      <c r="K1687" s="25" t="n">
        <v>0</v>
      </c>
      <c r="L1687" s="26">
        <f>IF(H1687&lt;=J1687,1,0)</f>
        <v>0</v>
      </c>
    </row>
    <row r="1688">
      <c r="A1688" s="19" t="inlineStr">
        <is>
          <t>QL-281-1</t>
        </is>
      </c>
      <c r="B1688" s="36" t="n">
        <v>45938</v>
      </c>
      <c r="C1688" s="37" t="inlineStr">
        <is>
          <t>进港</t>
        </is>
      </c>
      <c r="D1688" s="19" t="inlineStr">
        <is>
          <t>集装箱货物</t>
        </is>
      </c>
      <c r="E1688" s="19" t="inlineStr">
        <is>
          <t>北美</t>
        </is>
      </c>
      <c r="F1688" s="19" t="inlineStr">
        <is>
          <t>01号泊位</t>
        </is>
      </c>
      <c r="G1688" s="20" t="n">
        <v>11580</v>
      </c>
      <c r="H1688" s="38" t="n">
        <v>11.4</v>
      </c>
      <c r="I1688" s="38" t="n">
        <v>0.61</v>
      </c>
      <c r="J1688" s="38" t="n">
        <v>12.87</v>
      </c>
      <c r="K1688" s="20" t="n">
        <v>816</v>
      </c>
      <c r="L1688" s="26">
        <f>IF(H1688&lt;=J1688,1,0)</f>
        <v>1</v>
      </c>
    </row>
    <row r="1689">
      <c r="A1689" s="24" t="inlineStr">
        <is>
          <t>QL-281-2</t>
        </is>
      </c>
      <c r="B1689" s="39" t="n">
        <v>45938</v>
      </c>
      <c r="C1689" s="40" t="inlineStr">
        <is>
          <t>进港</t>
        </is>
      </c>
      <c r="D1689" s="24" t="inlineStr">
        <is>
          <t>金属矿石</t>
        </is>
      </c>
      <c r="E1689" s="24" t="inlineStr">
        <is>
          <t>东亚</t>
        </is>
      </c>
      <c r="F1689" s="24" t="inlineStr">
        <is>
          <t>02号泊位</t>
        </is>
      </c>
      <c r="G1689" s="25" t="n">
        <v>25464</v>
      </c>
      <c r="H1689" s="41" t="n">
        <v>16.38</v>
      </c>
      <c r="I1689" s="41" t="n">
        <v>5.25</v>
      </c>
      <c r="J1689" s="41" t="n">
        <v>16.43</v>
      </c>
      <c r="K1689" s="25" t="n">
        <v>0</v>
      </c>
      <c r="L1689" s="26">
        <f>IF(H1689&lt;=J1689,1,0)</f>
        <v>1</v>
      </c>
    </row>
    <row r="1690">
      <c r="A1690" s="19" t="inlineStr">
        <is>
          <t>QL-281-3</t>
        </is>
      </c>
      <c r="B1690" s="36" t="n">
        <v>45938</v>
      </c>
      <c r="C1690" s="37" t="inlineStr">
        <is>
          <t>出港</t>
        </is>
      </c>
      <c r="D1690" s="19" t="inlineStr">
        <is>
          <t>煤炭</t>
        </is>
      </c>
      <c r="E1690" s="19" t="inlineStr">
        <is>
          <t>国内沿海</t>
        </is>
      </c>
      <c r="F1690" s="19" t="inlineStr">
        <is>
          <t>03号泊位</t>
        </is>
      </c>
      <c r="G1690" s="20" t="n">
        <v>15717</v>
      </c>
      <c r="H1690" s="38" t="n">
        <v>12.62</v>
      </c>
      <c r="I1690" s="38" t="n">
        <v>6.37</v>
      </c>
      <c r="J1690" s="38" t="n">
        <v>11.91</v>
      </c>
      <c r="K1690" s="20" t="n">
        <v>0</v>
      </c>
      <c r="L1690" s="26">
        <f>IF(H1690&lt;=J1690,1,0)</f>
        <v>0</v>
      </c>
    </row>
    <row r="1691">
      <c r="A1691" s="24" t="inlineStr">
        <is>
          <t>QL-281-4</t>
        </is>
      </c>
      <c r="B1691" s="39" t="n">
        <v>45938</v>
      </c>
      <c r="C1691" s="40" t="inlineStr">
        <is>
          <t>进港</t>
        </is>
      </c>
      <c r="D1691" s="24" t="inlineStr">
        <is>
          <t>粮食</t>
        </is>
      </c>
      <c r="E1691" s="24" t="inlineStr">
        <is>
          <t>国内沿海</t>
        </is>
      </c>
      <c r="F1691" s="24" t="inlineStr">
        <is>
          <t>04号泊位</t>
        </is>
      </c>
      <c r="G1691" s="25" t="n">
        <v>8389</v>
      </c>
      <c r="H1691" s="41" t="n">
        <v>8.970000000000001</v>
      </c>
      <c r="I1691" s="41" t="n">
        <v>1.19</v>
      </c>
      <c r="J1691" s="41" t="n">
        <v>8.220000000000001</v>
      </c>
      <c r="K1691" s="25" t="n">
        <v>0</v>
      </c>
      <c r="L1691" s="26">
        <f>IF(H1691&lt;=J1691,1,0)</f>
        <v>0</v>
      </c>
    </row>
    <row r="1692">
      <c r="A1692" s="19" t="inlineStr">
        <is>
          <t>QL-281-5</t>
        </is>
      </c>
      <c r="B1692" s="36" t="n">
        <v>45938</v>
      </c>
      <c r="C1692" s="37" t="inlineStr">
        <is>
          <t>进港</t>
        </is>
      </c>
      <c r="D1692" s="19" t="inlineStr">
        <is>
          <t>液体散货</t>
        </is>
      </c>
      <c r="E1692" s="19" t="inlineStr">
        <is>
          <t>国内沿海</t>
        </is>
      </c>
      <c r="F1692" s="19" t="inlineStr">
        <is>
          <t>05号泊位</t>
        </is>
      </c>
      <c r="G1692" s="20" t="n">
        <v>9411</v>
      </c>
      <c r="H1692" s="38" t="n">
        <v>6.75</v>
      </c>
      <c r="I1692" s="38" t="n">
        <v>1.33</v>
      </c>
      <c r="J1692" s="38" t="n">
        <v>6.54</v>
      </c>
      <c r="K1692" s="20" t="n">
        <v>0</v>
      </c>
      <c r="L1692" s="26">
        <f>IF(H1692&lt;=J1692,1,0)</f>
        <v>0</v>
      </c>
    </row>
    <row r="1693">
      <c r="A1693" s="24" t="inlineStr">
        <is>
          <t>QL-281-6</t>
        </is>
      </c>
      <c r="B1693" s="39" t="n">
        <v>45938</v>
      </c>
      <c r="C1693" s="40" t="inlineStr">
        <is>
          <t>出港</t>
        </is>
      </c>
      <c r="D1693" s="24" t="inlineStr">
        <is>
          <t>件杂货</t>
        </is>
      </c>
      <c r="E1693" s="24" t="inlineStr">
        <is>
          <t>东亚</t>
        </is>
      </c>
      <c r="F1693" s="24" t="inlineStr">
        <is>
          <t>06号泊位</t>
        </is>
      </c>
      <c r="G1693" s="25" t="n">
        <v>5377</v>
      </c>
      <c r="H1693" s="41" t="n">
        <v>8.91</v>
      </c>
      <c r="I1693" s="41" t="n">
        <v>5.29</v>
      </c>
      <c r="J1693" s="41" t="n">
        <v>8.81</v>
      </c>
      <c r="K1693" s="25" t="n">
        <v>0</v>
      </c>
      <c r="L1693" s="26">
        <f>IF(H1693&lt;=J1693,1,0)</f>
        <v>0</v>
      </c>
    </row>
    <row r="1694">
      <c r="A1694" s="19" t="inlineStr">
        <is>
          <t>QL-282-1</t>
        </is>
      </c>
      <c r="B1694" s="36" t="n">
        <v>45939</v>
      </c>
      <c r="C1694" s="37" t="inlineStr">
        <is>
          <t>进港</t>
        </is>
      </c>
      <c r="D1694" s="19" t="inlineStr">
        <is>
          <t>集装箱货物</t>
        </is>
      </c>
      <c r="E1694" s="19" t="inlineStr">
        <is>
          <t>国内沿海</t>
        </is>
      </c>
      <c r="F1694" s="19" t="inlineStr">
        <is>
          <t>01号泊位</t>
        </is>
      </c>
      <c r="G1694" s="20" t="n">
        <v>9951</v>
      </c>
      <c r="H1694" s="38" t="n">
        <v>12.44</v>
      </c>
      <c r="I1694" s="38" t="n">
        <v>2.16</v>
      </c>
      <c r="J1694" s="38" t="n">
        <v>11.06</v>
      </c>
      <c r="K1694" s="20" t="n">
        <v>807</v>
      </c>
      <c r="L1694" s="26">
        <f>IF(H1694&lt;=J1694,1,0)</f>
        <v>0</v>
      </c>
    </row>
    <row r="1695">
      <c r="A1695" s="24" t="inlineStr">
        <is>
          <t>QL-282-2</t>
        </is>
      </c>
      <c r="B1695" s="39" t="n">
        <v>45939</v>
      </c>
      <c r="C1695" s="40" t="inlineStr">
        <is>
          <t>进港</t>
        </is>
      </c>
      <c r="D1695" s="24" t="inlineStr">
        <is>
          <t>金属矿石</t>
        </is>
      </c>
      <c r="E1695" s="24" t="inlineStr">
        <is>
          <t>东亚</t>
        </is>
      </c>
      <c r="F1695" s="24" t="inlineStr">
        <is>
          <t>02号泊位</t>
        </is>
      </c>
      <c r="G1695" s="25" t="n">
        <v>21277</v>
      </c>
      <c r="H1695" s="41" t="n">
        <v>12.44</v>
      </c>
      <c r="I1695" s="41" t="n">
        <v>0.3</v>
      </c>
      <c r="J1695" s="41" t="n">
        <v>13.73</v>
      </c>
      <c r="K1695" s="25" t="n">
        <v>0</v>
      </c>
      <c r="L1695" s="26">
        <f>IF(H1695&lt;=J1695,1,0)</f>
        <v>1</v>
      </c>
    </row>
    <row r="1696">
      <c r="A1696" s="19" t="inlineStr">
        <is>
          <t>QL-282-3</t>
        </is>
      </c>
      <c r="B1696" s="36" t="n">
        <v>45939</v>
      </c>
      <c r="C1696" s="37" t="inlineStr">
        <is>
          <t>进港</t>
        </is>
      </c>
      <c r="D1696" s="19" t="inlineStr">
        <is>
          <t>煤炭</t>
        </is>
      </c>
      <c r="E1696" s="19" t="inlineStr">
        <is>
          <t>东亚</t>
        </is>
      </c>
      <c r="F1696" s="19" t="inlineStr">
        <is>
          <t>03号泊位</t>
        </is>
      </c>
      <c r="G1696" s="20" t="n">
        <v>13491</v>
      </c>
      <c r="H1696" s="38" t="n">
        <v>10.16</v>
      </c>
      <c r="I1696" s="38" t="n">
        <v>1.31</v>
      </c>
      <c r="J1696" s="38" t="n">
        <v>10.22</v>
      </c>
      <c r="K1696" s="20" t="n">
        <v>0</v>
      </c>
      <c r="L1696" s="26">
        <f>IF(H1696&lt;=J1696,1,0)</f>
        <v>1</v>
      </c>
    </row>
    <row r="1697">
      <c r="A1697" s="24" t="inlineStr">
        <is>
          <t>QL-282-4</t>
        </is>
      </c>
      <c r="B1697" s="39" t="n">
        <v>45939</v>
      </c>
      <c r="C1697" s="40" t="inlineStr">
        <is>
          <t>进港</t>
        </is>
      </c>
      <c r="D1697" s="24" t="inlineStr">
        <is>
          <t>粮食</t>
        </is>
      </c>
      <c r="E1697" s="24" t="inlineStr">
        <is>
          <t>东南亚</t>
        </is>
      </c>
      <c r="F1697" s="24" t="inlineStr">
        <is>
          <t>04号泊位</t>
        </is>
      </c>
      <c r="G1697" s="25" t="n">
        <v>7343</v>
      </c>
      <c r="H1697" s="41" t="n">
        <v>5.87</v>
      </c>
      <c r="I1697" s="41" t="n">
        <v>3.5</v>
      </c>
      <c r="J1697" s="41" t="n">
        <v>7.2</v>
      </c>
      <c r="K1697" s="25" t="n">
        <v>0</v>
      </c>
      <c r="L1697" s="26">
        <f>IF(H1697&lt;=J1697,1,0)</f>
        <v>1</v>
      </c>
    </row>
    <row r="1698">
      <c r="A1698" s="19" t="inlineStr">
        <is>
          <t>QL-282-5</t>
        </is>
      </c>
      <c r="B1698" s="36" t="n">
        <v>45939</v>
      </c>
      <c r="C1698" s="37" t="inlineStr">
        <is>
          <t>进港</t>
        </is>
      </c>
      <c r="D1698" s="19" t="inlineStr">
        <is>
          <t>液体散货</t>
        </is>
      </c>
      <c r="E1698" s="19" t="inlineStr">
        <is>
          <t>东亚</t>
        </is>
      </c>
      <c r="F1698" s="19" t="inlineStr">
        <is>
          <t>05号泊位</t>
        </is>
      </c>
      <c r="G1698" s="20" t="n">
        <v>11066</v>
      </c>
      <c r="H1698" s="38" t="n">
        <v>6.65</v>
      </c>
      <c r="I1698" s="38" t="n">
        <v>2.03</v>
      </c>
      <c r="J1698" s="38" t="n">
        <v>7.68</v>
      </c>
      <c r="K1698" s="20" t="n">
        <v>0</v>
      </c>
      <c r="L1698" s="26">
        <f>IF(H1698&lt;=J1698,1,0)</f>
        <v>1</v>
      </c>
    </row>
    <row r="1699">
      <c r="A1699" s="24" t="inlineStr">
        <is>
          <t>QL-282-6</t>
        </is>
      </c>
      <c r="B1699" s="39" t="n">
        <v>45939</v>
      </c>
      <c r="C1699" s="40" t="inlineStr">
        <is>
          <t>出港</t>
        </is>
      </c>
      <c r="D1699" s="24" t="inlineStr">
        <is>
          <t>件杂货</t>
        </is>
      </c>
      <c r="E1699" s="24" t="inlineStr">
        <is>
          <t>东亚</t>
        </is>
      </c>
      <c r="F1699" s="24" t="inlineStr">
        <is>
          <t>06号泊位</t>
        </is>
      </c>
      <c r="G1699" s="25" t="n">
        <v>5030</v>
      </c>
      <c r="H1699" s="41" t="n">
        <v>9.039999999999999</v>
      </c>
      <c r="I1699" s="41" t="n">
        <v>4.27</v>
      </c>
      <c r="J1699" s="41" t="n">
        <v>8.25</v>
      </c>
      <c r="K1699" s="25" t="n">
        <v>0</v>
      </c>
      <c r="L1699" s="26">
        <f>IF(H1699&lt;=J1699,1,0)</f>
        <v>0</v>
      </c>
    </row>
    <row r="1700">
      <c r="A1700" s="19" t="inlineStr">
        <is>
          <t>QL-283-1</t>
        </is>
      </c>
      <c r="B1700" s="36" t="n">
        <v>45940</v>
      </c>
      <c r="C1700" s="37" t="inlineStr">
        <is>
          <t>进港</t>
        </is>
      </c>
      <c r="D1700" s="19" t="inlineStr">
        <is>
          <t>集装箱货物</t>
        </is>
      </c>
      <c r="E1700" s="19" t="inlineStr">
        <is>
          <t>欧洲</t>
        </is>
      </c>
      <c r="F1700" s="19" t="inlineStr">
        <is>
          <t>01号泊位</t>
        </is>
      </c>
      <c r="G1700" s="20" t="n">
        <v>5819</v>
      </c>
      <c r="H1700" s="38" t="n">
        <v>5.9</v>
      </c>
      <c r="I1700" s="38" t="n">
        <v>1.83</v>
      </c>
      <c r="J1700" s="38" t="n">
        <v>6.47</v>
      </c>
      <c r="K1700" s="20" t="n">
        <v>476</v>
      </c>
      <c r="L1700" s="26">
        <f>IF(H1700&lt;=J1700,1,0)</f>
        <v>1</v>
      </c>
    </row>
    <row r="1701">
      <c r="A1701" s="24" t="inlineStr">
        <is>
          <t>QL-283-2</t>
        </is>
      </c>
      <c r="B1701" s="39" t="n">
        <v>45940</v>
      </c>
      <c r="C1701" s="40" t="inlineStr">
        <is>
          <t>进港</t>
        </is>
      </c>
      <c r="D1701" s="24" t="inlineStr">
        <is>
          <t>金属矿石</t>
        </is>
      </c>
      <c r="E1701" s="24" t="inlineStr">
        <is>
          <t>东南亚</t>
        </is>
      </c>
      <c r="F1701" s="24" t="inlineStr">
        <is>
          <t>02号泊位</t>
        </is>
      </c>
      <c r="G1701" s="25" t="n">
        <v>13172</v>
      </c>
      <c r="H1701" s="41" t="n">
        <v>8.710000000000001</v>
      </c>
      <c r="I1701" s="41" t="n">
        <v>4.34</v>
      </c>
      <c r="J1701" s="41" t="n">
        <v>8.5</v>
      </c>
      <c r="K1701" s="25" t="n">
        <v>0</v>
      </c>
      <c r="L1701" s="26">
        <f>IF(H1701&lt;=J1701,1,0)</f>
        <v>0</v>
      </c>
    </row>
    <row r="1702">
      <c r="A1702" s="19" t="inlineStr">
        <is>
          <t>QL-283-3</t>
        </is>
      </c>
      <c r="B1702" s="36" t="n">
        <v>45940</v>
      </c>
      <c r="C1702" s="37" t="inlineStr">
        <is>
          <t>进港</t>
        </is>
      </c>
      <c r="D1702" s="19" t="inlineStr">
        <is>
          <t>煤炭</t>
        </is>
      </c>
      <c r="E1702" s="19" t="inlineStr">
        <is>
          <t>东亚</t>
        </is>
      </c>
      <c r="F1702" s="19" t="inlineStr">
        <is>
          <t>03号泊位</t>
        </is>
      </c>
      <c r="G1702" s="20" t="n">
        <v>18322</v>
      </c>
      <c r="H1702" s="38" t="n">
        <v>15.54</v>
      </c>
      <c r="I1702" s="38" t="n">
        <v>2.04</v>
      </c>
      <c r="J1702" s="38" t="n">
        <v>13.88</v>
      </c>
      <c r="K1702" s="20" t="n">
        <v>0</v>
      </c>
      <c r="L1702" s="26">
        <f>IF(H1702&lt;=J1702,1,0)</f>
        <v>0</v>
      </c>
    </row>
    <row r="1703">
      <c r="A1703" s="24" t="inlineStr">
        <is>
          <t>QL-283-4</t>
        </is>
      </c>
      <c r="B1703" s="39" t="n">
        <v>45940</v>
      </c>
      <c r="C1703" s="40" t="inlineStr">
        <is>
          <t>进港</t>
        </is>
      </c>
      <c r="D1703" s="24" t="inlineStr">
        <is>
          <t>粮食</t>
        </is>
      </c>
      <c r="E1703" s="24" t="inlineStr">
        <is>
          <t>东南亚</t>
        </is>
      </c>
      <c r="F1703" s="24" t="inlineStr">
        <is>
          <t>04号泊位</t>
        </is>
      </c>
      <c r="G1703" s="25" t="n">
        <v>8313</v>
      </c>
      <c r="H1703" s="41" t="n">
        <v>7.69</v>
      </c>
      <c r="I1703" s="41" t="n">
        <v>6.58</v>
      </c>
      <c r="J1703" s="41" t="n">
        <v>8.15</v>
      </c>
      <c r="K1703" s="25" t="n">
        <v>0</v>
      </c>
      <c r="L1703" s="26">
        <f>IF(H1703&lt;=J1703,1,0)</f>
        <v>1</v>
      </c>
    </row>
    <row r="1704">
      <c r="A1704" s="19" t="inlineStr">
        <is>
          <t>QL-283-5</t>
        </is>
      </c>
      <c r="B1704" s="36" t="n">
        <v>45940</v>
      </c>
      <c r="C1704" s="37" t="inlineStr">
        <is>
          <t>出港</t>
        </is>
      </c>
      <c r="D1704" s="19" t="inlineStr">
        <is>
          <t>液体散货</t>
        </is>
      </c>
      <c r="E1704" s="19" t="inlineStr">
        <is>
          <t>北美</t>
        </is>
      </c>
      <c r="F1704" s="19" t="inlineStr">
        <is>
          <t>05号泊位</t>
        </is>
      </c>
      <c r="G1704" s="20" t="n">
        <v>6852</v>
      </c>
      <c r="H1704" s="38" t="n">
        <v>5.44</v>
      </c>
      <c r="I1704" s="38" t="n">
        <v>1.55</v>
      </c>
      <c r="J1704" s="38" t="n">
        <v>4.76</v>
      </c>
      <c r="K1704" s="20" t="n">
        <v>0</v>
      </c>
      <c r="L1704" s="26">
        <f>IF(H1704&lt;=J1704,1,0)</f>
        <v>0</v>
      </c>
    </row>
    <row r="1705">
      <c r="A1705" s="24" t="inlineStr">
        <is>
          <t>QL-283-6</t>
        </is>
      </c>
      <c r="B1705" s="39" t="n">
        <v>45940</v>
      </c>
      <c r="C1705" s="40" t="inlineStr">
        <is>
          <t>进港</t>
        </is>
      </c>
      <c r="D1705" s="24" t="inlineStr">
        <is>
          <t>件杂货</t>
        </is>
      </c>
      <c r="E1705" s="24" t="inlineStr">
        <is>
          <t>东亚</t>
        </is>
      </c>
      <c r="F1705" s="24" t="inlineStr">
        <is>
          <t>06号泊位</t>
        </is>
      </c>
      <c r="G1705" s="25" t="n">
        <v>4794</v>
      </c>
      <c r="H1705" s="41" t="n">
        <v>9.130000000000001</v>
      </c>
      <c r="I1705" s="41" t="n">
        <v>1.53</v>
      </c>
      <c r="J1705" s="41" t="n">
        <v>7.86</v>
      </c>
      <c r="K1705" s="25" t="n">
        <v>0</v>
      </c>
      <c r="L1705" s="26">
        <f>IF(H1705&lt;=J1705,1,0)</f>
        <v>0</v>
      </c>
    </row>
    <row r="1706">
      <c r="A1706" s="19" t="inlineStr">
        <is>
          <t>QL-284-1</t>
        </is>
      </c>
      <c r="B1706" s="36" t="n">
        <v>45941</v>
      </c>
      <c r="C1706" s="37" t="inlineStr">
        <is>
          <t>进港</t>
        </is>
      </c>
      <c r="D1706" s="19" t="inlineStr">
        <is>
          <t>集装箱货物</t>
        </is>
      </c>
      <c r="E1706" s="19" t="inlineStr">
        <is>
          <t>东亚</t>
        </is>
      </c>
      <c r="F1706" s="19" t="inlineStr">
        <is>
          <t>01号泊位</t>
        </is>
      </c>
      <c r="G1706" s="20" t="n">
        <v>9254</v>
      </c>
      <c r="H1706" s="38" t="n">
        <v>12.15</v>
      </c>
      <c r="I1706" s="38" t="n">
        <v>2.24</v>
      </c>
      <c r="J1706" s="38" t="n">
        <v>10.28</v>
      </c>
      <c r="K1706" s="20" t="n">
        <v>606</v>
      </c>
      <c r="L1706" s="26">
        <f>IF(H1706&lt;=J1706,1,0)</f>
        <v>0</v>
      </c>
    </row>
    <row r="1707">
      <c r="A1707" s="24" t="inlineStr">
        <is>
          <t>QL-284-2</t>
        </is>
      </c>
      <c r="B1707" s="39" t="n">
        <v>45941</v>
      </c>
      <c r="C1707" s="40" t="inlineStr">
        <is>
          <t>进港</t>
        </is>
      </c>
      <c r="D1707" s="24" t="inlineStr">
        <is>
          <t>金属矿石</t>
        </is>
      </c>
      <c r="E1707" s="24" t="inlineStr">
        <is>
          <t>东南亚</t>
        </is>
      </c>
      <c r="F1707" s="24" t="inlineStr">
        <is>
          <t>02号泊位</t>
        </is>
      </c>
      <c r="G1707" s="25" t="n">
        <v>21251</v>
      </c>
      <c r="H1707" s="41" t="n">
        <v>11.94</v>
      </c>
      <c r="I1707" s="41" t="n">
        <v>1.63</v>
      </c>
      <c r="J1707" s="41" t="n">
        <v>13.71</v>
      </c>
      <c r="K1707" s="25" t="n">
        <v>0</v>
      </c>
      <c r="L1707" s="26">
        <f>IF(H1707&lt;=J1707,1,0)</f>
        <v>1</v>
      </c>
    </row>
    <row r="1708">
      <c r="A1708" s="19" t="inlineStr">
        <is>
          <t>QL-284-3</t>
        </is>
      </c>
      <c r="B1708" s="36" t="n">
        <v>45941</v>
      </c>
      <c r="C1708" s="37" t="inlineStr">
        <is>
          <t>出港</t>
        </is>
      </c>
      <c r="D1708" s="19" t="inlineStr">
        <is>
          <t>煤炭</t>
        </is>
      </c>
      <c r="E1708" s="19" t="inlineStr">
        <is>
          <t>东亚</t>
        </is>
      </c>
      <c r="F1708" s="19" t="inlineStr">
        <is>
          <t>03号泊位</t>
        </is>
      </c>
      <c r="G1708" s="20" t="n">
        <v>18349</v>
      </c>
      <c r="H1708" s="38" t="n">
        <v>15.28</v>
      </c>
      <c r="I1708" s="38" t="n">
        <v>3.96</v>
      </c>
      <c r="J1708" s="38" t="n">
        <v>13.9</v>
      </c>
      <c r="K1708" s="20" t="n">
        <v>0</v>
      </c>
      <c r="L1708" s="26">
        <f>IF(H1708&lt;=J1708,1,0)</f>
        <v>0</v>
      </c>
    </row>
    <row r="1709">
      <c r="A1709" s="24" t="inlineStr">
        <is>
          <t>QL-284-4</t>
        </is>
      </c>
      <c r="B1709" s="39" t="n">
        <v>45941</v>
      </c>
      <c r="C1709" s="40" t="inlineStr">
        <is>
          <t>出港</t>
        </is>
      </c>
      <c r="D1709" s="24" t="inlineStr">
        <is>
          <t>粮食</t>
        </is>
      </c>
      <c r="E1709" s="24" t="inlineStr">
        <is>
          <t>北美</t>
        </is>
      </c>
      <c r="F1709" s="24" t="inlineStr">
        <is>
          <t>04号泊位</t>
        </is>
      </c>
      <c r="G1709" s="25" t="n">
        <v>8790</v>
      </c>
      <c r="H1709" s="41" t="n">
        <v>7.59</v>
      </c>
      <c r="I1709" s="41" t="n">
        <v>0.44</v>
      </c>
      <c r="J1709" s="41" t="n">
        <v>8.619999999999999</v>
      </c>
      <c r="K1709" s="25" t="n">
        <v>0</v>
      </c>
      <c r="L1709" s="26">
        <f>IF(H1709&lt;=J1709,1,0)</f>
        <v>1</v>
      </c>
    </row>
    <row r="1710">
      <c r="A1710" s="19" t="inlineStr">
        <is>
          <t>QL-284-5</t>
        </is>
      </c>
      <c r="B1710" s="36" t="n">
        <v>45941</v>
      </c>
      <c r="C1710" s="37" t="inlineStr">
        <is>
          <t>出港</t>
        </is>
      </c>
      <c r="D1710" s="19" t="inlineStr">
        <is>
          <t>液体散货</t>
        </is>
      </c>
      <c r="E1710" s="19" t="inlineStr">
        <is>
          <t>欧洲</t>
        </is>
      </c>
      <c r="F1710" s="19" t="inlineStr">
        <is>
          <t>05号泊位</t>
        </is>
      </c>
      <c r="G1710" s="20" t="n">
        <v>14228</v>
      </c>
      <c r="H1710" s="38" t="n">
        <v>10.44</v>
      </c>
      <c r="I1710" s="38" t="n">
        <v>4.79</v>
      </c>
      <c r="J1710" s="38" t="n">
        <v>9.880000000000001</v>
      </c>
      <c r="K1710" s="20" t="n">
        <v>0</v>
      </c>
      <c r="L1710" s="26">
        <f>IF(H1710&lt;=J1710,1,0)</f>
        <v>0</v>
      </c>
    </row>
    <row r="1711">
      <c r="A1711" s="24" t="inlineStr">
        <is>
          <t>QL-284-6</t>
        </is>
      </c>
      <c r="B1711" s="39" t="n">
        <v>45941</v>
      </c>
      <c r="C1711" s="40" t="inlineStr">
        <is>
          <t>出港</t>
        </is>
      </c>
      <c r="D1711" s="24" t="inlineStr">
        <is>
          <t>件杂货</t>
        </is>
      </c>
      <c r="E1711" s="24" t="inlineStr">
        <is>
          <t>国内沿海</t>
        </is>
      </c>
      <c r="F1711" s="24" t="inlineStr">
        <is>
          <t>06号泊位</t>
        </is>
      </c>
      <c r="G1711" s="25" t="n">
        <v>4804</v>
      </c>
      <c r="H1711" s="41" t="n">
        <v>8.73</v>
      </c>
      <c r="I1711" s="41" t="n">
        <v>2.75</v>
      </c>
      <c r="J1711" s="41" t="n">
        <v>7.88</v>
      </c>
      <c r="K1711" s="25" t="n">
        <v>0</v>
      </c>
      <c r="L1711" s="26">
        <f>IF(H1711&lt;=J1711,1,0)</f>
        <v>0</v>
      </c>
    </row>
    <row r="1712">
      <c r="A1712" s="19" t="inlineStr">
        <is>
          <t>QL-285-1</t>
        </is>
      </c>
      <c r="B1712" s="36" t="n">
        <v>45942</v>
      </c>
      <c r="C1712" s="37" t="inlineStr">
        <is>
          <t>出港</t>
        </is>
      </c>
      <c r="D1712" s="19" t="inlineStr">
        <is>
          <t>集装箱货物</t>
        </is>
      </c>
      <c r="E1712" s="19" t="inlineStr">
        <is>
          <t>东亚</t>
        </is>
      </c>
      <c r="F1712" s="19" t="inlineStr">
        <is>
          <t>01号泊位</t>
        </is>
      </c>
      <c r="G1712" s="20" t="n">
        <v>9346</v>
      </c>
      <c r="H1712" s="38" t="n">
        <v>11.98</v>
      </c>
      <c r="I1712" s="38" t="n">
        <v>12.28</v>
      </c>
      <c r="J1712" s="38" t="n">
        <v>10.38</v>
      </c>
      <c r="K1712" s="20" t="n">
        <v>743</v>
      </c>
      <c r="L1712" s="26">
        <f>IF(H1712&lt;=J1712,1,0)</f>
        <v>0</v>
      </c>
    </row>
    <row r="1713">
      <c r="A1713" s="24" t="inlineStr">
        <is>
          <t>QL-285-2</t>
        </is>
      </c>
      <c r="B1713" s="39" t="n">
        <v>45942</v>
      </c>
      <c r="C1713" s="40" t="inlineStr">
        <is>
          <t>出港</t>
        </is>
      </c>
      <c r="D1713" s="24" t="inlineStr">
        <is>
          <t>金属矿石</t>
        </is>
      </c>
      <c r="E1713" s="24" t="inlineStr">
        <is>
          <t>国内沿海</t>
        </is>
      </c>
      <c r="F1713" s="24" t="inlineStr">
        <is>
          <t>02号泊位</t>
        </is>
      </c>
      <c r="G1713" s="25" t="n">
        <v>17010</v>
      </c>
      <c r="H1713" s="41" t="n">
        <v>9.08</v>
      </c>
      <c r="I1713" s="41" t="n">
        <v>1.38</v>
      </c>
      <c r="J1713" s="41" t="n">
        <v>10.97</v>
      </c>
      <c r="K1713" s="25" t="n">
        <v>0</v>
      </c>
      <c r="L1713" s="26">
        <f>IF(H1713&lt;=J1713,1,0)</f>
        <v>1</v>
      </c>
    </row>
    <row r="1714">
      <c r="A1714" s="19" t="inlineStr">
        <is>
          <t>QL-285-3</t>
        </is>
      </c>
      <c r="B1714" s="36" t="n">
        <v>45942</v>
      </c>
      <c r="C1714" s="37" t="inlineStr">
        <is>
          <t>进港</t>
        </is>
      </c>
      <c r="D1714" s="19" t="inlineStr">
        <is>
          <t>煤炭</t>
        </is>
      </c>
      <c r="E1714" s="19" t="inlineStr">
        <is>
          <t>国内沿海</t>
        </is>
      </c>
      <c r="F1714" s="19" t="inlineStr">
        <is>
          <t>03号泊位</t>
        </is>
      </c>
      <c r="G1714" s="20" t="n">
        <v>15463</v>
      </c>
      <c r="H1714" s="38" t="n">
        <v>10.55</v>
      </c>
      <c r="I1714" s="38" t="n">
        <v>6.49</v>
      </c>
      <c r="J1714" s="38" t="n">
        <v>11.71</v>
      </c>
      <c r="K1714" s="20" t="n">
        <v>0</v>
      </c>
      <c r="L1714" s="26">
        <f>IF(H1714&lt;=J1714,1,0)</f>
        <v>1</v>
      </c>
    </row>
    <row r="1715">
      <c r="A1715" s="24" t="inlineStr">
        <is>
          <t>QL-285-4</t>
        </is>
      </c>
      <c r="B1715" s="39" t="n">
        <v>45942</v>
      </c>
      <c r="C1715" s="40" t="inlineStr">
        <is>
          <t>出港</t>
        </is>
      </c>
      <c r="D1715" s="24" t="inlineStr">
        <is>
          <t>粮食</t>
        </is>
      </c>
      <c r="E1715" s="24" t="inlineStr">
        <is>
          <t>东南亚</t>
        </is>
      </c>
      <c r="F1715" s="24" t="inlineStr">
        <is>
          <t>04号泊位</t>
        </is>
      </c>
      <c r="G1715" s="25" t="n">
        <v>12377</v>
      </c>
      <c r="H1715" s="41" t="n">
        <v>13.15</v>
      </c>
      <c r="I1715" s="41" t="n">
        <v>3.1</v>
      </c>
      <c r="J1715" s="41" t="n">
        <v>12.13</v>
      </c>
      <c r="K1715" s="25" t="n">
        <v>0</v>
      </c>
      <c r="L1715" s="26">
        <f>IF(H1715&lt;=J1715,1,0)</f>
        <v>0</v>
      </c>
    </row>
    <row r="1716">
      <c r="A1716" s="19" t="inlineStr">
        <is>
          <t>QL-285-5</t>
        </is>
      </c>
      <c r="B1716" s="36" t="n">
        <v>45942</v>
      </c>
      <c r="C1716" s="37" t="inlineStr">
        <is>
          <t>出港</t>
        </is>
      </c>
      <c r="D1716" s="19" t="inlineStr">
        <is>
          <t>液体散货</t>
        </is>
      </c>
      <c r="E1716" s="19" t="inlineStr">
        <is>
          <t>国内沿海</t>
        </is>
      </c>
      <c r="F1716" s="19" t="inlineStr">
        <is>
          <t>05号泊位</t>
        </is>
      </c>
      <c r="G1716" s="20" t="n">
        <v>15884</v>
      </c>
      <c r="H1716" s="38" t="n">
        <v>12.23</v>
      </c>
      <c r="I1716" s="38" t="n">
        <v>3.02</v>
      </c>
      <c r="J1716" s="38" t="n">
        <v>11.03</v>
      </c>
      <c r="K1716" s="20" t="n">
        <v>0</v>
      </c>
      <c r="L1716" s="26">
        <f>IF(H1716&lt;=J1716,1,0)</f>
        <v>0</v>
      </c>
    </row>
    <row r="1717">
      <c r="A1717" s="24" t="inlineStr">
        <is>
          <t>QL-285-6</t>
        </is>
      </c>
      <c r="B1717" s="39" t="n">
        <v>45942</v>
      </c>
      <c r="C1717" s="40" t="inlineStr">
        <is>
          <t>进港</t>
        </is>
      </c>
      <c r="D1717" s="24" t="inlineStr">
        <is>
          <t>件杂货</t>
        </is>
      </c>
      <c r="E1717" s="24" t="inlineStr">
        <is>
          <t>东亚</t>
        </is>
      </c>
      <c r="F1717" s="24" t="inlineStr">
        <is>
          <t>06号泊位</t>
        </is>
      </c>
      <c r="G1717" s="25" t="n">
        <v>7893</v>
      </c>
      <c r="H1717" s="41" t="n">
        <v>13.19</v>
      </c>
      <c r="I1717" s="41" t="n">
        <v>2.92</v>
      </c>
      <c r="J1717" s="41" t="n">
        <v>12.94</v>
      </c>
      <c r="K1717" s="25" t="n">
        <v>0</v>
      </c>
      <c r="L1717" s="26">
        <f>IF(H1717&lt;=J1717,1,0)</f>
        <v>0</v>
      </c>
    </row>
    <row r="1718">
      <c r="A1718" s="19" t="inlineStr">
        <is>
          <t>QL-286-1</t>
        </is>
      </c>
      <c r="B1718" s="36" t="n">
        <v>45943</v>
      </c>
      <c r="C1718" s="37" t="inlineStr">
        <is>
          <t>出港</t>
        </is>
      </c>
      <c r="D1718" s="19" t="inlineStr">
        <is>
          <t>集装箱货物</t>
        </is>
      </c>
      <c r="E1718" s="19" t="inlineStr">
        <is>
          <t>欧洲</t>
        </is>
      </c>
      <c r="F1718" s="19" t="inlineStr">
        <is>
          <t>01号泊位</t>
        </is>
      </c>
      <c r="G1718" s="20" t="n">
        <v>14494</v>
      </c>
      <c r="H1718" s="38" t="n">
        <v>16.06</v>
      </c>
      <c r="I1718" s="38" t="n">
        <v>0.34</v>
      </c>
      <c r="J1718" s="38" t="n">
        <v>16.1</v>
      </c>
      <c r="K1718" s="20" t="n">
        <v>985</v>
      </c>
      <c r="L1718" s="26">
        <f>IF(H1718&lt;=J1718,1,0)</f>
        <v>1</v>
      </c>
    </row>
    <row r="1719">
      <c r="A1719" s="24" t="inlineStr">
        <is>
          <t>QL-286-2</t>
        </is>
      </c>
      <c r="B1719" s="39" t="n">
        <v>45943</v>
      </c>
      <c r="C1719" s="40" t="inlineStr">
        <is>
          <t>进港</t>
        </is>
      </c>
      <c r="D1719" s="24" t="inlineStr">
        <is>
          <t>金属矿石</t>
        </is>
      </c>
      <c r="E1719" s="24" t="inlineStr">
        <is>
          <t>东亚</t>
        </is>
      </c>
      <c r="F1719" s="24" t="inlineStr">
        <is>
          <t>02号泊位</t>
        </is>
      </c>
      <c r="G1719" s="25" t="n">
        <v>14235</v>
      </c>
      <c r="H1719" s="41" t="n">
        <v>10.53</v>
      </c>
      <c r="I1719" s="41" t="n">
        <v>3.46</v>
      </c>
      <c r="J1719" s="41" t="n">
        <v>9.18</v>
      </c>
      <c r="K1719" s="25" t="n">
        <v>0</v>
      </c>
      <c r="L1719" s="26">
        <f>IF(H1719&lt;=J1719,1,0)</f>
        <v>0</v>
      </c>
    </row>
    <row r="1720">
      <c r="A1720" s="19" t="inlineStr">
        <is>
          <t>QL-286-3</t>
        </is>
      </c>
      <c r="B1720" s="36" t="n">
        <v>45943</v>
      </c>
      <c r="C1720" s="37" t="inlineStr">
        <is>
          <t>进港</t>
        </is>
      </c>
      <c r="D1720" s="19" t="inlineStr">
        <is>
          <t>煤炭</t>
        </is>
      </c>
      <c r="E1720" s="19" t="inlineStr">
        <is>
          <t>国内沿海</t>
        </is>
      </c>
      <c r="F1720" s="19" t="inlineStr">
        <is>
          <t>03号泊位</t>
        </is>
      </c>
      <c r="G1720" s="20" t="n">
        <v>13830</v>
      </c>
      <c r="H1720" s="38" t="n">
        <v>10.91</v>
      </c>
      <c r="I1720" s="38" t="n">
        <v>3.55</v>
      </c>
      <c r="J1720" s="38" t="n">
        <v>10.48</v>
      </c>
      <c r="K1720" s="20" t="n">
        <v>0</v>
      </c>
      <c r="L1720" s="26">
        <f>IF(H1720&lt;=J1720,1,0)</f>
        <v>0</v>
      </c>
    </row>
    <row r="1721">
      <c r="A1721" s="24" t="inlineStr">
        <is>
          <t>QL-286-4</t>
        </is>
      </c>
      <c r="B1721" s="39" t="n">
        <v>45943</v>
      </c>
      <c r="C1721" s="40" t="inlineStr">
        <is>
          <t>进港</t>
        </is>
      </c>
      <c r="D1721" s="24" t="inlineStr">
        <is>
          <t>粮食</t>
        </is>
      </c>
      <c r="E1721" s="24" t="inlineStr">
        <is>
          <t>北美</t>
        </is>
      </c>
      <c r="F1721" s="24" t="inlineStr">
        <is>
          <t>04号泊位</t>
        </is>
      </c>
      <c r="G1721" s="25" t="n">
        <v>8924</v>
      </c>
      <c r="H1721" s="41" t="n">
        <v>7.68</v>
      </c>
      <c r="I1721" s="41" t="n">
        <v>3.34</v>
      </c>
      <c r="J1721" s="41" t="n">
        <v>8.75</v>
      </c>
      <c r="K1721" s="25" t="n">
        <v>0</v>
      </c>
      <c r="L1721" s="26">
        <f>IF(H1721&lt;=J1721,1,0)</f>
        <v>1</v>
      </c>
    </row>
    <row r="1722">
      <c r="A1722" s="19" t="inlineStr">
        <is>
          <t>QL-286-5</t>
        </is>
      </c>
      <c r="B1722" s="36" t="n">
        <v>45943</v>
      </c>
      <c r="C1722" s="37" t="inlineStr">
        <is>
          <t>进港</t>
        </is>
      </c>
      <c r="D1722" s="19" t="inlineStr">
        <is>
          <t>液体散货</t>
        </is>
      </c>
      <c r="E1722" s="19" t="inlineStr">
        <is>
          <t>东南亚</t>
        </is>
      </c>
      <c r="F1722" s="19" t="inlineStr">
        <is>
          <t>05号泊位</t>
        </is>
      </c>
      <c r="G1722" s="20" t="n">
        <v>18412</v>
      </c>
      <c r="H1722" s="38" t="n">
        <v>13.46</v>
      </c>
      <c r="I1722" s="38" t="n">
        <v>3.79</v>
      </c>
      <c r="J1722" s="38" t="n">
        <v>12.79</v>
      </c>
      <c r="K1722" s="20" t="n">
        <v>0</v>
      </c>
      <c r="L1722" s="26">
        <f>IF(H1722&lt;=J1722,1,0)</f>
        <v>0</v>
      </c>
    </row>
    <row r="1723">
      <c r="A1723" s="24" t="inlineStr">
        <is>
          <t>QL-286-6</t>
        </is>
      </c>
      <c r="B1723" s="39" t="n">
        <v>45943</v>
      </c>
      <c r="C1723" s="40" t="inlineStr">
        <is>
          <t>出港</t>
        </is>
      </c>
      <c r="D1723" s="24" t="inlineStr">
        <is>
          <t>件杂货</t>
        </is>
      </c>
      <c r="E1723" s="24" t="inlineStr">
        <is>
          <t>欧洲</t>
        </is>
      </c>
      <c r="F1723" s="24" t="inlineStr">
        <is>
          <t>06号泊位</t>
        </is>
      </c>
      <c r="G1723" s="25" t="n">
        <v>4698</v>
      </c>
      <c r="H1723" s="41" t="n">
        <v>7.92</v>
      </c>
      <c r="I1723" s="41" t="n">
        <v>0.88</v>
      </c>
      <c r="J1723" s="41" t="n">
        <v>7.7</v>
      </c>
      <c r="K1723" s="25" t="n">
        <v>0</v>
      </c>
      <c r="L1723" s="26">
        <f>IF(H1723&lt;=J1723,1,0)</f>
        <v>0</v>
      </c>
    </row>
    <row r="1724">
      <c r="A1724" s="19" t="inlineStr">
        <is>
          <t>QL-287-1</t>
        </is>
      </c>
      <c r="B1724" s="36" t="n">
        <v>45944</v>
      </c>
      <c r="C1724" s="37" t="inlineStr">
        <is>
          <t>进港</t>
        </is>
      </c>
      <c r="D1724" s="19" t="inlineStr">
        <is>
          <t>集装箱货物</t>
        </is>
      </c>
      <c r="E1724" s="19" t="inlineStr">
        <is>
          <t>东亚</t>
        </is>
      </c>
      <c r="F1724" s="19" t="inlineStr">
        <is>
          <t>01号泊位</t>
        </is>
      </c>
      <c r="G1724" s="20" t="n">
        <v>11189</v>
      </c>
      <c r="H1724" s="38" t="n">
        <v>13.79</v>
      </c>
      <c r="I1724" s="38" t="n">
        <v>3.49</v>
      </c>
      <c r="J1724" s="38" t="n">
        <v>12.43</v>
      </c>
      <c r="K1724" s="20" t="n">
        <v>913</v>
      </c>
      <c r="L1724" s="26">
        <f>IF(H1724&lt;=J1724,1,0)</f>
        <v>0</v>
      </c>
    </row>
    <row r="1725">
      <c r="A1725" s="24" t="inlineStr">
        <is>
          <t>QL-287-2</t>
        </is>
      </c>
      <c r="B1725" s="39" t="n">
        <v>45944</v>
      </c>
      <c r="C1725" s="40" t="inlineStr">
        <is>
          <t>进港</t>
        </is>
      </c>
      <c r="D1725" s="24" t="inlineStr">
        <is>
          <t>金属矿石</t>
        </is>
      </c>
      <c r="E1725" s="24" t="inlineStr">
        <is>
          <t>北美</t>
        </is>
      </c>
      <c r="F1725" s="24" t="inlineStr">
        <is>
          <t>02号泊位</t>
        </is>
      </c>
      <c r="G1725" s="25" t="n">
        <v>24159</v>
      </c>
      <c r="H1725" s="41" t="n">
        <v>15.8</v>
      </c>
      <c r="I1725" s="41" t="n">
        <v>0.67</v>
      </c>
      <c r="J1725" s="41" t="n">
        <v>15.59</v>
      </c>
      <c r="K1725" s="25" t="n">
        <v>0</v>
      </c>
      <c r="L1725" s="26">
        <f>IF(H1725&lt;=J1725,1,0)</f>
        <v>0</v>
      </c>
    </row>
    <row r="1726">
      <c r="A1726" s="19" t="inlineStr">
        <is>
          <t>QL-287-3</t>
        </is>
      </c>
      <c r="B1726" s="36" t="n">
        <v>45944</v>
      </c>
      <c r="C1726" s="37" t="inlineStr">
        <is>
          <t>进港</t>
        </is>
      </c>
      <c r="D1726" s="19" t="inlineStr">
        <is>
          <t>煤炭</t>
        </is>
      </c>
      <c r="E1726" s="19" t="inlineStr">
        <is>
          <t>东南亚</t>
        </is>
      </c>
      <c r="F1726" s="19" t="inlineStr">
        <is>
          <t>03号泊位</t>
        </is>
      </c>
      <c r="G1726" s="20" t="n">
        <v>15744</v>
      </c>
      <c r="H1726" s="38" t="n">
        <v>12.5</v>
      </c>
      <c r="I1726" s="38" t="n">
        <v>0.57</v>
      </c>
      <c r="J1726" s="38" t="n">
        <v>11.93</v>
      </c>
      <c r="K1726" s="20" t="n">
        <v>0</v>
      </c>
      <c r="L1726" s="26">
        <f>IF(H1726&lt;=J1726,1,0)</f>
        <v>0</v>
      </c>
    </row>
    <row r="1727">
      <c r="A1727" s="24" t="inlineStr">
        <is>
          <t>QL-287-4</t>
        </is>
      </c>
      <c r="B1727" s="39" t="n">
        <v>45944</v>
      </c>
      <c r="C1727" s="40" t="inlineStr">
        <is>
          <t>进港</t>
        </is>
      </c>
      <c r="D1727" s="24" t="inlineStr">
        <is>
          <t>粮食</t>
        </is>
      </c>
      <c r="E1727" s="24" t="inlineStr">
        <is>
          <t>北美</t>
        </is>
      </c>
      <c r="F1727" s="24" t="inlineStr">
        <is>
          <t>04号泊位</t>
        </is>
      </c>
      <c r="G1727" s="25" t="n">
        <v>7276</v>
      </c>
      <c r="H1727" s="41" t="n">
        <v>7.92</v>
      </c>
      <c r="I1727" s="41" t="n">
        <v>2.35</v>
      </c>
      <c r="J1727" s="41" t="n">
        <v>7.13</v>
      </c>
      <c r="K1727" s="25" t="n">
        <v>0</v>
      </c>
      <c r="L1727" s="26">
        <f>IF(H1727&lt;=J1727,1,0)</f>
        <v>0</v>
      </c>
    </row>
    <row r="1728">
      <c r="A1728" s="19" t="inlineStr">
        <is>
          <t>QL-287-5</t>
        </is>
      </c>
      <c r="B1728" s="36" t="n">
        <v>45944</v>
      </c>
      <c r="C1728" s="37" t="inlineStr">
        <is>
          <t>出港</t>
        </is>
      </c>
      <c r="D1728" s="19" t="inlineStr">
        <is>
          <t>液体散货</t>
        </is>
      </c>
      <c r="E1728" s="19" t="inlineStr">
        <is>
          <t>东亚</t>
        </is>
      </c>
      <c r="F1728" s="19" t="inlineStr">
        <is>
          <t>05号泊位</t>
        </is>
      </c>
      <c r="G1728" s="20" t="n">
        <v>10798</v>
      </c>
      <c r="H1728" s="38" t="n">
        <v>7.1</v>
      </c>
      <c r="I1728" s="38" t="n">
        <v>0.71</v>
      </c>
      <c r="J1728" s="38" t="n">
        <v>7.5</v>
      </c>
      <c r="K1728" s="20" t="n">
        <v>0</v>
      </c>
      <c r="L1728" s="26">
        <f>IF(H1728&lt;=J1728,1,0)</f>
        <v>1</v>
      </c>
    </row>
    <row r="1729">
      <c r="A1729" s="24" t="inlineStr">
        <is>
          <t>QL-287-6</t>
        </is>
      </c>
      <c r="B1729" s="39" t="n">
        <v>45944</v>
      </c>
      <c r="C1729" s="40" t="inlineStr">
        <is>
          <t>进港</t>
        </is>
      </c>
      <c r="D1729" s="24" t="inlineStr">
        <is>
          <t>件杂货</t>
        </is>
      </c>
      <c r="E1729" s="24" t="inlineStr">
        <is>
          <t>欧洲</t>
        </is>
      </c>
      <c r="F1729" s="24" t="inlineStr">
        <is>
          <t>06号泊位</t>
        </is>
      </c>
      <c r="G1729" s="25" t="n">
        <v>5757</v>
      </c>
      <c r="H1729" s="41" t="n">
        <v>9.130000000000001</v>
      </c>
      <c r="I1729" s="41" t="n">
        <v>1.3</v>
      </c>
      <c r="J1729" s="41" t="n">
        <v>9.44</v>
      </c>
      <c r="K1729" s="25" t="n">
        <v>0</v>
      </c>
      <c r="L1729" s="26">
        <f>IF(H1729&lt;=J1729,1,0)</f>
        <v>1</v>
      </c>
    </row>
    <row r="1730">
      <c r="A1730" s="19" t="inlineStr">
        <is>
          <t>QL-288-1</t>
        </is>
      </c>
      <c r="B1730" s="36" t="n">
        <v>45945</v>
      </c>
      <c r="C1730" s="37" t="inlineStr">
        <is>
          <t>出港</t>
        </is>
      </c>
      <c r="D1730" s="19" t="inlineStr">
        <is>
          <t>集装箱货物</t>
        </is>
      </c>
      <c r="E1730" s="19" t="inlineStr">
        <is>
          <t>北美</t>
        </is>
      </c>
      <c r="F1730" s="19" t="inlineStr">
        <is>
          <t>01号泊位</t>
        </is>
      </c>
      <c r="G1730" s="20" t="n">
        <v>13473</v>
      </c>
      <c r="H1730" s="38" t="n">
        <v>15.8</v>
      </c>
      <c r="I1730" s="38" t="n">
        <v>4.31</v>
      </c>
      <c r="J1730" s="38" t="n">
        <v>14.97</v>
      </c>
      <c r="K1730" s="20" t="n">
        <v>903</v>
      </c>
      <c r="L1730" s="26">
        <f>IF(H1730&lt;=J1730,1,0)</f>
        <v>0</v>
      </c>
    </row>
    <row r="1731">
      <c r="A1731" s="24" t="inlineStr">
        <is>
          <t>QL-288-2</t>
        </is>
      </c>
      <c r="B1731" s="39" t="n">
        <v>45945</v>
      </c>
      <c r="C1731" s="40" t="inlineStr">
        <is>
          <t>进港</t>
        </is>
      </c>
      <c r="D1731" s="24" t="inlineStr">
        <is>
          <t>金属矿石</t>
        </is>
      </c>
      <c r="E1731" s="24" t="inlineStr">
        <is>
          <t>北美</t>
        </is>
      </c>
      <c r="F1731" s="24" t="inlineStr">
        <is>
          <t>02号泊位</t>
        </is>
      </c>
      <c r="G1731" s="25" t="n">
        <v>24715</v>
      </c>
      <c r="H1731" s="41" t="n">
        <v>13.97</v>
      </c>
      <c r="I1731" s="41" t="n">
        <v>2.4</v>
      </c>
      <c r="J1731" s="41" t="n">
        <v>15.95</v>
      </c>
      <c r="K1731" s="25" t="n">
        <v>0</v>
      </c>
      <c r="L1731" s="26">
        <f>IF(H1731&lt;=J1731,1,0)</f>
        <v>1</v>
      </c>
    </row>
    <row r="1732">
      <c r="A1732" s="19" t="inlineStr">
        <is>
          <t>QL-288-3</t>
        </is>
      </c>
      <c r="B1732" s="36" t="n">
        <v>45945</v>
      </c>
      <c r="C1732" s="37" t="inlineStr">
        <is>
          <t>进港</t>
        </is>
      </c>
      <c r="D1732" s="19" t="inlineStr">
        <is>
          <t>煤炭</t>
        </is>
      </c>
      <c r="E1732" s="19" t="inlineStr">
        <is>
          <t>东亚</t>
        </is>
      </c>
      <c r="F1732" s="19" t="inlineStr">
        <is>
          <t>03号泊位</t>
        </is>
      </c>
      <c r="G1732" s="20" t="n">
        <v>10873</v>
      </c>
      <c r="H1732" s="38" t="n">
        <v>6.69</v>
      </c>
      <c r="I1732" s="38" t="n">
        <v>2.54</v>
      </c>
      <c r="J1732" s="38" t="n">
        <v>8.24</v>
      </c>
      <c r="K1732" s="20" t="n">
        <v>0</v>
      </c>
      <c r="L1732" s="26">
        <f>IF(H1732&lt;=J1732,1,0)</f>
        <v>1</v>
      </c>
    </row>
    <row r="1733">
      <c r="A1733" s="24" t="inlineStr">
        <is>
          <t>QL-288-4</t>
        </is>
      </c>
      <c r="B1733" s="39" t="n">
        <v>45945</v>
      </c>
      <c r="C1733" s="40" t="inlineStr">
        <is>
          <t>进港</t>
        </is>
      </c>
      <c r="D1733" s="24" t="inlineStr">
        <is>
          <t>粮食</t>
        </is>
      </c>
      <c r="E1733" s="24" t="inlineStr">
        <is>
          <t>东南亚</t>
        </is>
      </c>
      <c r="F1733" s="24" t="inlineStr">
        <is>
          <t>04号泊位</t>
        </is>
      </c>
      <c r="G1733" s="25" t="n">
        <v>9992</v>
      </c>
      <c r="H1733" s="41" t="n">
        <v>11.25</v>
      </c>
      <c r="I1733" s="41" t="n">
        <v>3.07</v>
      </c>
      <c r="J1733" s="41" t="n">
        <v>9.800000000000001</v>
      </c>
      <c r="K1733" s="25" t="n">
        <v>0</v>
      </c>
      <c r="L1733" s="26">
        <f>IF(H1733&lt;=J1733,1,0)</f>
        <v>0</v>
      </c>
    </row>
    <row r="1734">
      <c r="A1734" s="19" t="inlineStr">
        <is>
          <t>QL-288-5</t>
        </is>
      </c>
      <c r="B1734" s="36" t="n">
        <v>45945</v>
      </c>
      <c r="C1734" s="37" t="inlineStr">
        <is>
          <t>进港</t>
        </is>
      </c>
      <c r="D1734" s="19" t="inlineStr">
        <is>
          <t>液体散货</t>
        </is>
      </c>
      <c r="E1734" s="19" t="inlineStr">
        <is>
          <t>国内沿海</t>
        </is>
      </c>
      <c r="F1734" s="19" t="inlineStr">
        <is>
          <t>05号泊位</t>
        </is>
      </c>
      <c r="G1734" s="20" t="n">
        <v>12470</v>
      </c>
      <c r="H1734" s="38" t="n">
        <v>8.07</v>
      </c>
      <c r="I1734" s="38" t="n">
        <v>1.97</v>
      </c>
      <c r="J1734" s="38" t="n">
        <v>8.66</v>
      </c>
      <c r="K1734" s="20" t="n">
        <v>0</v>
      </c>
      <c r="L1734" s="26">
        <f>IF(H1734&lt;=J1734,1,0)</f>
        <v>1</v>
      </c>
    </row>
    <row r="1735">
      <c r="A1735" s="24" t="inlineStr">
        <is>
          <t>QL-288-6</t>
        </is>
      </c>
      <c r="B1735" s="39" t="n">
        <v>45945</v>
      </c>
      <c r="C1735" s="40" t="inlineStr">
        <is>
          <t>出港</t>
        </is>
      </c>
      <c r="D1735" s="24" t="inlineStr">
        <is>
          <t>件杂货</t>
        </is>
      </c>
      <c r="E1735" s="24" t="inlineStr">
        <is>
          <t>国内沿海</t>
        </is>
      </c>
      <c r="F1735" s="24" t="inlineStr">
        <is>
          <t>06号泊位</t>
        </is>
      </c>
      <c r="G1735" s="25" t="n">
        <v>4043</v>
      </c>
      <c r="H1735" s="41" t="n">
        <v>6.77</v>
      </c>
      <c r="I1735" s="41" t="n">
        <v>0.91</v>
      </c>
      <c r="J1735" s="41" t="n">
        <v>6.63</v>
      </c>
      <c r="K1735" s="25" t="n">
        <v>0</v>
      </c>
      <c r="L1735" s="26">
        <f>IF(H1735&lt;=J1735,1,0)</f>
        <v>0</v>
      </c>
    </row>
    <row r="1736">
      <c r="A1736" s="19" t="inlineStr">
        <is>
          <t>QL-289-1</t>
        </is>
      </c>
      <c r="B1736" s="36" t="n">
        <v>45946</v>
      </c>
      <c r="C1736" s="37" t="inlineStr">
        <is>
          <t>出港</t>
        </is>
      </c>
      <c r="D1736" s="19" t="inlineStr">
        <is>
          <t>集装箱货物</t>
        </is>
      </c>
      <c r="E1736" s="19" t="inlineStr">
        <is>
          <t>东亚</t>
        </is>
      </c>
      <c r="F1736" s="19" t="inlineStr">
        <is>
          <t>01号泊位</t>
        </is>
      </c>
      <c r="G1736" s="20" t="n">
        <v>13690</v>
      </c>
      <c r="H1736" s="38" t="n">
        <v>18.14</v>
      </c>
      <c r="I1736" s="38" t="n">
        <v>3.15</v>
      </c>
      <c r="J1736" s="38" t="n">
        <v>15.21</v>
      </c>
      <c r="K1736" s="20" t="n">
        <v>1010</v>
      </c>
      <c r="L1736" s="26">
        <f>IF(H1736&lt;=J1736,1,0)</f>
        <v>0</v>
      </c>
    </row>
    <row r="1737">
      <c r="A1737" s="24" t="inlineStr">
        <is>
          <t>QL-289-2</t>
        </is>
      </c>
      <c r="B1737" s="39" t="n">
        <v>45946</v>
      </c>
      <c r="C1737" s="40" t="inlineStr">
        <is>
          <t>进港</t>
        </is>
      </c>
      <c r="D1737" s="24" t="inlineStr">
        <is>
          <t>金属矿石</t>
        </is>
      </c>
      <c r="E1737" s="24" t="inlineStr">
        <is>
          <t>东南亚</t>
        </is>
      </c>
      <c r="F1737" s="24" t="inlineStr">
        <is>
          <t>02号泊位</t>
        </is>
      </c>
      <c r="G1737" s="25" t="n">
        <v>31239</v>
      </c>
      <c r="H1737" s="41" t="n">
        <v>20.71</v>
      </c>
      <c r="I1737" s="41" t="n">
        <v>0.59</v>
      </c>
      <c r="J1737" s="41" t="n">
        <v>20.15</v>
      </c>
      <c r="K1737" s="25" t="n">
        <v>0</v>
      </c>
      <c r="L1737" s="26">
        <f>IF(H1737&lt;=J1737,1,0)</f>
        <v>0</v>
      </c>
    </row>
    <row r="1738">
      <c r="A1738" s="19" t="inlineStr">
        <is>
          <t>QL-289-3</t>
        </is>
      </c>
      <c r="B1738" s="36" t="n">
        <v>45946</v>
      </c>
      <c r="C1738" s="37" t="inlineStr">
        <is>
          <t>进港</t>
        </is>
      </c>
      <c r="D1738" s="19" t="inlineStr">
        <is>
          <t>煤炭</t>
        </is>
      </c>
      <c r="E1738" s="19" t="inlineStr">
        <is>
          <t>国内沿海</t>
        </is>
      </c>
      <c r="F1738" s="19" t="inlineStr">
        <is>
          <t>03号泊位</t>
        </is>
      </c>
      <c r="G1738" s="20" t="n">
        <v>25133</v>
      </c>
      <c r="H1738" s="38" t="n">
        <v>16.6</v>
      </c>
      <c r="I1738" s="38" t="n">
        <v>8.18</v>
      </c>
      <c r="J1738" s="38" t="n">
        <v>19.04</v>
      </c>
      <c r="K1738" s="20" t="n">
        <v>0</v>
      </c>
      <c r="L1738" s="26">
        <f>IF(H1738&lt;=J1738,1,0)</f>
        <v>1</v>
      </c>
    </row>
    <row r="1739">
      <c r="A1739" s="24" t="inlineStr">
        <is>
          <t>QL-289-4</t>
        </is>
      </c>
      <c r="B1739" s="39" t="n">
        <v>45946</v>
      </c>
      <c r="C1739" s="40" t="inlineStr">
        <is>
          <t>出港</t>
        </is>
      </c>
      <c r="D1739" s="24" t="inlineStr">
        <is>
          <t>粮食</t>
        </is>
      </c>
      <c r="E1739" s="24" t="inlineStr">
        <is>
          <t>国内沿海</t>
        </is>
      </c>
      <c r="F1739" s="24" t="inlineStr">
        <is>
          <t>04号泊位</t>
        </is>
      </c>
      <c r="G1739" s="25" t="n">
        <v>12324</v>
      </c>
      <c r="H1739" s="41" t="n">
        <v>13.35</v>
      </c>
      <c r="I1739" s="41" t="n">
        <v>0.95</v>
      </c>
      <c r="J1739" s="41" t="n">
        <v>12.08</v>
      </c>
      <c r="K1739" s="25" t="n">
        <v>0</v>
      </c>
      <c r="L1739" s="26">
        <f>IF(H1739&lt;=J1739,1,0)</f>
        <v>0</v>
      </c>
    </row>
    <row r="1740">
      <c r="A1740" s="19" t="inlineStr">
        <is>
          <t>QL-289-5</t>
        </is>
      </c>
      <c r="B1740" s="36" t="n">
        <v>45946</v>
      </c>
      <c r="C1740" s="37" t="inlineStr">
        <is>
          <t>出港</t>
        </is>
      </c>
      <c r="D1740" s="19" t="inlineStr">
        <is>
          <t>液体散货</t>
        </is>
      </c>
      <c r="E1740" s="19" t="inlineStr">
        <is>
          <t>欧洲</t>
        </is>
      </c>
      <c r="F1740" s="19" t="inlineStr">
        <is>
          <t>05号泊位</t>
        </is>
      </c>
      <c r="G1740" s="20" t="n">
        <v>10385</v>
      </c>
      <c r="H1740" s="38" t="n">
        <v>5.89</v>
      </c>
      <c r="I1740" s="38" t="n">
        <v>0.77</v>
      </c>
      <c r="J1740" s="38" t="n">
        <v>7.21</v>
      </c>
      <c r="K1740" s="20" t="n">
        <v>0</v>
      </c>
      <c r="L1740" s="26">
        <f>IF(H1740&lt;=J1740,1,0)</f>
        <v>1</v>
      </c>
    </row>
    <row r="1741">
      <c r="A1741" s="24" t="inlineStr">
        <is>
          <t>QL-289-6</t>
        </is>
      </c>
      <c r="B1741" s="39" t="n">
        <v>45946</v>
      </c>
      <c r="C1741" s="40" t="inlineStr">
        <is>
          <t>出港</t>
        </is>
      </c>
      <c r="D1741" s="24" t="inlineStr">
        <is>
          <t>件杂货</t>
        </is>
      </c>
      <c r="E1741" s="24" t="inlineStr">
        <is>
          <t>东亚</t>
        </is>
      </c>
      <c r="F1741" s="24" t="inlineStr">
        <is>
          <t>06号泊位</t>
        </is>
      </c>
      <c r="G1741" s="25" t="n">
        <v>6468</v>
      </c>
      <c r="H1741" s="41" t="n">
        <v>12.65</v>
      </c>
      <c r="I1741" s="41" t="n">
        <v>4.72</v>
      </c>
      <c r="J1741" s="41" t="n">
        <v>10.6</v>
      </c>
      <c r="K1741" s="25" t="n">
        <v>0</v>
      </c>
      <c r="L1741" s="26">
        <f>IF(H1741&lt;=J1741,1,0)</f>
        <v>0</v>
      </c>
    </row>
    <row r="1742">
      <c r="A1742" s="19" t="inlineStr">
        <is>
          <t>QL-290-1</t>
        </is>
      </c>
      <c r="B1742" s="36" t="n">
        <v>45947</v>
      </c>
      <c r="C1742" s="37" t="inlineStr">
        <is>
          <t>出港</t>
        </is>
      </c>
      <c r="D1742" s="19" t="inlineStr">
        <is>
          <t>集装箱货物</t>
        </is>
      </c>
      <c r="E1742" s="19" t="inlineStr">
        <is>
          <t>东亚</t>
        </is>
      </c>
      <c r="F1742" s="19" t="inlineStr">
        <is>
          <t>01号泊位</t>
        </is>
      </c>
      <c r="G1742" s="20" t="n">
        <v>9807</v>
      </c>
      <c r="H1742" s="38" t="n">
        <v>10.49</v>
      </c>
      <c r="I1742" s="38" t="n">
        <v>3.29</v>
      </c>
      <c r="J1742" s="38" t="n">
        <v>10.9</v>
      </c>
      <c r="K1742" s="20" t="n">
        <v>673</v>
      </c>
      <c r="L1742" s="26">
        <f>IF(H1742&lt;=J1742,1,0)</f>
        <v>1</v>
      </c>
    </row>
    <row r="1743">
      <c r="A1743" s="24" t="inlineStr">
        <is>
          <t>QL-290-2</t>
        </is>
      </c>
      <c r="B1743" s="39" t="n">
        <v>45947</v>
      </c>
      <c r="C1743" s="40" t="inlineStr">
        <is>
          <t>进港</t>
        </is>
      </c>
      <c r="D1743" s="24" t="inlineStr">
        <is>
          <t>金属矿石</t>
        </is>
      </c>
      <c r="E1743" s="24" t="inlineStr">
        <is>
          <t>国内沿海</t>
        </is>
      </c>
      <c r="F1743" s="24" t="inlineStr">
        <is>
          <t>02号泊位</t>
        </is>
      </c>
      <c r="G1743" s="25" t="n">
        <v>34939</v>
      </c>
      <c r="H1743" s="41" t="n">
        <v>21.84</v>
      </c>
      <c r="I1743" s="41" t="n">
        <v>4.06</v>
      </c>
      <c r="J1743" s="41" t="n">
        <v>22.54</v>
      </c>
      <c r="K1743" s="25" t="n">
        <v>0</v>
      </c>
      <c r="L1743" s="26">
        <f>IF(H1743&lt;=J1743,1,0)</f>
        <v>1</v>
      </c>
    </row>
    <row r="1744">
      <c r="A1744" s="19" t="inlineStr">
        <is>
          <t>QL-290-3</t>
        </is>
      </c>
      <c r="B1744" s="36" t="n">
        <v>45947</v>
      </c>
      <c r="C1744" s="37" t="inlineStr">
        <is>
          <t>进港</t>
        </is>
      </c>
      <c r="D1744" s="19" t="inlineStr">
        <is>
          <t>煤炭</t>
        </is>
      </c>
      <c r="E1744" s="19" t="inlineStr">
        <is>
          <t>东亚</t>
        </is>
      </c>
      <c r="F1744" s="19" t="inlineStr">
        <is>
          <t>03号泊位</t>
        </is>
      </c>
      <c r="G1744" s="20" t="n">
        <v>11464</v>
      </c>
      <c r="H1744" s="38" t="n">
        <v>7.67</v>
      </c>
      <c r="I1744" s="38" t="n">
        <v>2.84</v>
      </c>
      <c r="J1744" s="38" t="n">
        <v>8.68</v>
      </c>
      <c r="K1744" s="20" t="n">
        <v>0</v>
      </c>
      <c r="L1744" s="26">
        <f>IF(H1744&lt;=J1744,1,0)</f>
        <v>1</v>
      </c>
    </row>
    <row r="1745">
      <c r="A1745" s="24" t="inlineStr">
        <is>
          <t>QL-290-4</t>
        </is>
      </c>
      <c r="B1745" s="39" t="n">
        <v>45947</v>
      </c>
      <c r="C1745" s="40" t="inlineStr">
        <is>
          <t>进港</t>
        </is>
      </c>
      <c r="D1745" s="24" t="inlineStr">
        <is>
          <t>粮食</t>
        </is>
      </c>
      <c r="E1745" s="24" t="inlineStr">
        <is>
          <t>欧洲</t>
        </is>
      </c>
      <c r="F1745" s="24" t="inlineStr">
        <is>
          <t>04号泊位</t>
        </is>
      </c>
      <c r="G1745" s="25" t="n">
        <v>7399</v>
      </c>
      <c r="H1745" s="41" t="n">
        <v>6.42</v>
      </c>
      <c r="I1745" s="41" t="n">
        <v>1.32</v>
      </c>
      <c r="J1745" s="41" t="n">
        <v>7.25</v>
      </c>
      <c r="K1745" s="25" t="n">
        <v>0</v>
      </c>
      <c r="L1745" s="26">
        <f>IF(H1745&lt;=J1745,1,0)</f>
        <v>1</v>
      </c>
    </row>
    <row r="1746">
      <c r="A1746" s="19" t="inlineStr">
        <is>
          <t>QL-290-5</t>
        </is>
      </c>
      <c r="B1746" s="36" t="n">
        <v>45947</v>
      </c>
      <c r="C1746" s="37" t="inlineStr">
        <is>
          <t>进港</t>
        </is>
      </c>
      <c r="D1746" s="19" t="inlineStr">
        <is>
          <t>液体散货</t>
        </is>
      </c>
      <c r="E1746" s="19" t="inlineStr">
        <is>
          <t>北美</t>
        </is>
      </c>
      <c r="F1746" s="19" t="inlineStr">
        <is>
          <t>05号泊位</t>
        </is>
      </c>
      <c r="G1746" s="20" t="n">
        <v>12687</v>
      </c>
      <c r="H1746" s="38" t="n">
        <v>7.32</v>
      </c>
      <c r="I1746" s="38" t="n">
        <v>4.56</v>
      </c>
      <c r="J1746" s="38" t="n">
        <v>8.81</v>
      </c>
      <c r="K1746" s="20" t="n">
        <v>0</v>
      </c>
      <c r="L1746" s="26">
        <f>IF(H1746&lt;=J1746,1,0)</f>
        <v>1</v>
      </c>
    </row>
    <row r="1747">
      <c r="A1747" s="24" t="inlineStr">
        <is>
          <t>QL-290-6</t>
        </is>
      </c>
      <c r="B1747" s="39" t="n">
        <v>45947</v>
      </c>
      <c r="C1747" s="40" t="inlineStr">
        <is>
          <t>出港</t>
        </is>
      </c>
      <c r="D1747" s="24" t="inlineStr">
        <is>
          <t>件杂货</t>
        </is>
      </c>
      <c r="E1747" s="24" t="inlineStr">
        <is>
          <t>北美</t>
        </is>
      </c>
      <c r="F1747" s="24" t="inlineStr">
        <is>
          <t>06号泊位</t>
        </is>
      </c>
      <c r="G1747" s="25" t="n">
        <v>7669</v>
      </c>
      <c r="H1747" s="41" t="n">
        <v>14.09</v>
      </c>
      <c r="I1747" s="41" t="n">
        <v>1.9</v>
      </c>
      <c r="J1747" s="41" t="n">
        <v>12.57</v>
      </c>
      <c r="K1747" s="25" t="n">
        <v>0</v>
      </c>
      <c r="L1747" s="26">
        <f>IF(H1747&lt;=J1747,1,0)</f>
        <v>0</v>
      </c>
    </row>
    <row r="1748">
      <c r="A1748" s="19" t="inlineStr">
        <is>
          <t>QL-291-1</t>
        </is>
      </c>
      <c r="B1748" s="36" t="n">
        <v>45948</v>
      </c>
      <c r="C1748" s="37" t="inlineStr">
        <is>
          <t>进港</t>
        </is>
      </c>
      <c r="D1748" s="19" t="inlineStr">
        <is>
          <t>集装箱货物</t>
        </is>
      </c>
      <c r="E1748" s="19" t="inlineStr">
        <is>
          <t>东亚</t>
        </is>
      </c>
      <c r="F1748" s="19" t="inlineStr">
        <is>
          <t>01号泊位</t>
        </is>
      </c>
      <c r="G1748" s="20" t="n">
        <v>21840</v>
      </c>
      <c r="H1748" s="38" t="n">
        <v>23.18</v>
      </c>
      <c r="I1748" s="38" t="n">
        <v>2.17</v>
      </c>
      <c r="J1748" s="38" t="n">
        <v>24.27</v>
      </c>
      <c r="K1748" s="20" t="n">
        <v>1740</v>
      </c>
      <c r="L1748" s="26">
        <f>IF(H1748&lt;=J1748,1,0)</f>
        <v>1</v>
      </c>
    </row>
    <row r="1749">
      <c r="A1749" s="24" t="inlineStr">
        <is>
          <t>QL-291-2</t>
        </is>
      </c>
      <c r="B1749" s="39" t="n">
        <v>45948</v>
      </c>
      <c r="C1749" s="40" t="inlineStr">
        <is>
          <t>进港</t>
        </is>
      </c>
      <c r="D1749" s="24" t="inlineStr">
        <is>
          <t>金属矿石</t>
        </is>
      </c>
      <c r="E1749" s="24" t="inlineStr">
        <is>
          <t>国内沿海</t>
        </is>
      </c>
      <c r="F1749" s="24" t="inlineStr">
        <is>
          <t>02号泊位</t>
        </is>
      </c>
      <c r="G1749" s="25" t="n">
        <v>28591</v>
      </c>
      <c r="H1749" s="41" t="n">
        <v>21.27</v>
      </c>
      <c r="I1749" s="41" t="n">
        <v>6.32</v>
      </c>
      <c r="J1749" s="41" t="n">
        <v>18.45</v>
      </c>
      <c r="K1749" s="25" t="n">
        <v>0</v>
      </c>
      <c r="L1749" s="26">
        <f>IF(H1749&lt;=J1749,1,0)</f>
        <v>0</v>
      </c>
    </row>
    <row r="1750">
      <c r="A1750" s="19" t="inlineStr">
        <is>
          <t>QL-291-3</t>
        </is>
      </c>
      <c r="B1750" s="36" t="n">
        <v>45948</v>
      </c>
      <c r="C1750" s="37" t="inlineStr">
        <is>
          <t>进港</t>
        </is>
      </c>
      <c r="D1750" s="19" t="inlineStr">
        <is>
          <t>煤炭</t>
        </is>
      </c>
      <c r="E1750" s="19" t="inlineStr">
        <is>
          <t>国内沿海</t>
        </is>
      </c>
      <c r="F1750" s="19" t="inlineStr">
        <is>
          <t>03号泊位</t>
        </is>
      </c>
      <c r="G1750" s="20" t="n">
        <v>12112</v>
      </c>
      <c r="H1750" s="38" t="n">
        <v>9.77</v>
      </c>
      <c r="I1750" s="38" t="n">
        <v>1.93</v>
      </c>
      <c r="J1750" s="38" t="n">
        <v>9.18</v>
      </c>
      <c r="K1750" s="20" t="n">
        <v>0</v>
      </c>
      <c r="L1750" s="26">
        <f>IF(H1750&lt;=J1750,1,0)</f>
        <v>0</v>
      </c>
    </row>
    <row r="1751">
      <c r="A1751" s="24" t="inlineStr">
        <is>
          <t>QL-291-4</t>
        </is>
      </c>
      <c r="B1751" s="39" t="n">
        <v>45948</v>
      </c>
      <c r="C1751" s="40" t="inlineStr">
        <is>
          <t>进港</t>
        </is>
      </c>
      <c r="D1751" s="24" t="inlineStr">
        <is>
          <t>粮食</t>
        </is>
      </c>
      <c r="E1751" s="24" t="inlineStr">
        <is>
          <t>国内沿海</t>
        </is>
      </c>
      <c r="F1751" s="24" t="inlineStr">
        <is>
          <t>04号泊位</t>
        </is>
      </c>
      <c r="G1751" s="25" t="n">
        <v>16123</v>
      </c>
      <c r="H1751" s="41" t="n">
        <v>15.43</v>
      </c>
      <c r="I1751" s="41" t="n">
        <v>1.81</v>
      </c>
      <c r="J1751" s="41" t="n">
        <v>15.81</v>
      </c>
      <c r="K1751" s="25" t="n">
        <v>0</v>
      </c>
      <c r="L1751" s="26">
        <f>IF(H1751&lt;=J1751,1,0)</f>
        <v>1</v>
      </c>
    </row>
    <row r="1752">
      <c r="A1752" s="19" t="inlineStr">
        <is>
          <t>QL-291-5</t>
        </is>
      </c>
      <c r="B1752" s="36" t="n">
        <v>45948</v>
      </c>
      <c r="C1752" s="37" t="inlineStr">
        <is>
          <t>出港</t>
        </is>
      </c>
      <c r="D1752" s="19" t="inlineStr">
        <is>
          <t>液体散货</t>
        </is>
      </c>
      <c r="E1752" s="19" t="inlineStr">
        <is>
          <t>东亚</t>
        </is>
      </c>
      <c r="F1752" s="19" t="inlineStr">
        <is>
          <t>05号泊位</t>
        </is>
      </c>
      <c r="G1752" s="20" t="n">
        <v>13471</v>
      </c>
      <c r="H1752" s="38" t="n">
        <v>8.33</v>
      </c>
      <c r="I1752" s="38" t="n">
        <v>8.300000000000001</v>
      </c>
      <c r="J1752" s="38" t="n">
        <v>9.35</v>
      </c>
      <c r="K1752" s="20" t="n">
        <v>0</v>
      </c>
      <c r="L1752" s="26">
        <f>IF(H1752&lt;=J1752,1,0)</f>
        <v>1</v>
      </c>
    </row>
    <row r="1753">
      <c r="A1753" s="24" t="inlineStr">
        <is>
          <t>QL-291-6</t>
        </is>
      </c>
      <c r="B1753" s="39" t="n">
        <v>45948</v>
      </c>
      <c r="C1753" s="40" t="inlineStr">
        <is>
          <t>出港</t>
        </is>
      </c>
      <c r="D1753" s="24" t="inlineStr">
        <is>
          <t>件杂货</t>
        </is>
      </c>
      <c r="E1753" s="24" t="inlineStr">
        <is>
          <t>国内沿海</t>
        </is>
      </c>
      <c r="F1753" s="24" t="inlineStr">
        <is>
          <t>06号泊位</t>
        </is>
      </c>
      <c r="G1753" s="25" t="n">
        <v>5595</v>
      </c>
      <c r="H1753" s="41" t="n">
        <v>8.25</v>
      </c>
      <c r="I1753" s="41" t="n">
        <v>0.72</v>
      </c>
      <c r="J1753" s="41" t="n">
        <v>9.17</v>
      </c>
      <c r="K1753" s="25" t="n">
        <v>0</v>
      </c>
      <c r="L1753" s="26">
        <f>IF(H1753&lt;=J1753,1,0)</f>
        <v>1</v>
      </c>
    </row>
    <row r="1754">
      <c r="A1754" s="19" t="inlineStr">
        <is>
          <t>QL-292-1</t>
        </is>
      </c>
      <c r="B1754" s="36" t="n">
        <v>45949</v>
      </c>
      <c r="C1754" s="37" t="inlineStr">
        <is>
          <t>进港</t>
        </is>
      </c>
      <c r="D1754" s="19" t="inlineStr">
        <is>
          <t>集装箱货物</t>
        </is>
      </c>
      <c r="E1754" s="19" t="inlineStr">
        <is>
          <t>东亚</t>
        </is>
      </c>
      <c r="F1754" s="19" t="inlineStr">
        <is>
          <t>01号泊位</t>
        </is>
      </c>
      <c r="G1754" s="20" t="n">
        <v>11116</v>
      </c>
      <c r="H1754" s="38" t="n">
        <v>13.92</v>
      </c>
      <c r="I1754" s="38" t="n">
        <v>2.28</v>
      </c>
      <c r="J1754" s="38" t="n">
        <v>12.35</v>
      </c>
      <c r="K1754" s="20" t="n">
        <v>729</v>
      </c>
      <c r="L1754" s="26">
        <f>IF(H1754&lt;=J1754,1,0)</f>
        <v>0</v>
      </c>
    </row>
    <row r="1755">
      <c r="A1755" s="24" t="inlineStr">
        <is>
          <t>QL-292-2</t>
        </is>
      </c>
      <c r="B1755" s="39" t="n">
        <v>45949</v>
      </c>
      <c r="C1755" s="40" t="inlineStr">
        <is>
          <t>进港</t>
        </is>
      </c>
      <c r="D1755" s="24" t="inlineStr">
        <is>
          <t>金属矿石</t>
        </is>
      </c>
      <c r="E1755" s="24" t="inlineStr">
        <is>
          <t>欧洲</t>
        </is>
      </c>
      <c r="F1755" s="24" t="inlineStr">
        <is>
          <t>02号泊位</t>
        </is>
      </c>
      <c r="G1755" s="25" t="n">
        <v>18088</v>
      </c>
      <c r="H1755" s="41" t="n">
        <v>13.11</v>
      </c>
      <c r="I1755" s="41" t="n">
        <v>6.63</v>
      </c>
      <c r="J1755" s="41" t="n">
        <v>11.67</v>
      </c>
      <c r="K1755" s="25" t="n">
        <v>0</v>
      </c>
      <c r="L1755" s="26">
        <f>IF(H1755&lt;=J1755,1,0)</f>
        <v>0</v>
      </c>
    </row>
    <row r="1756">
      <c r="A1756" s="19" t="inlineStr">
        <is>
          <t>QL-292-3</t>
        </is>
      </c>
      <c r="B1756" s="36" t="n">
        <v>45949</v>
      </c>
      <c r="C1756" s="37" t="inlineStr">
        <is>
          <t>进港</t>
        </is>
      </c>
      <c r="D1756" s="19" t="inlineStr">
        <is>
          <t>煤炭</t>
        </is>
      </c>
      <c r="E1756" s="19" t="inlineStr">
        <is>
          <t>欧洲</t>
        </is>
      </c>
      <c r="F1756" s="19" t="inlineStr">
        <is>
          <t>03号泊位</t>
        </is>
      </c>
      <c r="G1756" s="20" t="n">
        <v>16041</v>
      </c>
      <c r="H1756" s="38" t="n">
        <v>10.74</v>
      </c>
      <c r="I1756" s="38" t="n">
        <v>0.48</v>
      </c>
      <c r="J1756" s="38" t="n">
        <v>12.15</v>
      </c>
      <c r="K1756" s="20" t="n">
        <v>0</v>
      </c>
      <c r="L1756" s="26">
        <f>IF(H1756&lt;=J1756,1,0)</f>
        <v>1</v>
      </c>
    </row>
    <row r="1757">
      <c r="A1757" s="24" t="inlineStr">
        <is>
          <t>QL-292-4</t>
        </is>
      </c>
      <c r="B1757" s="39" t="n">
        <v>45949</v>
      </c>
      <c r="C1757" s="40" t="inlineStr">
        <is>
          <t>出港</t>
        </is>
      </c>
      <c r="D1757" s="24" t="inlineStr">
        <is>
          <t>粮食</t>
        </is>
      </c>
      <c r="E1757" s="24" t="inlineStr">
        <is>
          <t>东南亚</t>
        </is>
      </c>
      <c r="F1757" s="24" t="inlineStr">
        <is>
          <t>04号泊位</t>
        </is>
      </c>
      <c r="G1757" s="25" t="n">
        <v>14043</v>
      </c>
      <c r="H1757" s="41" t="n">
        <v>14.89</v>
      </c>
      <c r="I1757" s="41" t="n">
        <v>4.15</v>
      </c>
      <c r="J1757" s="41" t="n">
        <v>13.77</v>
      </c>
      <c r="K1757" s="25" t="n">
        <v>0</v>
      </c>
      <c r="L1757" s="26">
        <f>IF(H1757&lt;=J1757,1,0)</f>
        <v>0</v>
      </c>
    </row>
    <row r="1758">
      <c r="A1758" s="19" t="inlineStr">
        <is>
          <t>QL-292-5</t>
        </is>
      </c>
      <c r="B1758" s="36" t="n">
        <v>45949</v>
      </c>
      <c r="C1758" s="37" t="inlineStr">
        <is>
          <t>出港</t>
        </is>
      </c>
      <c r="D1758" s="19" t="inlineStr">
        <is>
          <t>液体散货</t>
        </is>
      </c>
      <c r="E1758" s="19" t="inlineStr">
        <is>
          <t>东亚</t>
        </is>
      </c>
      <c r="F1758" s="19" t="inlineStr">
        <is>
          <t>05号泊位</t>
        </is>
      </c>
      <c r="G1758" s="20" t="n">
        <v>14298</v>
      </c>
      <c r="H1758" s="38" t="n">
        <v>10</v>
      </c>
      <c r="I1758" s="38" t="n">
        <v>2.14</v>
      </c>
      <c r="J1758" s="38" t="n">
        <v>9.93</v>
      </c>
      <c r="K1758" s="20" t="n">
        <v>0</v>
      </c>
      <c r="L1758" s="26">
        <f>IF(H1758&lt;=J1758,1,0)</f>
        <v>0</v>
      </c>
    </row>
    <row r="1759">
      <c r="A1759" s="24" t="inlineStr">
        <is>
          <t>QL-292-6</t>
        </is>
      </c>
      <c r="B1759" s="39" t="n">
        <v>45949</v>
      </c>
      <c r="C1759" s="40" t="inlineStr">
        <is>
          <t>进港</t>
        </is>
      </c>
      <c r="D1759" s="24" t="inlineStr">
        <is>
          <t>件杂货</t>
        </is>
      </c>
      <c r="E1759" s="24" t="inlineStr">
        <is>
          <t>东南亚</t>
        </is>
      </c>
      <c r="F1759" s="24" t="inlineStr">
        <is>
          <t>06号泊位</t>
        </is>
      </c>
      <c r="G1759" s="25" t="n">
        <v>3428</v>
      </c>
      <c r="H1759" s="41" t="n">
        <v>5.73</v>
      </c>
      <c r="I1759" s="41" t="n">
        <v>3.81</v>
      </c>
      <c r="J1759" s="41" t="n">
        <v>5.62</v>
      </c>
      <c r="K1759" s="25" t="n">
        <v>0</v>
      </c>
      <c r="L1759" s="26">
        <f>IF(H1759&lt;=J1759,1,0)</f>
        <v>0</v>
      </c>
    </row>
    <row r="1760">
      <c r="A1760" s="19" t="inlineStr">
        <is>
          <t>QL-293-1</t>
        </is>
      </c>
      <c r="B1760" s="36" t="n">
        <v>45950</v>
      </c>
      <c r="C1760" s="37" t="inlineStr">
        <is>
          <t>出港</t>
        </is>
      </c>
      <c r="D1760" s="19" t="inlineStr">
        <is>
          <t>集装箱货物</t>
        </is>
      </c>
      <c r="E1760" s="19" t="inlineStr">
        <is>
          <t>东亚</t>
        </is>
      </c>
      <c r="F1760" s="19" t="inlineStr">
        <is>
          <t>01号泊位</t>
        </is>
      </c>
      <c r="G1760" s="20" t="n">
        <v>8555</v>
      </c>
      <c r="H1760" s="38" t="n">
        <v>9.300000000000001</v>
      </c>
      <c r="I1760" s="38" t="n">
        <v>1.75</v>
      </c>
      <c r="J1760" s="38" t="n">
        <v>9.51</v>
      </c>
      <c r="K1760" s="20" t="n">
        <v>560</v>
      </c>
      <c r="L1760" s="26">
        <f>IF(H1760&lt;=J1760,1,0)</f>
        <v>1</v>
      </c>
    </row>
    <row r="1761">
      <c r="A1761" s="24" t="inlineStr">
        <is>
          <t>QL-293-2</t>
        </is>
      </c>
      <c r="B1761" s="39" t="n">
        <v>45950</v>
      </c>
      <c r="C1761" s="40" t="inlineStr">
        <is>
          <t>进港</t>
        </is>
      </c>
      <c r="D1761" s="24" t="inlineStr">
        <is>
          <t>金属矿石</t>
        </is>
      </c>
      <c r="E1761" s="24" t="inlineStr">
        <is>
          <t>北美</t>
        </is>
      </c>
      <c r="F1761" s="24" t="inlineStr">
        <is>
          <t>02号泊位</t>
        </is>
      </c>
      <c r="G1761" s="25" t="n">
        <v>22797</v>
      </c>
      <c r="H1761" s="41" t="n">
        <v>12.71</v>
      </c>
      <c r="I1761" s="41" t="n">
        <v>0.3</v>
      </c>
      <c r="J1761" s="41" t="n">
        <v>14.71</v>
      </c>
      <c r="K1761" s="25" t="n">
        <v>0</v>
      </c>
      <c r="L1761" s="26">
        <f>IF(H1761&lt;=J1761,1,0)</f>
        <v>1</v>
      </c>
    </row>
    <row r="1762">
      <c r="A1762" s="19" t="inlineStr">
        <is>
          <t>QL-293-3</t>
        </is>
      </c>
      <c r="B1762" s="36" t="n">
        <v>45950</v>
      </c>
      <c r="C1762" s="37" t="inlineStr">
        <is>
          <t>进港</t>
        </is>
      </c>
      <c r="D1762" s="19" t="inlineStr">
        <is>
          <t>煤炭</t>
        </is>
      </c>
      <c r="E1762" s="19" t="inlineStr">
        <is>
          <t>东亚</t>
        </is>
      </c>
      <c r="F1762" s="19" t="inlineStr">
        <is>
          <t>03号泊位</t>
        </is>
      </c>
      <c r="G1762" s="20" t="n">
        <v>21969</v>
      </c>
      <c r="H1762" s="38" t="n">
        <v>14.84</v>
      </c>
      <c r="I1762" s="38" t="n">
        <v>3.6</v>
      </c>
      <c r="J1762" s="38" t="n">
        <v>16.64</v>
      </c>
      <c r="K1762" s="20" t="n">
        <v>0</v>
      </c>
      <c r="L1762" s="26">
        <f>IF(H1762&lt;=J1762,1,0)</f>
        <v>1</v>
      </c>
    </row>
    <row r="1763">
      <c r="A1763" s="24" t="inlineStr">
        <is>
          <t>QL-293-4</t>
        </is>
      </c>
      <c r="B1763" s="39" t="n">
        <v>45950</v>
      </c>
      <c r="C1763" s="40" t="inlineStr">
        <is>
          <t>进港</t>
        </is>
      </c>
      <c r="D1763" s="24" t="inlineStr">
        <is>
          <t>粮食</t>
        </is>
      </c>
      <c r="E1763" s="24" t="inlineStr">
        <is>
          <t>东南亚</t>
        </is>
      </c>
      <c r="F1763" s="24" t="inlineStr">
        <is>
          <t>04号泊位</t>
        </is>
      </c>
      <c r="G1763" s="25" t="n">
        <v>11926</v>
      </c>
      <c r="H1763" s="41" t="n">
        <v>10.23</v>
      </c>
      <c r="I1763" s="41" t="n">
        <v>2.59</v>
      </c>
      <c r="J1763" s="41" t="n">
        <v>11.69</v>
      </c>
      <c r="K1763" s="25" t="n">
        <v>0</v>
      </c>
      <c r="L1763" s="26">
        <f>IF(H1763&lt;=J1763,1,0)</f>
        <v>1</v>
      </c>
    </row>
    <row r="1764">
      <c r="A1764" s="19" t="inlineStr">
        <is>
          <t>QL-293-5</t>
        </is>
      </c>
      <c r="B1764" s="36" t="n">
        <v>45950</v>
      </c>
      <c r="C1764" s="37" t="inlineStr">
        <is>
          <t>出港</t>
        </is>
      </c>
      <c r="D1764" s="19" t="inlineStr">
        <is>
          <t>液体散货</t>
        </is>
      </c>
      <c r="E1764" s="19" t="inlineStr">
        <is>
          <t>国内沿海</t>
        </is>
      </c>
      <c r="F1764" s="19" t="inlineStr">
        <is>
          <t>05号泊位</t>
        </is>
      </c>
      <c r="G1764" s="20" t="n">
        <v>15793</v>
      </c>
      <c r="H1764" s="38" t="n">
        <v>9.75</v>
      </c>
      <c r="I1764" s="38" t="n">
        <v>3.33</v>
      </c>
      <c r="J1764" s="38" t="n">
        <v>10.97</v>
      </c>
      <c r="K1764" s="20" t="n">
        <v>0</v>
      </c>
      <c r="L1764" s="26">
        <f>IF(H1764&lt;=J1764,1,0)</f>
        <v>1</v>
      </c>
    </row>
    <row r="1765">
      <c r="A1765" s="24" t="inlineStr">
        <is>
          <t>QL-293-6</t>
        </is>
      </c>
      <c r="B1765" s="39" t="n">
        <v>45950</v>
      </c>
      <c r="C1765" s="40" t="inlineStr">
        <is>
          <t>出港</t>
        </is>
      </c>
      <c r="D1765" s="24" t="inlineStr">
        <is>
          <t>件杂货</t>
        </is>
      </c>
      <c r="E1765" s="24" t="inlineStr">
        <is>
          <t>东亚</t>
        </is>
      </c>
      <c r="F1765" s="24" t="inlineStr">
        <is>
          <t>06号泊位</t>
        </is>
      </c>
      <c r="G1765" s="25" t="n">
        <v>3717</v>
      </c>
      <c r="H1765" s="41" t="n">
        <v>6.18</v>
      </c>
      <c r="I1765" s="41" t="n">
        <v>6.73</v>
      </c>
      <c r="J1765" s="41" t="n">
        <v>6.09</v>
      </c>
      <c r="K1765" s="25" t="n">
        <v>0</v>
      </c>
      <c r="L1765" s="26">
        <f>IF(H1765&lt;=J1765,1,0)</f>
        <v>0</v>
      </c>
    </row>
    <row r="1766">
      <c r="A1766" s="19" t="inlineStr">
        <is>
          <t>QL-294-1</t>
        </is>
      </c>
      <c r="B1766" s="36" t="n">
        <v>45951</v>
      </c>
      <c r="C1766" s="37" t="inlineStr">
        <is>
          <t>进港</t>
        </is>
      </c>
      <c r="D1766" s="19" t="inlineStr">
        <is>
          <t>集装箱货物</t>
        </is>
      </c>
      <c r="E1766" s="19" t="inlineStr">
        <is>
          <t>东亚</t>
        </is>
      </c>
      <c r="F1766" s="19" t="inlineStr">
        <is>
          <t>01号泊位</t>
        </is>
      </c>
      <c r="G1766" s="20" t="n">
        <v>11620</v>
      </c>
      <c r="H1766" s="38" t="n">
        <v>11.03</v>
      </c>
      <c r="I1766" s="38" t="n">
        <v>0.63</v>
      </c>
      <c r="J1766" s="38" t="n">
        <v>12.91</v>
      </c>
      <c r="K1766" s="20" t="n">
        <v>715</v>
      </c>
      <c r="L1766" s="26">
        <f>IF(H1766&lt;=J1766,1,0)</f>
        <v>1</v>
      </c>
    </row>
    <row r="1767">
      <c r="A1767" s="24" t="inlineStr">
        <is>
          <t>QL-294-2</t>
        </is>
      </c>
      <c r="B1767" s="39" t="n">
        <v>45951</v>
      </c>
      <c r="C1767" s="40" t="inlineStr">
        <is>
          <t>进港</t>
        </is>
      </c>
      <c r="D1767" s="24" t="inlineStr">
        <is>
          <t>金属矿石</t>
        </is>
      </c>
      <c r="E1767" s="24" t="inlineStr">
        <is>
          <t>东南亚</t>
        </is>
      </c>
      <c r="F1767" s="24" t="inlineStr">
        <is>
          <t>02号泊位</t>
        </is>
      </c>
      <c r="G1767" s="25" t="n">
        <v>25661</v>
      </c>
      <c r="H1767" s="41" t="n">
        <v>15.85</v>
      </c>
      <c r="I1767" s="41" t="n">
        <v>3.09</v>
      </c>
      <c r="J1767" s="41" t="n">
        <v>16.56</v>
      </c>
      <c r="K1767" s="25" t="n">
        <v>0</v>
      </c>
      <c r="L1767" s="26">
        <f>IF(H1767&lt;=J1767,1,0)</f>
        <v>1</v>
      </c>
    </row>
    <row r="1768">
      <c r="A1768" s="19" t="inlineStr">
        <is>
          <t>QL-294-3</t>
        </is>
      </c>
      <c r="B1768" s="36" t="n">
        <v>45951</v>
      </c>
      <c r="C1768" s="37" t="inlineStr">
        <is>
          <t>出港</t>
        </is>
      </c>
      <c r="D1768" s="19" t="inlineStr">
        <is>
          <t>煤炭</t>
        </is>
      </c>
      <c r="E1768" s="19" t="inlineStr">
        <is>
          <t>东南亚</t>
        </is>
      </c>
      <c r="F1768" s="19" t="inlineStr">
        <is>
          <t>03号泊位</t>
        </is>
      </c>
      <c r="G1768" s="20" t="n">
        <v>11773</v>
      </c>
      <c r="H1768" s="38" t="n">
        <v>8.77</v>
      </c>
      <c r="I1768" s="38" t="n">
        <v>2.51</v>
      </c>
      <c r="J1768" s="38" t="n">
        <v>8.92</v>
      </c>
      <c r="K1768" s="20" t="n">
        <v>0</v>
      </c>
      <c r="L1768" s="26">
        <f>IF(H1768&lt;=J1768,1,0)</f>
        <v>1</v>
      </c>
    </row>
    <row r="1769">
      <c r="A1769" s="24" t="inlineStr">
        <is>
          <t>QL-294-4</t>
        </is>
      </c>
      <c r="B1769" s="39" t="n">
        <v>45951</v>
      </c>
      <c r="C1769" s="40" t="inlineStr">
        <is>
          <t>进港</t>
        </is>
      </c>
      <c r="D1769" s="24" t="inlineStr">
        <is>
          <t>粮食</t>
        </is>
      </c>
      <c r="E1769" s="24" t="inlineStr">
        <is>
          <t>国内沿海</t>
        </is>
      </c>
      <c r="F1769" s="24" t="inlineStr">
        <is>
          <t>04号泊位</t>
        </is>
      </c>
      <c r="G1769" s="25" t="n">
        <v>11894</v>
      </c>
      <c r="H1769" s="41" t="n">
        <v>13.38</v>
      </c>
      <c r="I1769" s="41" t="n">
        <v>2.91</v>
      </c>
      <c r="J1769" s="41" t="n">
        <v>11.66</v>
      </c>
      <c r="K1769" s="25" t="n">
        <v>0</v>
      </c>
      <c r="L1769" s="26">
        <f>IF(H1769&lt;=J1769,1,0)</f>
        <v>0</v>
      </c>
    </row>
    <row r="1770">
      <c r="A1770" s="19" t="inlineStr">
        <is>
          <t>QL-294-5</t>
        </is>
      </c>
      <c r="B1770" s="36" t="n">
        <v>45951</v>
      </c>
      <c r="C1770" s="37" t="inlineStr">
        <is>
          <t>出港</t>
        </is>
      </c>
      <c r="D1770" s="19" t="inlineStr">
        <is>
          <t>液体散货</t>
        </is>
      </c>
      <c r="E1770" s="19" t="inlineStr">
        <is>
          <t>欧洲</t>
        </is>
      </c>
      <c r="F1770" s="19" t="inlineStr">
        <is>
          <t>05号泊位</t>
        </is>
      </c>
      <c r="G1770" s="20" t="n">
        <v>9514</v>
      </c>
      <c r="H1770" s="38" t="n">
        <v>6.55</v>
      </c>
      <c r="I1770" s="38" t="n">
        <v>1.72</v>
      </c>
      <c r="J1770" s="38" t="n">
        <v>6.61</v>
      </c>
      <c r="K1770" s="20" t="n">
        <v>0</v>
      </c>
      <c r="L1770" s="26">
        <f>IF(H1770&lt;=J1770,1,0)</f>
        <v>1</v>
      </c>
    </row>
    <row r="1771">
      <c r="A1771" s="24" t="inlineStr">
        <is>
          <t>QL-294-6</t>
        </is>
      </c>
      <c r="B1771" s="39" t="n">
        <v>45951</v>
      </c>
      <c r="C1771" s="40" t="inlineStr">
        <is>
          <t>进港</t>
        </is>
      </c>
      <c r="D1771" s="24" t="inlineStr">
        <is>
          <t>件杂货</t>
        </is>
      </c>
      <c r="E1771" s="24" t="inlineStr">
        <is>
          <t>东南亚</t>
        </is>
      </c>
      <c r="F1771" s="24" t="inlineStr">
        <is>
          <t>06号泊位</t>
        </is>
      </c>
      <c r="G1771" s="25" t="n">
        <v>5342</v>
      </c>
      <c r="H1771" s="41" t="n">
        <v>9.33</v>
      </c>
      <c r="I1771" s="41" t="n">
        <v>3.03</v>
      </c>
      <c r="J1771" s="41" t="n">
        <v>8.76</v>
      </c>
      <c r="K1771" s="25" t="n">
        <v>0</v>
      </c>
      <c r="L1771" s="26">
        <f>IF(H1771&lt;=J1771,1,0)</f>
        <v>0</v>
      </c>
    </row>
    <row r="1772">
      <c r="A1772" s="19" t="inlineStr">
        <is>
          <t>QL-295-1</t>
        </is>
      </c>
      <c r="B1772" s="36" t="n">
        <v>45952</v>
      </c>
      <c r="C1772" s="37" t="inlineStr">
        <is>
          <t>进港</t>
        </is>
      </c>
      <c r="D1772" s="19" t="inlineStr">
        <is>
          <t>集装箱货物</t>
        </is>
      </c>
      <c r="E1772" s="19" t="inlineStr">
        <is>
          <t>欧洲</t>
        </is>
      </c>
      <c r="F1772" s="19" t="inlineStr">
        <is>
          <t>01号泊位</t>
        </is>
      </c>
      <c r="G1772" s="20" t="n">
        <v>13464</v>
      </c>
      <c r="H1772" s="38" t="n">
        <v>16.6</v>
      </c>
      <c r="I1772" s="38" t="n">
        <v>1.37</v>
      </c>
      <c r="J1772" s="38" t="n">
        <v>14.96</v>
      </c>
      <c r="K1772" s="20" t="n">
        <v>868</v>
      </c>
      <c r="L1772" s="26">
        <f>IF(H1772&lt;=J1772,1,0)</f>
        <v>0</v>
      </c>
    </row>
    <row r="1773">
      <c r="A1773" s="24" t="inlineStr">
        <is>
          <t>QL-295-2</t>
        </is>
      </c>
      <c r="B1773" s="39" t="n">
        <v>45952</v>
      </c>
      <c r="C1773" s="40" t="inlineStr">
        <is>
          <t>出港</t>
        </is>
      </c>
      <c r="D1773" s="24" t="inlineStr">
        <is>
          <t>金属矿石</t>
        </is>
      </c>
      <c r="E1773" s="24" t="inlineStr">
        <is>
          <t>东亚</t>
        </is>
      </c>
      <c r="F1773" s="24" t="inlineStr">
        <is>
          <t>02号泊位</t>
        </is>
      </c>
      <c r="G1773" s="25" t="n">
        <v>18826</v>
      </c>
      <c r="H1773" s="41" t="n">
        <v>12.2</v>
      </c>
      <c r="I1773" s="41" t="n">
        <v>2.66</v>
      </c>
      <c r="J1773" s="41" t="n">
        <v>12.15</v>
      </c>
      <c r="K1773" s="25" t="n">
        <v>0</v>
      </c>
      <c r="L1773" s="26">
        <f>IF(H1773&lt;=J1773,1,0)</f>
        <v>0</v>
      </c>
    </row>
    <row r="1774">
      <c r="A1774" s="19" t="inlineStr">
        <is>
          <t>QL-295-3</t>
        </is>
      </c>
      <c r="B1774" s="36" t="n">
        <v>45952</v>
      </c>
      <c r="C1774" s="37" t="inlineStr">
        <is>
          <t>出港</t>
        </is>
      </c>
      <c r="D1774" s="19" t="inlineStr">
        <is>
          <t>煤炭</t>
        </is>
      </c>
      <c r="E1774" s="19" t="inlineStr">
        <is>
          <t>东亚</t>
        </is>
      </c>
      <c r="F1774" s="19" t="inlineStr">
        <is>
          <t>03号泊位</t>
        </is>
      </c>
      <c r="G1774" s="20" t="n">
        <v>8659</v>
      </c>
      <c r="H1774" s="38" t="n">
        <v>6.94</v>
      </c>
      <c r="I1774" s="38" t="n">
        <v>6.19</v>
      </c>
      <c r="J1774" s="38" t="n">
        <v>6.56</v>
      </c>
      <c r="K1774" s="20" t="n">
        <v>0</v>
      </c>
      <c r="L1774" s="26">
        <f>IF(H1774&lt;=J1774,1,0)</f>
        <v>0</v>
      </c>
    </row>
    <row r="1775">
      <c r="A1775" s="24" t="inlineStr">
        <is>
          <t>QL-295-4</t>
        </is>
      </c>
      <c r="B1775" s="39" t="n">
        <v>45952</v>
      </c>
      <c r="C1775" s="40" t="inlineStr">
        <is>
          <t>进港</t>
        </is>
      </c>
      <c r="D1775" s="24" t="inlineStr">
        <is>
          <t>粮食</t>
        </is>
      </c>
      <c r="E1775" s="24" t="inlineStr">
        <is>
          <t>国内沿海</t>
        </is>
      </c>
      <c r="F1775" s="24" t="inlineStr">
        <is>
          <t>04号泊位</t>
        </is>
      </c>
      <c r="G1775" s="25" t="n">
        <v>11365</v>
      </c>
      <c r="H1775" s="41" t="n">
        <v>12.22</v>
      </c>
      <c r="I1775" s="41" t="n">
        <v>2.27</v>
      </c>
      <c r="J1775" s="41" t="n">
        <v>11.14</v>
      </c>
      <c r="K1775" s="25" t="n">
        <v>0</v>
      </c>
      <c r="L1775" s="26">
        <f>IF(H1775&lt;=J1775,1,0)</f>
        <v>0</v>
      </c>
    </row>
    <row r="1776">
      <c r="A1776" s="19" t="inlineStr">
        <is>
          <t>QL-295-5</t>
        </is>
      </c>
      <c r="B1776" s="36" t="n">
        <v>45952</v>
      </c>
      <c r="C1776" s="37" t="inlineStr">
        <is>
          <t>进港</t>
        </is>
      </c>
      <c r="D1776" s="19" t="inlineStr">
        <is>
          <t>液体散货</t>
        </is>
      </c>
      <c r="E1776" s="19" t="inlineStr">
        <is>
          <t>东亚</t>
        </is>
      </c>
      <c r="F1776" s="19" t="inlineStr">
        <is>
          <t>05号泊位</t>
        </is>
      </c>
      <c r="G1776" s="20" t="n">
        <v>11692</v>
      </c>
      <c r="H1776" s="38" t="n">
        <v>7.88</v>
      </c>
      <c r="I1776" s="38" t="n">
        <v>2.97</v>
      </c>
      <c r="J1776" s="38" t="n">
        <v>8.119999999999999</v>
      </c>
      <c r="K1776" s="20" t="n">
        <v>0</v>
      </c>
      <c r="L1776" s="26">
        <f>IF(H1776&lt;=J1776,1,0)</f>
        <v>1</v>
      </c>
    </row>
    <row r="1777">
      <c r="A1777" s="24" t="inlineStr">
        <is>
          <t>QL-295-6</t>
        </is>
      </c>
      <c r="B1777" s="39" t="n">
        <v>45952</v>
      </c>
      <c r="C1777" s="40" t="inlineStr">
        <is>
          <t>出港</t>
        </is>
      </c>
      <c r="D1777" s="24" t="inlineStr">
        <is>
          <t>件杂货</t>
        </is>
      </c>
      <c r="E1777" s="24" t="inlineStr">
        <is>
          <t>国内沿海</t>
        </is>
      </c>
      <c r="F1777" s="24" t="inlineStr">
        <is>
          <t>06号泊位</t>
        </is>
      </c>
      <c r="G1777" s="25" t="n">
        <v>4241</v>
      </c>
      <c r="H1777" s="41" t="n">
        <v>7.11</v>
      </c>
      <c r="I1777" s="41" t="n">
        <v>3.3</v>
      </c>
      <c r="J1777" s="41" t="n">
        <v>6.95</v>
      </c>
      <c r="K1777" s="25" t="n">
        <v>0</v>
      </c>
      <c r="L1777" s="26">
        <f>IF(H1777&lt;=J1777,1,0)</f>
        <v>0</v>
      </c>
    </row>
    <row r="1778">
      <c r="A1778" s="19" t="inlineStr">
        <is>
          <t>QL-296-1</t>
        </is>
      </c>
      <c r="B1778" s="36" t="n">
        <v>45953</v>
      </c>
      <c r="C1778" s="37" t="inlineStr">
        <is>
          <t>出港</t>
        </is>
      </c>
      <c r="D1778" s="19" t="inlineStr">
        <is>
          <t>集装箱货物</t>
        </is>
      </c>
      <c r="E1778" s="19" t="inlineStr">
        <is>
          <t>国内沿海</t>
        </is>
      </c>
      <c r="F1778" s="19" t="inlineStr">
        <is>
          <t>01号泊位</t>
        </is>
      </c>
      <c r="G1778" s="20" t="n">
        <v>10022</v>
      </c>
      <c r="H1778" s="38" t="n">
        <v>12.42</v>
      </c>
      <c r="I1778" s="38" t="n">
        <v>2.08</v>
      </c>
      <c r="J1778" s="38" t="n">
        <v>11.14</v>
      </c>
      <c r="K1778" s="20" t="n">
        <v>680</v>
      </c>
      <c r="L1778" s="26">
        <f>IF(H1778&lt;=J1778,1,0)</f>
        <v>0</v>
      </c>
    </row>
    <row r="1779">
      <c r="A1779" s="24" t="inlineStr">
        <is>
          <t>QL-296-2</t>
        </is>
      </c>
      <c r="B1779" s="39" t="n">
        <v>45953</v>
      </c>
      <c r="C1779" s="40" t="inlineStr">
        <is>
          <t>进港</t>
        </is>
      </c>
      <c r="D1779" s="24" t="inlineStr">
        <is>
          <t>金属矿石</t>
        </is>
      </c>
      <c r="E1779" s="24" t="inlineStr">
        <is>
          <t>国内沿海</t>
        </is>
      </c>
      <c r="F1779" s="24" t="inlineStr">
        <is>
          <t>02号泊位</t>
        </is>
      </c>
      <c r="G1779" s="25" t="n">
        <v>16435</v>
      </c>
      <c r="H1779" s="41" t="n">
        <v>12.11</v>
      </c>
      <c r="I1779" s="41" t="n">
        <v>4.32</v>
      </c>
      <c r="J1779" s="41" t="n">
        <v>10.6</v>
      </c>
      <c r="K1779" s="25" t="n">
        <v>0</v>
      </c>
      <c r="L1779" s="26">
        <f>IF(H1779&lt;=J1779,1,0)</f>
        <v>0</v>
      </c>
    </row>
    <row r="1780">
      <c r="A1780" s="19" t="inlineStr">
        <is>
          <t>QL-296-3</t>
        </is>
      </c>
      <c r="B1780" s="36" t="n">
        <v>45953</v>
      </c>
      <c r="C1780" s="37" t="inlineStr">
        <is>
          <t>进港</t>
        </is>
      </c>
      <c r="D1780" s="19" t="inlineStr">
        <is>
          <t>煤炭</t>
        </is>
      </c>
      <c r="E1780" s="19" t="inlineStr">
        <is>
          <t>北美</t>
        </is>
      </c>
      <c r="F1780" s="19" t="inlineStr">
        <is>
          <t>03号泊位</t>
        </is>
      </c>
      <c r="G1780" s="20" t="n">
        <v>10149</v>
      </c>
      <c r="H1780" s="38" t="n">
        <v>6.65</v>
      </c>
      <c r="I1780" s="38" t="n">
        <v>1.59</v>
      </c>
      <c r="J1780" s="38" t="n">
        <v>7.69</v>
      </c>
      <c r="K1780" s="20" t="n">
        <v>0</v>
      </c>
      <c r="L1780" s="26">
        <f>IF(H1780&lt;=J1780,1,0)</f>
        <v>1</v>
      </c>
    </row>
    <row r="1781">
      <c r="A1781" s="24" t="inlineStr">
        <is>
          <t>QL-296-4</t>
        </is>
      </c>
      <c r="B1781" s="39" t="n">
        <v>45953</v>
      </c>
      <c r="C1781" s="40" t="inlineStr">
        <is>
          <t>进港</t>
        </is>
      </c>
      <c r="D1781" s="24" t="inlineStr">
        <is>
          <t>粮食</t>
        </is>
      </c>
      <c r="E1781" s="24" t="inlineStr">
        <is>
          <t>国内沿海</t>
        </is>
      </c>
      <c r="F1781" s="24" t="inlineStr">
        <is>
          <t>04号泊位</t>
        </is>
      </c>
      <c r="G1781" s="25" t="n">
        <v>4812</v>
      </c>
      <c r="H1781" s="41" t="n">
        <v>5.22</v>
      </c>
      <c r="I1781" s="41" t="n">
        <v>1.19</v>
      </c>
      <c r="J1781" s="41" t="n">
        <v>4.72</v>
      </c>
      <c r="K1781" s="25" t="n">
        <v>0</v>
      </c>
      <c r="L1781" s="26">
        <f>IF(H1781&lt;=J1781,1,0)</f>
        <v>0</v>
      </c>
    </row>
    <row r="1782">
      <c r="A1782" s="19" t="inlineStr">
        <is>
          <t>QL-296-5</t>
        </is>
      </c>
      <c r="B1782" s="36" t="n">
        <v>45953</v>
      </c>
      <c r="C1782" s="37" t="inlineStr">
        <is>
          <t>进港</t>
        </is>
      </c>
      <c r="D1782" s="19" t="inlineStr">
        <is>
          <t>液体散货</t>
        </is>
      </c>
      <c r="E1782" s="19" t="inlineStr">
        <is>
          <t>北美</t>
        </is>
      </c>
      <c r="F1782" s="19" t="inlineStr">
        <is>
          <t>05号泊位</t>
        </is>
      </c>
      <c r="G1782" s="20" t="n">
        <v>7208</v>
      </c>
      <c r="H1782" s="38" t="n">
        <v>4.58</v>
      </c>
      <c r="I1782" s="38" t="n">
        <v>5.13</v>
      </c>
      <c r="J1782" s="38" t="n">
        <v>5.01</v>
      </c>
      <c r="K1782" s="20" t="n">
        <v>0</v>
      </c>
      <c r="L1782" s="26">
        <f>IF(H1782&lt;=J1782,1,0)</f>
        <v>1</v>
      </c>
    </row>
    <row r="1783">
      <c r="A1783" s="24" t="inlineStr">
        <is>
          <t>QL-296-6</t>
        </is>
      </c>
      <c r="B1783" s="39" t="n">
        <v>45953</v>
      </c>
      <c r="C1783" s="40" t="inlineStr">
        <is>
          <t>出港</t>
        </is>
      </c>
      <c r="D1783" s="24" t="inlineStr">
        <is>
          <t>件杂货</t>
        </is>
      </c>
      <c r="E1783" s="24" t="inlineStr">
        <is>
          <t>欧洲</t>
        </is>
      </c>
      <c r="F1783" s="24" t="inlineStr">
        <is>
          <t>06号泊位</t>
        </is>
      </c>
      <c r="G1783" s="25" t="n">
        <v>2424</v>
      </c>
      <c r="H1783" s="41" t="n">
        <v>4.23</v>
      </c>
      <c r="I1783" s="41" t="n">
        <v>1.46</v>
      </c>
      <c r="J1783" s="41" t="n">
        <v>3.97</v>
      </c>
      <c r="K1783" s="25" t="n">
        <v>0</v>
      </c>
      <c r="L1783" s="26">
        <f>IF(H1783&lt;=J1783,1,0)</f>
        <v>0</v>
      </c>
    </row>
    <row r="1784">
      <c r="A1784" s="19" t="inlineStr">
        <is>
          <t>QL-297-1</t>
        </is>
      </c>
      <c r="B1784" s="36" t="n">
        <v>45954</v>
      </c>
      <c r="C1784" s="37" t="inlineStr">
        <is>
          <t>出港</t>
        </is>
      </c>
      <c r="D1784" s="19" t="inlineStr">
        <is>
          <t>集装箱货物</t>
        </is>
      </c>
      <c r="E1784" s="19" t="inlineStr">
        <is>
          <t>东亚</t>
        </is>
      </c>
      <c r="F1784" s="19" t="inlineStr">
        <is>
          <t>01号泊位</t>
        </is>
      </c>
      <c r="G1784" s="20" t="n">
        <v>8603</v>
      </c>
      <c r="H1784" s="38" t="n">
        <v>11.24</v>
      </c>
      <c r="I1784" s="38" t="n">
        <v>4.51</v>
      </c>
      <c r="J1784" s="38" t="n">
        <v>9.56</v>
      </c>
      <c r="K1784" s="20" t="n">
        <v>690</v>
      </c>
      <c r="L1784" s="26">
        <f>IF(H1784&lt;=J1784,1,0)</f>
        <v>0</v>
      </c>
    </row>
    <row r="1785">
      <c r="A1785" s="24" t="inlineStr">
        <is>
          <t>QL-297-2</t>
        </is>
      </c>
      <c r="B1785" s="39" t="n">
        <v>45954</v>
      </c>
      <c r="C1785" s="40" t="inlineStr">
        <is>
          <t>进港</t>
        </is>
      </c>
      <c r="D1785" s="24" t="inlineStr">
        <is>
          <t>金属矿石</t>
        </is>
      </c>
      <c r="E1785" s="24" t="inlineStr">
        <is>
          <t>北美</t>
        </is>
      </c>
      <c r="F1785" s="24" t="inlineStr">
        <is>
          <t>02号泊位</t>
        </is>
      </c>
      <c r="G1785" s="25" t="n">
        <v>26813</v>
      </c>
      <c r="H1785" s="41" t="n">
        <v>18.55</v>
      </c>
      <c r="I1785" s="41" t="n">
        <v>1.07</v>
      </c>
      <c r="J1785" s="41" t="n">
        <v>17.3</v>
      </c>
      <c r="K1785" s="25" t="n">
        <v>0</v>
      </c>
      <c r="L1785" s="26">
        <f>IF(H1785&lt;=J1785,1,0)</f>
        <v>0</v>
      </c>
    </row>
    <row r="1786">
      <c r="A1786" s="19" t="inlineStr">
        <is>
          <t>QL-297-3</t>
        </is>
      </c>
      <c r="B1786" s="36" t="n">
        <v>45954</v>
      </c>
      <c r="C1786" s="37" t="inlineStr">
        <is>
          <t>进港</t>
        </is>
      </c>
      <c r="D1786" s="19" t="inlineStr">
        <is>
          <t>煤炭</t>
        </is>
      </c>
      <c r="E1786" s="19" t="inlineStr">
        <is>
          <t>北美</t>
        </is>
      </c>
      <c r="F1786" s="19" t="inlineStr">
        <is>
          <t>03号泊位</t>
        </is>
      </c>
      <c r="G1786" s="20" t="n">
        <v>12198</v>
      </c>
      <c r="H1786" s="38" t="n">
        <v>9.99</v>
      </c>
      <c r="I1786" s="38" t="n">
        <v>0.63</v>
      </c>
      <c r="J1786" s="38" t="n">
        <v>9.24</v>
      </c>
      <c r="K1786" s="20" t="n">
        <v>0</v>
      </c>
      <c r="L1786" s="26">
        <f>IF(H1786&lt;=J1786,1,0)</f>
        <v>0</v>
      </c>
    </row>
    <row r="1787">
      <c r="A1787" s="24" t="inlineStr">
        <is>
          <t>QL-297-4</t>
        </is>
      </c>
      <c r="B1787" s="39" t="n">
        <v>45954</v>
      </c>
      <c r="C1787" s="40" t="inlineStr">
        <is>
          <t>出港</t>
        </is>
      </c>
      <c r="D1787" s="24" t="inlineStr">
        <is>
          <t>粮食</t>
        </is>
      </c>
      <c r="E1787" s="24" t="inlineStr">
        <is>
          <t>东亚</t>
        </is>
      </c>
      <c r="F1787" s="24" t="inlineStr">
        <is>
          <t>04号泊位</t>
        </is>
      </c>
      <c r="G1787" s="25" t="n">
        <v>7418</v>
      </c>
      <c r="H1787" s="41" t="n">
        <v>7.25</v>
      </c>
      <c r="I1787" s="41" t="n">
        <v>2.42</v>
      </c>
      <c r="J1787" s="41" t="n">
        <v>7.27</v>
      </c>
      <c r="K1787" s="25" t="n">
        <v>0</v>
      </c>
      <c r="L1787" s="26">
        <f>IF(H1787&lt;=J1787,1,0)</f>
        <v>1</v>
      </c>
    </row>
    <row r="1788">
      <c r="A1788" s="19" t="inlineStr">
        <is>
          <t>QL-297-5</t>
        </is>
      </c>
      <c r="B1788" s="36" t="n">
        <v>45954</v>
      </c>
      <c r="C1788" s="37" t="inlineStr">
        <is>
          <t>出港</t>
        </is>
      </c>
      <c r="D1788" s="19" t="inlineStr">
        <is>
          <t>液体散货</t>
        </is>
      </c>
      <c r="E1788" s="19" t="inlineStr">
        <is>
          <t>东亚</t>
        </is>
      </c>
      <c r="F1788" s="19" t="inlineStr">
        <is>
          <t>05号泊位</t>
        </is>
      </c>
      <c r="G1788" s="20" t="n">
        <v>16197</v>
      </c>
      <c r="H1788" s="38" t="n">
        <v>12.87</v>
      </c>
      <c r="I1788" s="38" t="n">
        <v>1.91</v>
      </c>
      <c r="J1788" s="38" t="n">
        <v>11.25</v>
      </c>
      <c r="K1788" s="20" t="n">
        <v>0</v>
      </c>
      <c r="L1788" s="26">
        <f>IF(H1788&lt;=J1788,1,0)</f>
        <v>0</v>
      </c>
    </row>
    <row r="1789">
      <c r="A1789" s="24" t="inlineStr">
        <is>
          <t>QL-297-6</t>
        </is>
      </c>
      <c r="B1789" s="39" t="n">
        <v>45954</v>
      </c>
      <c r="C1789" s="40" t="inlineStr">
        <is>
          <t>出港</t>
        </is>
      </c>
      <c r="D1789" s="24" t="inlineStr">
        <is>
          <t>件杂货</t>
        </is>
      </c>
      <c r="E1789" s="24" t="inlineStr">
        <is>
          <t>东南亚</t>
        </is>
      </c>
      <c r="F1789" s="24" t="inlineStr">
        <is>
          <t>06号泊位</t>
        </is>
      </c>
      <c r="G1789" s="25" t="n">
        <v>2265</v>
      </c>
      <c r="H1789" s="41" t="n">
        <v>3.15</v>
      </c>
      <c r="I1789" s="41" t="n">
        <v>1.98</v>
      </c>
      <c r="J1789" s="41" t="n">
        <v>3.71</v>
      </c>
      <c r="K1789" s="25" t="n">
        <v>0</v>
      </c>
      <c r="L1789" s="26">
        <f>IF(H1789&lt;=J1789,1,0)</f>
        <v>1</v>
      </c>
    </row>
    <row r="1790">
      <c r="A1790" s="19" t="inlineStr">
        <is>
          <t>QL-298-1</t>
        </is>
      </c>
      <c r="B1790" s="36" t="n">
        <v>45955</v>
      </c>
      <c r="C1790" s="37" t="inlineStr">
        <is>
          <t>出港</t>
        </is>
      </c>
      <c r="D1790" s="19" t="inlineStr">
        <is>
          <t>集装箱货物</t>
        </is>
      </c>
      <c r="E1790" s="19" t="inlineStr">
        <is>
          <t>东南亚</t>
        </is>
      </c>
      <c r="F1790" s="19" t="inlineStr">
        <is>
          <t>01号泊位</t>
        </is>
      </c>
      <c r="G1790" s="20" t="n">
        <v>13658</v>
      </c>
      <c r="H1790" s="38" t="n">
        <v>18.18</v>
      </c>
      <c r="I1790" s="38" t="n">
        <v>1.96</v>
      </c>
      <c r="J1790" s="38" t="n">
        <v>15.18</v>
      </c>
      <c r="K1790" s="20" t="n">
        <v>835</v>
      </c>
      <c r="L1790" s="26">
        <f>IF(H1790&lt;=J1790,1,0)</f>
        <v>0</v>
      </c>
    </row>
    <row r="1791">
      <c r="A1791" s="24" t="inlineStr">
        <is>
          <t>QL-298-2</t>
        </is>
      </c>
      <c r="B1791" s="39" t="n">
        <v>45955</v>
      </c>
      <c r="C1791" s="40" t="inlineStr">
        <is>
          <t>进港</t>
        </is>
      </c>
      <c r="D1791" s="24" t="inlineStr">
        <is>
          <t>金属矿石</t>
        </is>
      </c>
      <c r="E1791" s="24" t="inlineStr">
        <is>
          <t>北美</t>
        </is>
      </c>
      <c r="F1791" s="24" t="inlineStr">
        <is>
          <t>02号泊位</t>
        </is>
      </c>
      <c r="G1791" s="25" t="n">
        <v>19927</v>
      </c>
      <c r="H1791" s="41" t="n">
        <v>13.17</v>
      </c>
      <c r="I1791" s="41" t="n">
        <v>0.97</v>
      </c>
      <c r="J1791" s="41" t="n">
        <v>12.86</v>
      </c>
      <c r="K1791" s="25" t="n">
        <v>0</v>
      </c>
      <c r="L1791" s="26">
        <f>IF(H1791&lt;=J1791,1,0)</f>
        <v>0</v>
      </c>
    </row>
    <row r="1792">
      <c r="A1792" s="19" t="inlineStr">
        <is>
          <t>QL-298-3</t>
        </is>
      </c>
      <c r="B1792" s="36" t="n">
        <v>45955</v>
      </c>
      <c r="C1792" s="37" t="inlineStr">
        <is>
          <t>进港</t>
        </is>
      </c>
      <c r="D1792" s="19" t="inlineStr">
        <is>
          <t>煤炭</t>
        </is>
      </c>
      <c r="E1792" s="19" t="inlineStr">
        <is>
          <t>国内沿海</t>
        </is>
      </c>
      <c r="F1792" s="19" t="inlineStr">
        <is>
          <t>03号泊位</t>
        </is>
      </c>
      <c r="G1792" s="20" t="n">
        <v>13637</v>
      </c>
      <c r="H1792" s="38" t="n">
        <v>9.66</v>
      </c>
      <c r="I1792" s="38" t="n">
        <v>0.9399999999999999</v>
      </c>
      <c r="J1792" s="38" t="n">
        <v>10.33</v>
      </c>
      <c r="K1792" s="20" t="n">
        <v>0</v>
      </c>
      <c r="L1792" s="26">
        <f>IF(H1792&lt;=J1792,1,0)</f>
        <v>1</v>
      </c>
    </row>
    <row r="1793">
      <c r="A1793" s="24" t="inlineStr">
        <is>
          <t>QL-298-4</t>
        </is>
      </c>
      <c r="B1793" s="39" t="n">
        <v>45955</v>
      </c>
      <c r="C1793" s="40" t="inlineStr">
        <is>
          <t>进港</t>
        </is>
      </c>
      <c r="D1793" s="24" t="inlineStr">
        <is>
          <t>粮食</t>
        </is>
      </c>
      <c r="E1793" s="24" t="inlineStr">
        <is>
          <t>东亚</t>
        </is>
      </c>
      <c r="F1793" s="24" t="inlineStr">
        <is>
          <t>04号泊位</t>
        </is>
      </c>
      <c r="G1793" s="25" t="n">
        <v>8026</v>
      </c>
      <c r="H1793" s="41" t="n">
        <v>6.42</v>
      </c>
      <c r="I1793" s="41" t="n">
        <v>1.63</v>
      </c>
      <c r="J1793" s="41" t="n">
        <v>7.87</v>
      </c>
      <c r="K1793" s="25" t="n">
        <v>0</v>
      </c>
      <c r="L1793" s="26">
        <f>IF(H1793&lt;=J1793,1,0)</f>
        <v>1</v>
      </c>
    </row>
    <row r="1794">
      <c r="A1794" s="19" t="inlineStr">
        <is>
          <t>QL-298-5</t>
        </is>
      </c>
      <c r="B1794" s="36" t="n">
        <v>45955</v>
      </c>
      <c r="C1794" s="37" t="inlineStr">
        <is>
          <t>出港</t>
        </is>
      </c>
      <c r="D1794" s="19" t="inlineStr">
        <is>
          <t>液体散货</t>
        </is>
      </c>
      <c r="E1794" s="19" t="inlineStr">
        <is>
          <t>东亚</t>
        </is>
      </c>
      <c r="F1794" s="19" t="inlineStr">
        <is>
          <t>05号泊位</t>
        </is>
      </c>
      <c r="G1794" s="20" t="n">
        <v>9513</v>
      </c>
      <c r="H1794" s="38" t="n">
        <v>5.88</v>
      </c>
      <c r="I1794" s="38" t="n">
        <v>5.03</v>
      </c>
      <c r="J1794" s="38" t="n">
        <v>6.61</v>
      </c>
      <c r="K1794" s="20" t="n">
        <v>0</v>
      </c>
      <c r="L1794" s="26">
        <f>IF(H1794&lt;=J1794,1,0)</f>
        <v>1</v>
      </c>
    </row>
    <row r="1795">
      <c r="A1795" s="24" t="inlineStr">
        <is>
          <t>QL-298-6</t>
        </is>
      </c>
      <c r="B1795" s="39" t="n">
        <v>45955</v>
      </c>
      <c r="C1795" s="40" t="inlineStr">
        <is>
          <t>出港</t>
        </is>
      </c>
      <c r="D1795" s="24" t="inlineStr">
        <is>
          <t>件杂货</t>
        </is>
      </c>
      <c r="E1795" s="24" t="inlineStr">
        <is>
          <t>欧洲</t>
        </is>
      </c>
      <c r="F1795" s="24" t="inlineStr">
        <is>
          <t>06号泊位</t>
        </is>
      </c>
      <c r="G1795" s="25" t="n">
        <v>5227</v>
      </c>
      <c r="H1795" s="41" t="n">
        <v>8.449999999999999</v>
      </c>
      <c r="I1795" s="41" t="n">
        <v>2.13</v>
      </c>
      <c r="J1795" s="41" t="n">
        <v>8.57</v>
      </c>
      <c r="K1795" s="25" t="n">
        <v>0</v>
      </c>
      <c r="L1795" s="26">
        <f>IF(H1795&lt;=J1795,1,0)</f>
        <v>1</v>
      </c>
    </row>
    <row r="1796">
      <c r="A1796" s="19" t="inlineStr">
        <is>
          <t>QL-299-1</t>
        </is>
      </c>
      <c r="B1796" s="36" t="n">
        <v>45956</v>
      </c>
      <c r="C1796" s="37" t="inlineStr">
        <is>
          <t>进港</t>
        </is>
      </c>
      <c r="D1796" s="19" t="inlineStr">
        <is>
          <t>集装箱货物</t>
        </is>
      </c>
      <c r="E1796" s="19" t="inlineStr">
        <is>
          <t>东南亚</t>
        </is>
      </c>
      <c r="F1796" s="19" t="inlineStr">
        <is>
          <t>01号泊位</t>
        </is>
      </c>
      <c r="G1796" s="20" t="n">
        <v>9290</v>
      </c>
      <c r="H1796" s="38" t="n">
        <v>11.36</v>
      </c>
      <c r="I1796" s="38" t="n">
        <v>0.96</v>
      </c>
      <c r="J1796" s="38" t="n">
        <v>10.32</v>
      </c>
      <c r="K1796" s="20" t="n">
        <v>733</v>
      </c>
      <c r="L1796" s="26">
        <f>IF(H1796&lt;=J1796,1,0)</f>
        <v>0</v>
      </c>
    </row>
    <row r="1797">
      <c r="A1797" s="24" t="inlineStr">
        <is>
          <t>QL-299-2</t>
        </is>
      </c>
      <c r="B1797" s="39" t="n">
        <v>45956</v>
      </c>
      <c r="C1797" s="40" t="inlineStr">
        <is>
          <t>出港</t>
        </is>
      </c>
      <c r="D1797" s="24" t="inlineStr">
        <is>
          <t>金属矿石</t>
        </is>
      </c>
      <c r="E1797" s="24" t="inlineStr">
        <is>
          <t>欧洲</t>
        </is>
      </c>
      <c r="F1797" s="24" t="inlineStr">
        <is>
          <t>02号泊位</t>
        </is>
      </c>
      <c r="G1797" s="25" t="n">
        <v>19659</v>
      </c>
      <c r="H1797" s="41" t="n">
        <v>11.65</v>
      </c>
      <c r="I1797" s="41" t="n">
        <v>3.78</v>
      </c>
      <c r="J1797" s="41" t="n">
        <v>12.68</v>
      </c>
      <c r="K1797" s="25" t="n">
        <v>0</v>
      </c>
      <c r="L1797" s="26">
        <f>IF(H1797&lt;=J1797,1,0)</f>
        <v>1</v>
      </c>
    </row>
    <row r="1798">
      <c r="A1798" s="19" t="inlineStr">
        <is>
          <t>QL-299-3</t>
        </is>
      </c>
      <c r="B1798" s="36" t="n">
        <v>45956</v>
      </c>
      <c r="C1798" s="37" t="inlineStr">
        <is>
          <t>进港</t>
        </is>
      </c>
      <c r="D1798" s="19" t="inlineStr">
        <is>
          <t>煤炭</t>
        </is>
      </c>
      <c r="E1798" s="19" t="inlineStr">
        <is>
          <t>国内沿海</t>
        </is>
      </c>
      <c r="F1798" s="19" t="inlineStr">
        <is>
          <t>03号泊位</t>
        </is>
      </c>
      <c r="G1798" s="20" t="n">
        <v>18688</v>
      </c>
      <c r="H1798" s="38" t="n">
        <v>14.3</v>
      </c>
      <c r="I1798" s="38" t="n">
        <v>1.98</v>
      </c>
      <c r="J1798" s="38" t="n">
        <v>14.16</v>
      </c>
      <c r="K1798" s="20" t="n">
        <v>0</v>
      </c>
      <c r="L1798" s="26">
        <f>IF(H1798&lt;=J1798,1,0)</f>
        <v>0</v>
      </c>
    </row>
    <row r="1799">
      <c r="A1799" s="24" t="inlineStr">
        <is>
          <t>QL-299-4</t>
        </is>
      </c>
      <c r="B1799" s="39" t="n">
        <v>45956</v>
      </c>
      <c r="C1799" s="40" t="inlineStr">
        <is>
          <t>进港</t>
        </is>
      </c>
      <c r="D1799" s="24" t="inlineStr">
        <is>
          <t>粮食</t>
        </is>
      </c>
      <c r="E1799" s="24" t="inlineStr">
        <is>
          <t>东亚</t>
        </is>
      </c>
      <c r="F1799" s="24" t="inlineStr">
        <is>
          <t>04号泊位</t>
        </is>
      </c>
      <c r="G1799" s="25" t="n">
        <v>7521</v>
      </c>
      <c r="H1799" s="41" t="n">
        <v>7.96</v>
      </c>
      <c r="I1799" s="41" t="n">
        <v>1.41</v>
      </c>
      <c r="J1799" s="41" t="n">
        <v>7.37</v>
      </c>
      <c r="K1799" s="25" t="n">
        <v>0</v>
      </c>
      <c r="L1799" s="26">
        <f>IF(H1799&lt;=J1799,1,0)</f>
        <v>0</v>
      </c>
    </row>
    <row r="1800">
      <c r="A1800" s="19" t="inlineStr">
        <is>
          <t>QL-299-5</t>
        </is>
      </c>
      <c r="B1800" s="36" t="n">
        <v>45956</v>
      </c>
      <c r="C1800" s="37" t="inlineStr">
        <is>
          <t>进港</t>
        </is>
      </c>
      <c r="D1800" s="19" t="inlineStr">
        <is>
          <t>液体散货</t>
        </is>
      </c>
      <c r="E1800" s="19" t="inlineStr">
        <is>
          <t>东亚</t>
        </is>
      </c>
      <c r="F1800" s="19" t="inlineStr">
        <is>
          <t>05号泊位</t>
        </is>
      </c>
      <c r="G1800" s="20" t="n">
        <v>11033</v>
      </c>
      <c r="H1800" s="38" t="n">
        <v>7.08</v>
      </c>
      <c r="I1800" s="38" t="n">
        <v>3.49</v>
      </c>
      <c r="J1800" s="38" t="n">
        <v>7.66</v>
      </c>
      <c r="K1800" s="20" t="n">
        <v>0</v>
      </c>
      <c r="L1800" s="26">
        <f>IF(H1800&lt;=J1800,1,0)</f>
        <v>1</v>
      </c>
    </row>
    <row r="1801">
      <c r="A1801" s="24" t="inlineStr">
        <is>
          <t>QL-299-6</t>
        </is>
      </c>
      <c r="B1801" s="39" t="n">
        <v>45956</v>
      </c>
      <c r="C1801" s="40" t="inlineStr">
        <is>
          <t>出港</t>
        </is>
      </c>
      <c r="D1801" s="24" t="inlineStr">
        <is>
          <t>件杂货</t>
        </is>
      </c>
      <c r="E1801" s="24" t="inlineStr">
        <is>
          <t>欧洲</t>
        </is>
      </c>
      <c r="F1801" s="24" t="inlineStr">
        <is>
          <t>06号泊位</t>
        </is>
      </c>
      <c r="G1801" s="25" t="n">
        <v>6979</v>
      </c>
      <c r="H1801" s="41" t="n">
        <v>9.720000000000001</v>
      </c>
      <c r="I1801" s="41" t="n">
        <v>1.48</v>
      </c>
      <c r="J1801" s="41" t="n">
        <v>11.44</v>
      </c>
      <c r="K1801" s="25" t="n">
        <v>0</v>
      </c>
      <c r="L1801" s="26">
        <f>IF(H1801&lt;=J1801,1,0)</f>
        <v>1</v>
      </c>
    </row>
    <row r="1802">
      <c r="A1802" s="19" t="inlineStr">
        <is>
          <t>QL-300-1</t>
        </is>
      </c>
      <c r="B1802" s="36" t="n">
        <v>45957</v>
      </c>
      <c r="C1802" s="37" t="inlineStr">
        <is>
          <t>进港</t>
        </is>
      </c>
      <c r="D1802" s="19" t="inlineStr">
        <is>
          <t>集装箱货物</t>
        </is>
      </c>
      <c r="E1802" s="19" t="inlineStr">
        <is>
          <t>东亚</t>
        </is>
      </c>
      <c r="F1802" s="19" t="inlineStr">
        <is>
          <t>01号泊位</t>
        </is>
      </c>
      <c r="G1802" s="20" t="n">
        <v>8752</v>
      </c>
      <c r="H1802" s="38" t="n">
        <v>10.15</v>
      </c>
      <c r="I1802" s="38" t="n">
        <v>3.52</v>
      </c>
      <c r="J1802" s="38" t="n">
        <v>9.720000000000001</v>
      </c>
      <c r="K1802" s="20" t="n">
        <v>716</v>
      </c>
      <c r="L1802" s="26">
        <f>IF(H1802&lt;=J1802,1,0)</f>
        <v>0</v>
      </c>
    </row>
    <row r="1803">
      <c r="A1803" s="24" t="inlineStr">
        <is>
          <t>QL-300-2</t>
        </is>
      </c>
      <c r="B1803" s="39" t="n">
        <v>45957</v>
      </c>
      <c r="C1803" s="40" t="inlineStr">
        <is>
          <t>进港</t>
        </is>
      </c>
      <c r="D1803" s="24" t="inlineStr">
        <is>
          <t>金属矿石</t>
        </is>
      </c>
      <c r="E1803" s="24" t="inlineStr">
        <is>
          <t>国内沿海</t>
        </is>
      </c>
      <c r="F1803" s="24" t="inlineStr">
        <is>
          <t>02号泊位</t>
        </is>
      </c>
      <c r="G1803" s="25" t="n">
        <v>23433</v>
      </c>
      <c r="H1803" s="41" t="n">
        <v>16.71</v>
      </c>
      <c r="I1803" s="41" t="n">
        <v>2.78</v>
      </c>
      <c r="J1803" s="41" t="n">
        <v>15.12</v>
      </c>
      <c r="K1803" s="25" t="n">
        <v>0</v>
      </c>
      <c r="L1803" s="26">
        <f>IF(H1803&lt;=J1803,1,0)</f>
        <v>0</v>
      </c>
    </row>
    <row r="1804">
      <c r="A1804" s="19" t="inlineStr">
        <is>
          <t>QL-300-3</t>
        </is>
      </c>
      <c r="B1804" s="36" t="n">
        <v>45957</v>
      </c>
      <c r="C1804" s="37" t="inlineStr">
        <is>
          <t>出港</t>
        </is>
      </c>
      <c r="D1804" s="19" t="inlineStr">
        <is>
          <t>煤炭</t>
        </is>
      </c>
      <c r="E1804" s="19" t="inlineStr">
        <is>
          <t>国内沿海</t>
        </is>
      </c>
      <c r="F1804" s="19" t="inlineStr">
        <is>
          <t>03号泊位</t>
        </is>
      </c>
      <c r="G1804" s="20" t="n">
        <v>11046</v>
      </c>
      <c r="H1804" s="38" t="n">
        <v>8.06</v>
      </c>
      <c r="I1804" s="38" t="n">
        <v>4.54</v>
      </c>
      <c r="J1804" s="38" t="n">
        <v>8.369999999999999</v>
      </c>
      <c r="K1804" s="20" t="n">
        <v>0</v>
      </c>
      <c r="L1804" s="26">
        <f>IF(H1804&lt;=J1804,1,0)</f>
        <v>1</v>
      </c>
    </row>
    <row r="1805">
      <c r="A1805" s="24" t="inlineStr">
        <is>
          <t>QL-300-4</t>
        </is>
      </c>
      <c r="B1805" s="39" t="n">
        <v>45957</v>
      </c>
      <c r="C1805" s="40" t="inlineStr">
        <is>
          <t>出港</t>
        </is>
      </c>
      <c r="D1805" s="24" t="inlineStr">
        <is>
          <t>粮食</t>
        </is>
      </c>
      <c r="E1805" s="24" t="inlineStr">
        <is>
          <t>东南亚</t>
        </is>
      </c>
      <c r="F1805" s="24" t="inlineStr">
        <is>
          <t>04号泊位</t>
        </is>
      </c>
      <c r="G1805" s="25" t="n">
        <v>11115</v>
      </c>
      <c r="H1805" s="41" t="n">
        <v>11.72</v>
      </c>
      <c r="I1805" s="41" t="n">
        <v>5.22</v>
      </c>
      <c r="J1805" s="41" t="n">
        <v>10.9</v>
      </c>
      <c r="K1805" s="25" t="n">
        <v>0</v>
      </c>
      <c r="L1805" s="26">
        <f>IF(H1805&lt;=J1805,1,0)</f>
        <v>0</v>
      </c>
    </row>
    <row r="1806">
      <c r="A1806" s="19" t="inlineStr">
        <is>
          <t>QL-300-5</t>
        </is>
      </c>
      <c r="B1806" s="36" t="n">
        <v>45957</v>
      </c>
      <c r="C1806" s="37" t="inlineStr">
        <is>
          <t>出港</t>
        </is>
      </c>
      <c r="D1806" s="19" t="inlineStr">
        <is>
          <t>液体散货</t>
        </is>
      </c>
      <c r="E1806" s="19" t="inlineStr">
        <is>
          <t>东亚</t>
        </is>
      </c>
      <c r="F1806" s="19" t="inlineStr">
        <is>
          <t>05号泊位</t>
        </is>
      </c>
      <c r="G1806" s="20" t="n">
        <v>11585</v>
      </c>
      <c r="H1806" s="38" t="n">
        <v>7.23</v>
      </c>
      <c r="I1806" s="38" t="n">
        <v>0.82</v>
      </c>
      <c r="J1806" s="38" t="n">
        <v>8.050000000000001</v>
      </c>
      <c r="K1806" s="20" t="n">
        <v>0</v>
      </c>
      <c r="L1806" s="26">
        <f>IF(H1806&lt;=J1806,1,0)</f>
        <v>1</v>
      </c>
    </row>
    <row r="1807">
      <c r="A1807" s="24" t="inlineStr">
        <is>
          <t>QL-300-6</t>
        </is>
      </c>
      <c r="B1807" s="39" t="n">
        <v>45957</v>
      </c>
      <c r="C1807" s="40" t="inlineStr">
        <is>
          <t>进港</t>
        </is>
      </c>
      <c r="D1807" s="24" t="inlineStr">
        <is>
          <t>件杂货</t>
        </is>
      </c>
      <c r="E1807" s="24" t="inlineStr">
        <is>
          <t>东亚</t>
        </is>
      </c>
      <c r="F1807" s="24" t="inlineStr">
        <is>
          <t>06号泊位</t>
        </is>
      </c>
      <c r="G1807" s="25" t="n">
        <v>5997</v>
      </c>
      <c r="H1807" s="41" t="n">
        <v>11.18</v>
      </c>
      <c r="I1807" s="41" t="n">
        <v>4.96</v>
      </c>
      <c r="J1807" s="41" t="n">
        <v>9.83</v>
      </c>
      <c r="K1807" s="25" t="n">
        <v>0</v>
      </c>
      <c r="L1807" s="26">
        <f>IF(H1807&lt;=J1807,1,0)</f>
        <v>0</v>
      </c>
    </row>
    <row r="1808">
      <c r="A1808" s="19" t="inlineStr">
        <is>
          <t>QL-301-1</t>
        </is>
      </c>
      <c r="B1808" s="36" t="n">
        <v>45958</v>
      </c>
      <c r="C1808" s="37" t="inlineStr">
        <is>
          <t>进港</t>
        </is>
      </c>
      <c r="D1808" s="19" t="inlineStr">
        <is>
          <t>集装箱货物</t>
        </is>
      </c>
      <c r="E1808" s="19" t="inlineStr">
        <is>
          <t>国内沿海</t>
        </is>
      </c>
      <c r="F1808" s="19" t="inlineStr">
        <is>
          <t>01号泊位</t>
        </is>
      </c>
      <c r="G1808" s="20" t="n">
        <v>7935</v>
      </c>
      <c r="H1808" s="38" t="n">
        <v>10.32</v>
      </c>
      <c r="I1808" s="38" t="n">
        <v>2.84</v>
      </c>
      <c r="J1808" s="38" t="n">
        <v>8.82</v>
      </c>
      <c r="K1808" s="20" t="n">
        <v>510</v>
      </c>
      <c r="L1808" s="26">
        <f>IF(H1808&lt;=J1808,1,0)</f>
        <v>0</v>
      </c>
    </row>
    <row r="1809">
      <c r="A1809" s="24" t="inlineStr">
        <is>
          <t>QL-301-2</t>
        </is>
      </c>
      <c r="B1809" s="39" t="n">
        <v>45958</v>
      </c>
      <c r="C1809" s="40" t="inlineStr">
        <is>
          <t>进港</t>
        </is>
      </c>
      <c r="D1809" s="24" t="inlineStr">
        <is>
          <t>金属矿石</t>
        </is>
      </c>
      <c r="E1809" s="24" t="inlineStr">
        <is>
          <t>东南亚</t>
        </is>
      </c>
      <c r="F1809" s="24" t="inlineStr">
        <is>
          <t>02号泊位</t>
        </is>
      </c>
      <c r="G1809" s="25" t="n">
        <v>26391</v>
      </c>
      <c r="H1809" s="41" t="n">
        <v>17.48</v>
      </c>
      <c r="I1809" s="41" t="n">
        <v>5.73</v>
      </c>
      <c r="J1809" s="41" t="n">
        <v>17.03</v>
      </c>
      <c r="K1809" s="25" t="n">
        <v>0</v>
      </c>
      <c r="L1809" s="26">
        <f>IF(H1809&lt;=J1809,1,0)</f>
        <v>0</v>
      </c>
    </row>
    <row r="1810">
      <c r="A1810" s="19" t="inlineStr">
        <is>
          <t>QL-301-3</t>
        </is>
      </c>
      <c r="B1810" s="36" t="n">
        <v>45958</v>
      </c>
      <c r="C1810" s="37" t="inlineStr">
        <is>
          <t>进港</t>
        </is>
      </c>
      <c r="D1810" s="19" t="inlineStr">
        <is>
          <t>煤炭</t>
        </is>
      </c>
      <c r="E1810" s="19" t="inlineStr">
        <is>
          <t>东南亚</t>
        </is>
      </c>
      <c r="F1810" s="19" t="inlineStr">
        <is>
          <t>03号泊位</t>
        </is>
      </c>
      <c r="G1810" s="20" t="n">
        <v>9431</v>
      </c>
      <c r="H1810" s="38" t="n">
        <v>6.89</v>
      </c>
      <c r="I1810" s="38" t="n">
        <v>1.75</v>
      </c>
      <c r="J1810" s="38" t="n">
        <v>7.14</v>
      </c>
      <c r="K1810" s="20" t="n">
        <v>0</v>
      </c>
      <c r="L1810" s="26">
        <f>IF(H1810&lt;=J1810,1,0)</f>
        <v>1</v>
      </c>
    </row>
    <row r="1811">
      <c r="A1811" s="24" t="inlineStr">
        <is>
          <t>QL-301-4</t>
        </is>
      </c>
      <c r="B1811" s="39" t="n">
        <v>45958</v>
      </c>
      <c r="C1811" s="40" t="inlineStr">
        <is>
          <t>出港</t>
        </is>
      </c>
      <c r="D1811" s="24" t="inlineStr">
        <is>
          <t>粮食</t>
        </is>
      </c>
      <c r="E1811" s="24" t="inlineStr">
        <is>
          <t>欧洲</t>
        </is>
      </c>
      <c r="F1811" s="24" t="inlineStr">
        <is>
          <t>04号泊位</t>
        </is>
      </c>
      <c r="G1811" s="25" t="n">
        <v>10602</v>
      </c>
      <c r="H1811" s="41" t="n">
        <v>9.32</v>
      </c>
      <c r="I1811" s="41" t="n">
        <v>2.62</v>
      </c>
      <c r="J1811" s="41" t="n">
        <v>10.39</v>
      </c>
      <c r="K1811" s="25" t="n">
        <v>0</v>
      </c>
      <c r="L1811" s="26">
        <f>IF(H1811&lt;=J1811,1,0)</f>
        <v>1</v>
      </c>
    </row>
    <row r="1812">
      <c r="A1812" s="19" t="inlineStr">
        <is>
          <t>QL-301-5</t>
        </is>
      </c>
      <c r="B1812" s="36" t="n">
        <v>45958</v>
      </c>
      <c r="C1812" s="37" t="inlineStr">
        <is>
          <t>出港</t>
        </is>
      </c>
      <c r="D1812" s="19" t="inlineStr">
        <is>
          <t>液体散货</t>
        </is>
      </c>
      <c r="E1812" s="19" t="inlineStr">
        <is>
          <t>欧洲</t>
        </is>
      </c>
      <c r="F1812" s="19" t="inlineStr">
        <is>
          <t>05号泊位</t>
        </is>
      </c>
      <c r="G1812" s="20" t="n">
        <v>16641</v>
      </c>
      <c r="H1812" s="38" t="n">
        <v>10.97</v>
      </c>
      <c r="I1812" s="38" t="n">
        <v>0.88</v>
      </c>
      <c r="J1812" s="38" t="n">
        <v>11.56</v>
      </c>
      <c r="K1812" s="20" t="n">
        <v>0</v>
      </c>
      <c r="L1812" s="26">
        <f>IF(H1812&lt;=J1812,1,0)</f>
        <v>1</v>
      </c>
    </row>
    <row r="1813">
      <c r="A1813" s="24" t="inlineStr">
        <is>
          <t>QL-301-6</t>
        </is>
      </c>
      <c r="B1813" s="39" t="n">
        <v>45958</v>
      </c>
      <c r="C1813" s="40" t="inlineStr">
        <is>
          <t>进港</t>
        </is>
      </c>
      <c r="D1813" s="24" t="inlineStr">
        <is>
          <t>件杂货</t>
        </is>
      </c>
      <c r="E1813" s="24" t="inlineStr">
        <is>
          <t>东亚</t>
        </is>
      </c>
      <c r="F1813" s="24" t="inlineStr">
        <is>
          <t>06号泊位</t>
        </is>
      </c>
      <c r="G1813" s="25" t="n">
        <v>4120</v>
      </c>
      <c r="H1813" s="41" t="n">
        <v>7.88</v>
      </c>
      <c r="I1813" s="41" t="n">
        <v>3.32</v>
      </c>
      <c r="J1813" s="41" t="n">
        <v>6.75</v>
      </c>
      <c r="K1813" s="25" t="n">
        <v>0</v>
      </c>
      <c r="L1813" s="26">
        <f>IF(H1813&lt;=J1813,1,0)</f>
        <v>0</v>
      </c>
    </row>
    <row r="1814">
      <c r="A1814" s="19" t="inlineStr">
        <is>
          <t>QL-302-1</t>
        </is>
      </c>
      <c r="B1814" s="36" t="n">
        <v>45959</v>
      </c>
      <c r="C1814" s="37" t="inlineStr">
        <is>
          <t>出港</t>
        </is>
      </c>
      <c r="D1814" s="19" t="inlineStr">
        <is>
          <t>集装箱货物</t>
        </is>
      </c>
      <c r="E1814" s="19" t="inlineStr">
        <is>
          <t>欧洲</t>
        </is>
      </c>
      <c r="F1814" s="19" t="inlineStr">
        <is>
          <t>01号泊位</t>
        </is>
      </c>
      <c r="G1814" s="20" t="n">
        <v>10317</v>
      </c>
      <c r="H1814" s="38" t="n">
        <v>12.74</v>
      </c>
      <c r="I1814" s="38" t="n">
        <v>2.5</v>
      </c>
      <c r="J1814" s="38" t="n">
        <v>11.46</v>
      </c>
      <c r="K1814" s="20" t="n">
        <v>620</v>
      </c>
      <c r="L1814" s="26">
        <f>IF(H1814&lt;=J1814,1,0)</f>
        <v>0</v>
      </c>
    </row>
    <row r="1815">
      <c r="A1815" s="24" t="inlineStr">
        <is>
          <t>QL-302-2</t>
        </is>
      </c>
      <c r="B1815" s="39" t="n">
        <v>45959</v>
      </c>
      <c r="C1815" s="40" t="inlineStr">
        <is>
          <t>进港</t>
        </is>
      </c>
      <c r="D1815" s="24" t="inlineStr">
        <is>
          <t>金属矿石</t>
        </is>
      </c>
      <c r="E1815" s="24" t="inlineStr">
        <is>
          <t>东亚</t>
        </is>
      </c>
      <c r="F1815" s="24" t="inlineStr">
        <is>
          <t>02号泊位</t>
        </is>
      </c>
      <c r="G1815" s="25" t="n">
        <v>22125</v>
      </c>
      <c r="H1815" s="41" t="n">
        <v>16.75</v>
      </c>
      <c r="I1815" s="41" t="n">
        <v>2.09</v>
      </c>
      <c r="J1815" s="41" t="n">
        <v>14.27</v>
      </c>
      <c r="K1815" s="25" t="n">
        <v>0</v>
      </c>
      <c r="L1815" s="26">
        <f>IF(H1815&lt;=J1815,1,0)</f>
        <v>0</v>
      </c>
    </row>
    <row r="1816">
      <c r="A1816" s="19" t="inlineStr">
        <is>
          <t>QL-302-3</t>
        </is>
      </c>
      <c r="B1816" s="36" t="n">
        <v>45959</v>
      </c>
      <c r="C1816" s="37" t="inlineStr">
        <is>
          <t>出港</t>
        </is>
      </c>
      <c r="D1816" s="19" t="inlineStr">
        <is>
          <t>煤炭</t>
        </is>
      </c>
      <c r="E1816" s="19" t="inlineStr">
        <is>
          <t>欧洲</t>
        </is>
      </c>
      <c r="F1816" s="19" t="inlineStr">
        <is>
          <t>03号泊位</t>
        </is>
      </c>
      <c r="G1816" s="20" t="n">
        <v>15828</v>
      </c>
      <c r="H1816" s="38" t="n">
        <v>10.6</v>
      </c>
      <c r="I1816" s="38" t="n">
        <v>2.97</v>
      </c>
      <c r="J1816" s="38" t="n">
        <v>11.99</v>
      </c>
      <c r="K1816" s="20" t="n">
        <v>0</v>
      </c>
      <c r="L1816" s="26">
        <f>IF(H1816&lt;=J1816,1,0)</f>
        <v>1</v>
      </c>
    </row>
    <row r="1817">
      <c r="A1817" s="24" t="inlineStr">
        <is>
          <t>QL-302-4</t>
        </is>
      </c>
      <c r="B1817" s="39" t="n">
        <v>45959</v>
      </c>
      <c r="C1817" s="40" t="inlineStr">
        <is>
          <t>进港</t>
        </is>
      </c>
      <c r="D1817" s="24" t="inlineStr">
        <is>
          <t>粮食</t>
        </is>
      </c>
      <c r="E1817" s="24" t="inlineStr">
        <is>
          <t>东亚</t>
        </is>
      </c>
      <c r="F1817" s="24" t="inlineStr">
        <is>
          <t>04号泊位</t>
        </is>
      </c>
      <c r="G1817" s="25" t="n">
        <v>10626</v>
      </c>
      <c r="H1817" s="41" t="n">
        <v>12</v>
      </c>
      <c r="I1817" s="41" t="n">
        <v>3.1</v>
      </c>
      <c r="J1817" s="41" t="n">
        <v>10.42</v>
      </c>
      <c r="K1817" s="25" t="n">
        <v>0</v>
      </c>
      <c r="L1817" s="26">
        <f>IF(H1817&lt;=J1817,1,0)</f>
        <v>0</v>
      </c>
    </row>
    <row r="1818">
      <c r="A1818" s="19" t="inlineStr">
        <is>
          <t>QL-302-5</t>
        </is>
      </c>
      <c r="B1818" s="36" t="n">
        <v>45959</v>
      </c>
      <c r="C1818" s="37" t="inlineStr">
        <is>
          <t>出港</t>
        </is>
      </c>
      <c r="D1818" s="19" t="inlineStr">
        <is>
          <t>液体散货</t>
        </is>
      </c>
      <c r="E1818" s="19" t="inlineStr">
        <is>
          <t>东南亚</t>
        </is>
      </c>
      <c r="F1818" s="19" t="inlineStr">
        <is>
          <t>05号泊位</t>
        </is>
      </c>
      <c r="G1818" s="20" t="n">
        <v>13655</v>
      </c>
      <c r="H1818" s="38" t="n">
        <v>9</v>
      </c>
      <c r="I1818" s="38" t="n">
        <v>5.16</v>
      </c>
      <c r="J1818" s="38" t="n">
        <v>9.48</v>
      </c>
      <c r="K1818" s="20" t="n">
        <v>0</v>
      </c>
      <c r="L1818" s="26">
        <f>IF(H1818&lt;=J1818,1,0)</f>
        <v>1</v>
      </c>
    </row>
    <row r="1819">
      <c r="A1819" s="24" t="inlineStr">
        <is>
          <t>QL-302-6</t>
        </is>
      </c>
      <c r="B1819" s="39" t="n">
        <v>45959</v>
      </c>
      <c r="C1819" s="40" t="inlineStr">
        <is>
          <t>进港</t>
        </is>
      </c>
      <c r="D1819" s="24" t="inlineStr">
        <is>
          <t>件杂货</t>
        </is>
      </c>
      <c r="E1819" s="24" t="inlineStr">
        <is>
          <t>国内沿海</t>
        </is>
      </c>
      <c r="F1819" s="24" t="inlineStr">
        <is>
          <t>06号泊位</t>
        </is>
      </c>
      <c r="G1819" s="25" t="n">
        <v>5301</v>
      </c>
      <c r="H1819" s="41" t="n">
        <v>10.42</v>
      </c>
      <c r="I1819" s="41" t="n">
        <v>2.27</v>
      </c>
      <c r="J1819" s="41" t="n">
        <v>8.69</v>
      </c>
      <c r="K1819" s="25" t="n">
        <v>0</v>
      </c>
      <c r="L1819" s="26">
        <f>IF(H1819&lt;=J1819,1,0)</f>
        <v>0</v>
      </c>
    </row>
    <row r="1820">
      <c r="A1820" s="19" t="inlineStr">
        <is>
          <t>QL-303-1</t>
        </is>
      </c>
      <c r="B1820" s="36" t="n">
        <v>45960</v>
      </c>
      <c r="C1820" s="37" t="inlineStr">
        <is>
          <t>进港</t>
        </is>
      </c>
      <c r="D1820" s="19" t="inlineStr">
        <is>
          <t>集装箱货物</t>
        </is>
      </c>
      <c r="E1820" s="19" t="inlineStr">
        <is>
          <t>东南亚</t>
        </is>
      </c>
      <c r="F1820" s="19" t="inlineStr">
        <is>
          <t>01号泊位</t>
        </is>
      </c>
      <c r="G1820" s="20" t="n">
        <v>7746</v>
      </c>
      <c r="H1820" s="38" t="n">
        <v>7.72</v>
      </c>
      <c r="I1820" s="38" t="n">
        <v>0.78</v>
      </c>
      <c r="J1820" s="38" t="n">
        <v>8.609999999999999</v>
      </c>
      <c r="K1820" s="20" t="n">
        <v>526</v>
      </c>
      <c r="L1820" s="26">
        <f>IF(H1820&lt;=J1820,1,0)</f>
        <v>1</v>
      </c>
    </row>
    <row r="1821">
      <c r="A1821" s="24" t="inlineStr">
        <is>
          <t>QL-303-2</t>
        </is>
      </c>
      <c r="B1821" s="39" t="n">
        <v>45960</v>
      </c>
      <c r="C1821" s="40" t="inlineStr">
        <is>
          <t>进港</t>
        </is>
      </c>
      <c r="D1821" s="24" t="inlineStr">
        <is>
          <t>金属矿石</t>
        </is>
      </c>
      <c r="E1821" s="24" t="inlineStr">
        <is>
          <t>国内沿海</t>
        </is>
      </c>
      <c r="F1821" s="24" t="inlineStr">
        <is>
          <t>02号泊位</t>
        </is>
      </c>
      <c r="G1821" s="25" t="n">
        <v>28092</v>
      </c>
      <c r="H1821" s="41" t="n">
        <v>20.59</v>
      </c>
      <c r="I1821" s="41" t="n">
        <v>1.43</v>
      </c>
      <c r="J1821" s="41" t="n">
        <v>18.12</v>
      </c>
      <c r="K1821" s="25" t="n">
        <v>0</v>
      </c>
      <c r="L1821" s="26">
        <f>IF(H1821&lt;=J1821,1,0)</f>
        <v>0</v>
      </c>
    </row>
    <row r="1822">
      <c r="A1822" s="19" t="inlineStr">
        <is>
          <t>QL-303-3</t>
        </is>
      </c>
      <c r="B1822" s="36" t="n">
        <v>45960</v>
      </c>
      <c r="C1822" s="37" t="inlineStr">
        <is>
          <t>进港</t>
        </is>
      </c>
      <c r="D1822" s="19" t="inlineStr">
        <is>
          <t>煤炭</t>
        </is>
      </c>
      <c r="E1822" s="19" t="inlineStr">
        <is>
          <t>东南亚</t>
        </is>
      </c>
      <c r="F1822" s="19" t="inlineStr">
        <is>
          <t>03号泊位</t>
        </is>
      </c>
      <c r="G1822" s="20" t="n">
        <v>11925</v>
      </c>
      <c r="H1822" s="38" t="n">
        <v>9.58</v>
      </c>
      <c r="I1822" s="38" t="n">
        <v>0.41</v>
      </c>
      <c r="J1822" s="38" t="n">
        <v>9.029999999999999</v>
      </c>
      <c r="K1822" s="20" t="n">
        <v>0</v>
      </c>
      <c r="L1822" s="26">
        <f>IF(H1822&lt;=J1822,1,0)</f>
        <v>0</v>
      </c>
    </row>
    <row r="1823">
      <c r="A1823" s="24" t="inlineStr">
        <is>
          <t>QL-303-4</t>
        </is>
      </c>
      <c r="B1823" s="39" t="n">
        <v>45960</v>
      </c>
      <c r="C1823" s="40" t="inlineStr">
        <is>
          <t>进港</t>
        </is>
      </c>
      <c r="D1823" s="24" t="inlineStr">
        <is>
          <t>粮食</t>
        </is>
      </c>
      <c r="E1823" s="24" t="inlineStr">
        <is>
          <t>东亚</t>
        </is>
      </c>
      <c r="F1823" s="24" t="inlineStr">
        <is>
          <t>04号泊位</t>
        </is>
      </c>
      <c r="G1823" s="25" t="n">
        <v>6480</v>
      </c>
      <c r="H1823" s="41" t="n">
        <v>5.29</v>
      </c>
      <c r="I1823" s="41" t="n">
        <v>1.63</v>
      </c>
      <c r="J1823" s="41" t="n">
        <v>6.35</v>
      </c>
      <c r="K1823" s="25" t="n">
        <v>0</v>
      </c>
      <c r="L1823" s="26">
        <f>IF(H1823&lt;=J1823,1,0)</f>
        <v>1</v>
      </c>
    </row>
    <row r="1824">
      <c r="A1824" s="19" t="inlineStr">
        <is>
          <t>QL-303-5</t>
        </is>
      </c>
      <c r="B1824" s="36" t="n">
        <v>45960</v>
      </c>
      <c r="C1824" s="37" t="inlineStr">
        <is>
          <t>进港</t>
        </is>
      </c>
      <c r="D1824" s="19" t="inlineStr">
        <is>
          <t>液体散货</t>
        </is>
      </c>
      <c r="E1824" s="19" t="inlineStr">
        <is>
          <t>东南亚</t>
        </is>
      </c>
      <c r="F1824" s="19" t="inlineStr">
        <is>
          <t>05号泊位</t>
        </is>
      </c>
      <c r="G1824" s="20" t="n">
        <v>15775</v>
      </c>
      <c r="H1824" s="38" t="n">
        <v>11.65</v>
      </c>
      <c r="I1824" s="38" t="n">
        <v>2.05</v>
      </c>
      <c r="J1824" s="38" t="n">
        <v>10.95</v>
      </c>
      <c r="K1824" s="20" t="n">
        <v>0</v>
      </c>
      <c r="L1824" s="26">
        <f>IF(H1824&lt;=J1824,1,0)</f>
        <v>0</v>
      </c>
    </row>
    <row r="1825">
      <c r="A1825" s="24" t="inlineStr">
        <is>
          <t>QL-303-6</t>
        </is>
      </c>
      <c r="B1825" s="39" t="n">
        <v>45960</v>
      </c>
      <c r="C1825" s="40" t="inlineStr">
        <is>
          <t>出港</t>
        </is>
      </c>
      <c r="D1825" s="24" t="inlineStr">
        <is>
          <t>件杂货</t>
        </is>
      </c>
      <c r="E1825" s="24" t="inlineStr">
        <is>
          <t>欧洲</t>
        </is>
      </c>
      <c r="F1825" s="24" t="inlineStr">
        <is>
          <t>06号泊位</t>
        </is>
      </c>
      <c r="G1825" s="25" t="n">
        <v>6495</v>
      </c>
      <c r="H1825" s="41" t="n">
        <v>9.9</v>
      </c>
      <c r="I1825" s="41" t="n">
        <v>1.25</v>
      </c>
      <c r="J1825" s="41" t="n">
        <v>10.65</v>
      </c>
      <c r="K1825" s="25" t="n">
        <v>0</v>
      </c>
      <c r="L1825" s="26">
        <f>IF(H1825&lt;=J1825,1,0)</f>
        <v>1</v>
      </c>
    </row>
    <row r="1826">
      <c r="A1826" s="19" t="inlineStr">
        <is>
          <t>QL-304-1</t>
        </is>
      </c>
      <c r="B1826" s="36" t="n">
        <v>45961</v>
      </c>
      <c r="C1826" s="37" t="inlineStr">
        <is>
          <t>进港</t>
        </is>
      </c>
      <c r="D1826" s="19" t="inlineStr">
        <is>
          <t>集装箱货物</t>
        </is>
      </c>
      <c r="E1826" s="19" t="inlineStr">
        <is>
          <t>东南亚</t>
        </is>
      </c>
      <c r="F1826" s="19" t="inlineStr">
        <is>
          <t>01号泊位</t>
        </is>
      </c>
      <c r="G1826" s="20" t="n">
        <v>9775</v>
      </c>
      <c r="H1826" s="38" t="n">
        <v>11.67</v>
      </c>
      <c r="I1826" s="38" t="n">
        <v>0.3</v>
      </c>
      <c r="J1826" s="38" t="n">
        <v>10.86</v>
      </c>
      <c r="K1826" s="20" t="n">
        <v>780</v>
      </c>
      <c r="L1826" s="26">
        <f>IF(H1826&lt;=J1826,1,0)</f>
        <v>0</v>
      </c>
    </row>
    <row r="1827">
      <c r="A1827" s="24" t="inlineStr">
        <is>
          <t>QL-304-2</t>
        </is>
      </c>
      <c r="B1827" s="39" t="n">
        <v>45961</v>
      </c>
      <c r="C1827" s="40" t="inlineStr">
        <is>
          <t>进港</t>
        </is>
      </c>
      <c r="D1827" s="24" t="inlineStr">
        <is>
          <t>金属矿石</t>
        </is>
      </c>
      <c r="E1827" s="24" t="inlineStr">
        <is>
          <t>东南亚</t>
        </is>
      </c>
      <c r="F1827" s="24" t="inlineStr">
        <is>
          <t>02号泊位</t>
        </is>
      </c>
      <c r="G1827" s="25" t="n">
        <v>28489</v>
      </c>
      <c r="H1827" s="41" t="n">
        <v>17.08</v>
      </c>
      <c r="I1827" s="41" t="n">
        <v>0.31</v>
      </c>
      <c r="J1827" s="41" t="n">
        <v>18.38</v>
      </c>
      <c r="K1827" s="25" t="n">
        <v>0</v>
      </c>
      <c r="L1827" s="26">
        <f>IF(H1827&lt;=J1827,1,0)</f>
        <v>1</v>
      </c>
    </row>
    <row r="1828">
      <c r="A1828" s="19" t="inlineStr">
        <is>
          <t>QL-304-3</t>
        </is>
      </c>
      <c r="B1828" s="36" t="n">
        <v>45961</v>
      </c>
      <c r="C1828" s="37" t="inlineStr">
        <is>
          <t>进港</t>
        </is>
      </c>
      <c r="D1828" s="19" t="inlineStr">
        <is>
          <t>煤炭</t>
        </is>
      </c>
      <c r="E1828" s="19" t="inlineStr">
        <is>
          <t>国内沿海</t>
        </is>
      </c>
      <c r="F1828" s="19" t="inlineStr">
        <is>
          <t>03号泊位</t>
        </is>
      </c>
      <c r="G1828" s="20" t="n">
        <v>17017</v>
      </c>
      <c r="H1828" s="38" t="n">
        <v>13.72</v>
      </c>
      <c r="I1828" s="38" t="n">
        <v>3.1</v>
      </c>
      <c r="J1828" s="38" t="n">
        <v>12.89</v>
      </c>
      <c r="K1828" s="20" t="n">
        <v>0</v>
      </c>
      <c r="L1828" s="26">
        <f>IF(H1828&lt;=J1828,1,0)</f>
        <v>0</v>
      </c>
    </row>
    <row r="1829">
      <c r="A1829" s="24" t="inlineStr">
        <is>
          <t>QL-304-4</t>
        </is>
      </c>
      <c r="B1829" s="39" t="n">
        <v>45961</v>
      </c>
      <c r="C1829" s="40" t="inlineStr">
        <is>
          <t>出港</t>
        </is>
      </c>
      <c r="D1829" s="24" t="inlineStr">
        <is>
          <t>粮食</t>
        </is>
      </c>
      <c r="E1829" s="24" t="inlineStr">
        <is>
          <t>欧洲</t>
        </is>
      </c>
      <c r="F1829" s="24" t="inlineStr">
        <is>
          <t>04号泊位</t>
        </is>
      </c>
      <c r="G1829" s="25" t="n">
        <v>11673</v>
      </c>
      <c r="H1829" s="41" t="n">
        <v>12.34</v>
      </c>
      <c r="I1829" s="41" t="n">
        <v>0.51</v>
      </c>
      <c r="J1829" s="41" t="n">
        <v>11.44</v>
      </c>
      <c r="K1829" s="25" t="n">
        <v>0</v>
      </c>
      <c r="L1829" s="26">
        <f>IF(H1829&lt;=J1829,1,0)</f>
        <v>0</v>
      </c>
    </row>
    <row r="1830">
      <c r="A1830" s="19" t="inlineStr">
        <is>
          <t>QL-304-5</t>
        </is>
      </c>
      <c r="B1830" s="36" t="n">
        <v>45961</v>
      </c>
      <c r="C1830" s="37" t="inlineStr">
        <is>
          <t>出港</t>
        </is>
      </c>
      <c r="D1830" s="19" t="inlineStr">
        <is>
          <t>液体散货</t>
        </is>
      </c>
      <c r="E1830" s="19" t="inlineStr">
        <is>
          <t>东亚</t>
        </is>
      </c>
      <c r="F1830" s="19" t="inlineStr">
        <is>
          <t>05号泊位</t>
        </is>
      </c>
      <c r="G1830" s="20" t="n">
        <v>11833</v>
      </c>
      <c r="H1830" s="38" t="n">
        <v>7.79</v>
      </c>
      <c r="I1830" s="38" t="n">
        <v>2.16</v>
      </c>
      <c r="J1830" s="38" t="n">
        <v>8.220000000000001</v>
      </c>
      <c r="K1830" s="20" t="n">
        <v>0</v>
      </c>
      <c r="L1830" s="26">
        <f>IF(H1830&lt;=J1830,1,0)</f>
        <v>1</v>
      </c>
    </row>
    <row r="1831">
      <c r="A1831" s="24" t="inlineStr">
        <is>
          <t>QL-304-6</t>
        </is>
      </c>
      <c r="B1831" s="39" t="n">
        <v>45961</v>
      </c>
      <c r="C1831" s="40" t="inlineStr">
        <is>
          <t>出港</t>
        </is>
      </c>
      <c r="D1831" s="24" t="inlineStr">
        <is>
          <t>件杂货</t>
        </is>
      </c>
      <c r="E1831" s="24" t="inlineStr">
        <is>
          <t>北美</t>
        </is>
      </c>
      <c r="F1831" s="24" t="inlineStr">
        <is>
          <t>06号泊位</t>
        </is>
      </c>
      <c r="G1831" s="25" t="n">
        <v>7521</v>
      </c>
      <c r="H1831" s="41" t="n">
        <v>13.89</v>
      </c>
      <c r="I1831" s="41" t="n">
        <v>0.85</v>
      </c>
      <c r="J1831" s="41" t="n">
        <v>12.33</v>
      </c>
      <c r="K1831" s="25" t="n">
        <v>0</v>
      </c>
      <c r="L1831" s="26">
        <f>IF(H1831&lt;=J1831,1,0)</f>
        <v>0</v>
      </c>
    </row>
    <row r="1832">
      <c r="A1832" s="19" t="inlineStr">
        <is>
          <t>QL-305-1</t>
        </is>
      </c>
      <c r="B1832" s="36" t="n">
        <v>45962</v>
      </c>
      <c r="C1832" s="37" t="inlineStr">
        <is>
          <t>进港</t>
        </is>
      </c>
      <c r="D1832" s="19" t="inlineStr">
        <is>
          <t>集装箱货物</t>
        </is>
      </c>
      <c r="E1832" s="19" t="inlineStr">
        <is>
          <t>东南亚</t>
        </is>
      </c>
      <c r="F1832" s="19" t="inlineStr">
        <is>
          <t>01号泊位</t>
        </is>
      </c>
      <c r="G1832" s="20" t="n">
        <v>12672</v>
      </c>
      <c r="H1832" s="38" t="n">
        <v>13.15</v>
      </c>
      <c r="I1832" s="38" t="n">
        <v>3.58</v>
      </c>
      <c r="J1832" s="38" t="n">
        <v>14.08</v>
      </c>
      <c r="K1832" s="20" t="n">
        <v>785</v>
      </c>
      <c r="L1832" s="26">
        <f>IF(H1832&lt;=J1832,1,0)</f>
        <v>1</v>
      </c>
    </row>
    <row r="1833">
      <c r="A1833" s="24" t="inlineStr">
        <is>
          <t>QL-305-2</t>
        </is>
      </c>
      <c r="B1833" s="39" t="n">
        <v>45962</v>
      </c>
      <c r="C1833" s="40" t="inlineStr">
        <is>
          <t>进港</t>
        </is>
      </c>
      <c r="D1833" s="24" t="inlineStr">
        <is>
          <t>金属矿石</t>
        </is>
      </c>
      <c r="E1833" s="24" t="inlineStr">
        <is>
          <t>东南亚</t>
        </is>
      </c>
      <c r="F1833" s="24" t="inlineStr">
        <is>
          <t>02号泊位</t>
        </is>
      </c>
      <c r="G1833" s="25" t="n">
        <v>19152</v>
      </c>
      <c r="H1833" s="41" t="n">
        <v>11.83</v>
      </c>
      <c r="I1833" s="41" t="n">
        <v>5.81</v>
      </c>
      <c r="J1833" s="41" t="n">
        <v>12.36</v>
      </c>
      <c r="K1833" s="25" t="n">
        <v>0</v>
      </c>
      <c r="L1833" s="26">
        <f>IF(H1833&lt;=J1833,1,0)</f>
        <v>1</v>
      </c>
    </row>
    <row r="1834">
      <c r="A1834" s="19" t="inlineStr">
        <is>
          <t>QL-305-3</t>
        </is>
      </c>
      <c r="B1834" s="36" t="n">
        <v>45962</v>
      </c>
      <c r="C1834" s="37" t="inlineStr">
        <is>
          <t>进港</t>
        </is>
      </c>
      <c r="D1834" s="19" t="inlineStr">
        <is>
          <t>煤炭</t>
        </is>
      </c>
      <c r="E1834" s="19" t="inlineStr">
        <is>
          <t>东南亚</t>
        </is>
      </c>
      <c r="F1834" s="19" t="inlineStr">
        <is>
          <t>03号泊位</t>
        </is>
      </c>
      <c r="G1834" s="20" t="n">
        <v>16008</v>
      </c>
      <c r="H1834" s="38" t="n">
        <v>10.47</v>
      </c>
      <c r="I1834" s="38" t="n">
        <v>0.93</v>
      </c>
      <c r="J1834" s="38" t="n">
        <v>12.13</v>
      </c>
      <c r="K1834" s="20" t="n">
        <v>0</v>
      </c>
      <c r="L1834" s="26">
        <f>IF(H1834&lt;=J1834,1,0)</f>
        <v>1</v>
      </c>
    </row>
    <row r="1835">
      <c r="A1835" s="24" t="inlineStr">
        <is>
          <t>QL-305-4</t>
        </is>
      </c>
      <c r="B1835" s="39" t="n">
        <v>45962</v>
      </c>
      <c r="C1835" s="40" t="inlineStr">
        <is>
          <t>进港</t>
        </is>
      </c>
      <c r="D1835" s="24" t="inlineStr">
        <is>
          <t>粮食</t>
        </is>
      </c>
      <c r="E1835" s="24" t="inlineStr">
        <is>
          <t>国内沿海</t>
        </is>
      </c>
      <c r="F1835" s="24" t="inlineStr">
        <is>
          <t>04号泊位</t>
        </is>
      </c>
      <c r="G1835" s="25" t="n">
        <v>8761</v>
      </c>
      <c r="H1835" s="41" t="n">
        <v>7.46</v>
      </c>
      <c r="I1835" s="41" t="n">
        <v>1.18</v>
      </c>
      <c r="J1835" s="41" t="n">
        <v>8.59</v>
      </c>
      <c r="K1835" s="25" t="n">
        <v>0</v>
      </c>
      <c r="L1835" s="26">
        <f>IF(H1835&lt;=J1835,1,0)</f>
        <v>1</v>
      </c>
    </row>
    <row r="1836">
      <c r="A1836" s="19" t="inlineStr">
        <is>
          <t>QL-305-5</t>
        </is>
      </c>
      <c r="B1836" s="36" t="n">
        <v>45962</v>
      </c>
      <c r="C1836" s="37" t="inlineStr">
        <is>
          <t>进港</t>
        </is>
      </c>
      <c r="D1836" s="19" t="inlineStr">
        <is>
          <t>液体散货</t>
        </is>
      </c>
      <c r="E1836" s="19" t="inlineStr">
        <is>
          <t>欧洲</t>
        </is>
      </c>
      <c r="F1836" s="19" t="inlineStr">
        <is>
          <t>05号泊位</t>
        </is>
      </c>
      <c r="G1836" s="20" t="n">
        <v>9293</v>
      </c>
      <c r="H1836" s="38" t="n">
        <v>6.99</v>
      </c>
      <c r="I1836" s="38" t="n">
        <v>0.37</v>
      </c>
      <c r="J1836" s="38" t="n">
        <v>6.45</v>
      </c>
      <c r="K1836" s="20" t="n">
        <v>0</v>
      </c>
      <c r="L1836" s="26">
        <f>IF(H1836&lt;=J1836,1,0)</f>
        <v>0</v>
      </c>
    </row>
    <row r="1837">
      <c r="A1837" s="24" t="inlineStr">
        <is>
          <t>QL-305-6</t>
        </is>
      </c>
      <c r="B1837" s="39" t="n">
        <v>45962</v>
      </c>
      <c r="C1837" s="40" t="inlineStr">
        <is>
          <t>出港</t>
        </is>
      </c>
      <c r="D1837" s="24" t="inlineStr">
        <is>
          <t>件杂货</t>
        </is>
      </c>
      <c r="E1837" s="24" t="inlineStr">
        <is>
          <t>东南亚</t>
        </is>
      </c>
      <c r="F1837" s="24" t="inlineStr">
        <is>
          <t>06号泊位</t>
        </is>
      </c>
      <c r="G1837" s="25" t="n">
        <v>4554</v>
      </c>
      <c r="H1837" s="41" t="n">
        <v>6.73</v>
      </c>
      <c r="I1837" s="41" t="n">
        <v>4.1</v>
      </c>
      <c r="J1837" s="41" t="n">
        <v>7.47</v>
      </c>
      <c r="K1837" s="25" t="n">
        <v>0</v>
      </c>
      <c r="L1837" s="26">
        <f>IF(H1837&lt;=J1837,1,0)</f>
        <v>1</v>
      </c>
    </row>
    <row r="1838">
      <c r="A1838" s="19" t="inlineStr">
        <is>
          <t>QL-306-1</t>
        </is>
      </c>
      <c r="B1838" s="36" t="n">
        <v>45963</v>
      </c>
      <c r="C1838" s="37" t="inlineStr">
        <is>
          <t>进港</t>
        </is>
      </c>
      <c r="D1838" s="19" t="inlineStr">
        <is>
          <t>集装箱货物</t>
        </is>
      </c>
      <c r="E1838" s="19" t="inlineStr">
        <is>
          <t>东南亚</t>
        </is>
      </c>
      <c r="F1838" s="19" t="inlineStr">
        <is>
          <t>01号泊位</t>
        </is>
      </c>
      <c r="G1838" s="20" t="n">
        <v>10297</v>
      </c>
      <c r="H1838" s="38" t="n">
        <v>13.11</v>
      </c>
      <c r="I1838" s="38" t="n">
        <v>0.3</v>
      </c>
      <c r="J1838" s="38" t="n">
        <v>11.44</v>
      </c>
      <c r="K1838" s="20" t="n">
        <v>720</v>
      </c>
      <c r="L1838" s="26">
        <f>IF(H1838&lt;=J1838,1,0)</f>
        <v>0</v>
      </c>
    </row>
    <row r="1839">
      <c r="A1839" s="24" t="inlineStr">
        <is>
          <t>QL-306-2</t>
        </is>
      </c>
      <c r="B1839" s="39" t="n">
        <v>45963</v>
      </c>
      <c r="C1839" s="40" t="inlineStr">
        <is>
          <t>出港</t>
        </is>
      </c>
      <c r="D1839" s="24" t="inlineStr">
        <is>
          <t>金属矿石</t>
        </is>
      </c>
      <c r="E1839" s="24" t="inlineStr">
        <is>
          <t>东亚</t>
        </is>
      </c>
      <c r="F1839" s="24" t="inlineStr">
        <is>
          <t>02号泊位</t>
        </is>
      </c>
      <c r="G1839" s="25" t="n">
        <v>17764</v>
      </c>
      <c r="H1839" s="41" t="n">
        <v>10.22</v>
      </c>
      <c r="I1839" s="41" t="n">
        <v>2.56</v>
      </c>
      <c r="J1839" s="41" t="n">
        <v>11.46</v>
      </c>
      <c r="K1839" s="25" t="n">
        <v>0</v>
      </c>
      <c r="L1839" s="26">
        <f>IF(H1839&lt;=J1839,1,0)</f>
        <v>1</v>
      </c>
    </row>
    <row r="1840">
      <c r="A1840" s="19" t="inlineStr">
        <is>
          <t>QL-306-3</t>
        </is>
      </c>
      <c r="B1840" s="36" t="n">
        <v>45963</v>
      </c>
      <c r="C1840" s="37" t="inlineStr">
        <is>
          <t>进港</t>
        </is>
      </c>
      <c r="D1840" s="19" t="inlineStr">
        <is>
          <t>煤炭</t>
        </is>
      </c>
      <c r="E1840" s="19" t="inlineStr">
        <is>
          <t>东南亚</t>
        </is>
      </c>
      <c r="F1840" s="19" t="inlineStr">
        <is>
          <t>03号泊位</t>
        </is>
      </c>
      <c r="G1840" s="20" t="n">
        <v>10482</v>
      </c>
      <c r="H1840" s="38" t="n">
        <v>7.65</v>
      </c>
      <c r="I1840" s="38" t="n">
        <v>4.67</v>
      </c>
      <c r="J1840" s="38" t="n">
        <v>7.94</v>
      </c>
      <c r="K1840" s="20" t="n">
        <v>0</v>
      </c>
      <c r="L1840" s="26">
        <f>IF(H1840&lt;=J1840,1,0)</f>
        <v>1</v>
      </c>
    </row>
    <row r="1841">
      <c r="A1841" s="24" t="inlineStr">
        <is>
          <t>QL-306-4</t>
        </is>
      </c>
      <c r="B1841" s="39" t="n">
        <v>45963</v>
      </c>
      <c r="C1841" s="40" t="inlineStr">
        <is>
          <t>进港</t>
        </is>
      </c>
      <c r="D1841" s="24" t="inlineStr">
        <is>
          <t>粮食</t>
        </is>
      </c>
      <c r="E1841" s="24" t="inlineStr">
        <is>
          <t>北美</t>
        </is>
      </c>
      <c r="F1841" s="24" t="inlineStr">
        <is>
          <t>04号泊位</t>
        </is>
      </c>
      <c r="G1841" s="25" t="n">
        <v>6782</v>
      </c>
      <c r="H1841" s="41" t="n">
        <v>5.43</v>
      </c>
      <c r="I1841" s="41" t="n">
        <v>4.14</v>
      </c>
      <c r="J1841" s="41" t="n">
        <v>6.65</v>
      </c>
      <c r="K1841" s="25" t="n">
        <v>0</v>
      </c>
      <c r="L1841" s="26">
        <f>IF(H1841&lt;=J1841,1,0)</f>
        <v>1</v>
      </c>
    </row>
    <row r="1842">
      <c r="A1842" s="19" t="inlineStr">
        <is>
          <t>QL-306-5</t>
        </is>
      </c>
      <c r="B1842" s="36" t="n">
        <v>45963</v>
      </c>
      <c r="C1842" s="37" t="inlineStr">
        <is>
          <t>出港</t>
        </is>
      </c>
      <c r="D1842" s="19" t="inlineStr">
        <is>
          <t>液体散货</t>
        </is>
      </c>
      <c r="E1842" s="19" t="inlineStr">
        <is>
          <t>东南亚</t>
        </is>
      </c>
      <c r="F1842" s="19" t="inlineStr">
        <is>
          <t>05号泊位</t>
        </is>
      </c>
      <c r="G1842" s="20" t="n">
        <v>10143</v>
      </c>
      <c r="H1842" s="38" t="n">
        <v>5.73</v>
      </c>
      <c r="I1842" s="38" t="n">
        <v>3.28</v>
      </c>
      <c r="J1842" s="38" t="n">
        <v>7.04</v>
      </c>
      <c r="K1842" s="20" t="n">
        <v>0</v>
      </c>
      <c r="L1842" s="26">
        <f>IF(H1842&lt;=J1842,1,0)</f>
        <v>1</v>
      </c>
    </row>
    <row r="1843">
      <c r="A1843" s="24" t="inlineStr">
        <is>
          <t>QL-306-6</t>
        </is>
      </c>
      <c r="B1843" s="39" t="n">
        <v>45963</v>
      </c>
      <c r="C1843" s="40" t="inlineStr">
        <is>
          <t>出港</t>
        </is>
      </c>
      <c r="D1843" s="24" t="inlineStr">
        <is>
          <t>件杂货</t>
        </is>
      </c>
      <c r="E1843" s="24" t="inlineStr">
        <is>
          <t>欧洲</t>
        </is>
      </c>
      <c r="F1843" s="24" t="inlineStr">
        <is>
          <t>06号泊位</t>
        </is>
      </c>
      <c r="G1843" s="25" t="n">
        <v>5447</v>
      </c>
      <c r="H1843" s="41" t="n">
        <v>8.06</v>
      </c>
      <c r="I1843" s="41" t="n">
        <v>1.13</v>
      </c>
      <c r="J1843" s="41" t="n">
        <v>8.93</v>
      </c>
      <c r="K1843" s="25" t="n">
        <v>0</v>
      </c>
      <c r="L1843" s="26">
        <f>IF(H1843&lt;=J1843,1,0)</f>
        <v>1</v>
      </c>
    </row>
    <row r="1844">
      <c r="A1844" s="19" t="inlineStr">
        <is>
          <t>QL-307-1</t>
        </is>
      </c>
      <c r="B1844" s="36" t="n">
        <v>45964</v>
      </c>
      <c r="C1844" s="37" t="inlineStr">
        <is>
          <t>出港</t>
        </is>
      </c>
      <c r="D1844" s="19" t="inlineStr">
        <is>
          <t>集装箱货物</t>
        </is>
      </c>
      <c r="E1844" s="19" t="inlineStr">
        <is>
          <t>欧洲</t>
        </is>
      </c>
      <c r="F1844" s="19" t="inlineStr">
        <is>
          <t>01号泊位</t>
        </is>
      </c>
      <c r="G1844" s="20" t="n">
        <v>8788</v>
      </c>
      <c r="H1844" s="38" t="n">
        <v>8.609999999999999</v>
      </c>
      <c r="I1844" s="38" t="n">
        <v>2.03</v>
      </c>
      <c r="J1844" s="38" t="n">
        <v>9.76</v>
      </c>
      <c r="K1844" s="20" t="n">
        <v>541</v>
      </c>
      <c r="L1844" s="26">
        <f>IF(H1844&lt;=J1844,1,0)</f>
        <v>1</v>
      </c>
    </row>
    <row r="1845">
      <c r="A1845" s="24" t="inlineStr">
        <is>
          <t>QL-307-2</t>
        </is>
      </c>
      <c r="B1845" s="39" t="n">
        <v>45964</v>
      </c>
      <c r="C1845" s="40" t="inlineStr">
        <is>
          <t>进港</t>
        </is>
      </c>
      <c r="D1845" s="24" t="inlineStr">
        <is>
          <t>金属矿石</t>
        </is>
      </c>
      <c r="E1845" s="24" t="inlineStr">
        <is>
          <t>东南亚</t>
        </is>
      </c>
      <c r="F1845" s="24" t="inlineStr">
        <is>
          <t>02号泊位</t>
        </is>
      </c>
      <c r="G1845" s="25" t="n">
        <v>13407</v>
      </c>
      <c r="H1845" s="41" t="n">
        <v>9.17</v>
      </c>
      <c r="I1845" s="41" t="n">
        <v>0.33</v>
      </c>
      <c r="J1845" s="41" t="n">
        <v>8.65</v>
      </c>
      <c r="K1845" s="25" t="n">
        <v>0</v>
      </c>
      <c r="L1845" s="26">
        <f>IF(H1845&lt;=J1845,1,0)</f>
        <v>0</v>
      </c>
    </row>
    <row r="1846">
      <c r="A1846" s="19" t="inlineStr">
        <is>
          <t>QL-307-3</t>
        </is>
      </c>
      <c r="B1846" s="36" t="n">
        <v>45964</v>
      </c>
      <c r="C1846" s="37" t="inlineStr">
        <is>
          <t>进港</t>
        </is>
      </c>
      <c r="D1846" s="19" t="inlineStr">
        <is>
          <t>煤炭</t>
        </is>
      </c>
      <c r="E1846" s="19" t="inlineStr">
        <is>
          <t>国内沿海</t>
        </is>
      </c>
      <c r="F1846" s="19" t="inlineStr">
        <is>
          <t>03号泊位</t>
        </is>
      </c>
      <c r="G1846" s="20" t="n">
        <v>15212</v>
      </c>
      <c r="H1846" s="38" t="n">
        <v>11.38</v>
      </c>
      <c r="I1846" s="38" t="n">
        <v>2.61</v>
      </c>
      <c r="J1846" s="38" t="n">
        <v>11.52</v>
      </c>
      <c r="K1846" s="20" t="n">
        <v>0</v>
      </c>
      <c r="L1846" s="26">
        <f>IF(H1846&lt;=J1846,1,0)</f>
        <v>1</v>
      </c>
    </row>
    <row r="1847">
      <c r="A1847" s="24" t="inlineStr">
        <is>
          <t>QL-307-4</t>
        </is>
      </c>
      <c r="B1847" s="39" t="n">
        <v>45964</v>
      </c>
      <c r="C1847" s="40" t="inlineStr">
        <is>
          <t>进港</t>
        </is>
      </c>
      <c r="D1847" s="24" t="inlineStr">
        <is>
          <t>粮食</t>
        </is>
      </c>
      <c r="E1847" s="24" t="inlineStr">
        <is>
          <t>北美</t>
        </is>
      </c>
      <c r="F1847" s="24" t="inlineStr">
        <is>
          <t>04号泊位</t>
        </is>
      </c>
      <c r="G1847" s="25" t="n">
        <v>10821</v>
      </c>
      <c r="H1847" s="41" t="n">
        <v>8.83</v>
      </c>
      <c r="I1847" s="41" t="n">
        <v>0.98</v>
      </c>
      <c r="J1847" s="41" t="n">
        <v>10.61</v>
      </c>
      <c r="K1847" s="25" t="n">
        <v>0</v>
      </c>
      <c r="L1847" s="26">
        <f>IF(H1847&lt;=J1847,1,0)</f>
        <v>1</v>
      </c>
    </row>
    <row r="1848">
      <c r="A1848" s="19" t="inlineStr">
        <is>
          <t>QL-307-5</t>
        </is>
      </c>
      <c r="B1848" s="36" t="n">
        <v>45964</v>
      </c>
      <c r="C1848" s="37" t="inlineStr">
        <is>
          <t>进港</t>
        </is>
      </c>
      <c r="D1848" s="19" t="inlineStr">
        <is>
          <t>液体散货</t>
        </is>
      </c>
      <c r="E1848" s="19" t="inlineStr">
        <is>
          <t>国内沿海</t>
        </is>
      </c>
      <c r="F1848" s="19" t="inlineStr">
        <is>
          <t>05号泊位</t>
        </is>
      </c>
      <c r="G1848" s="20" t="n">
        <v>9538</v>
      </c>
      <c r="H1848" s="38" t="n">
        <v>5.95</v>
      </c>
      <c r="I1848" s="38" t="n">
        <v>0.38</v>
      </c>
      <c r="J1848" s="38" t="n">
        <v>6.62</v>
      </c>
      <c r="K1848" s="20" t="n">
        <v>0</v>
      </c>
      <c r="L1848" s="26">
        <f>IF(H1848&lt;=J1848,1,0)</f>
        <v>1</v>
      </c>
    </row>
    <row r="1849">
      <c r="A1849" s="24" t="inlineStr">
        <is>
          <t>QL-307-6</t>
        </is>
      </c>
      <c r="B1849" s="39" t="n">
        <v>45964</v>
      </c>
      <c r="C1849" s="40" t="inlineStr">
        <is>
          <t>进港</t>
        </is>
      </c>
      <c r="D1849" s="24" t="inlineStr">
        <is>
          <t>件杂货</t>
        </is>
      </c>
      <c r="E1849" s="24" t="inlineStr">
        <is>
          <t>北美</t>
        </is>
      </c>
      <c r="F1849" s="24" t="inlineStr">
        <is>
          <t>06号泊位</t>
        </is>
      </c>
      <c r="G1849" s="25" t="n">
        <v>4928</v>
      </c>
      <c r="H1849" s="41" t="n">
        <v>7.48</v>
      </c>
      <c r="I1849" s="41" t="n">
        <v>0.53</v>
      </c>
      <c r="J1849" s="41" t="n">
        <v>8.08</v>
      </c>
      <c r="K1849" s="25" t="n">
        <v>0</v>
      </c>
      <c r="L1849" s="26">
        <f>IF(H1849&lt;=J1849,1,0)</f>
        <v>1</v>
      </c>
    </row>
    <row r="1850">
      <c r="A1850" s="19" t="inlineStr">
        <is>
          <t>QL-308-1</t>
        </is>
      </c>
      <c r="B1850" s="36" t="n">
        <v>45965</v>
      </c>
      <c r="C1850" s="37" t="inlineStr">
        <is>
          <t>出港</t>
        </is>
      </c>
      <c r="D1850" s="19" t="inlineStr">
        <is>
          <t>集装箱货物</t>
        </is>
      </c>
      <c r="E1850" s="19" t="inlineStr">
        <is>
          <t>东南亚</t>
        </is>
      </c>
      <c r="F1850" s="19" t="inlineStr">
        <is>
          <t>01号泊位</t>
        </is>
      </c>
      <c r="G1850" s="20" t="n">
        <v>8781</v>
      </c>
      <c r="H1850" s="38" t="n">
        <v>9.460000000000001</v>
      </c>
      <c r="I1850" s="38" t="n">
        <v>4.69</v>
      </c>
      <c r="J1850" s="38" t="n">
        <v>9.76</v>
      </c>
      <c r="K1850" s="20" t="n">
        <v>731</v>
      </c>
      <c r="L1850" s="26">
        <f>IF(H1850&lt;=J1850,1,0)</f>
        <v>1</v>
      </c>
    </row>
    <row r="1851">
      <c r="A1851" s="24" t="inlineStr">
        <is>
          <t>QL-308-2</t>
        </is>
      </c>
      <c r="B1851" s="39" t="n">
        <v>45965</v>
      </c>
      <c r="C1851" s="40" t="inlineStr">
        <is>
          <t>进港</t>
        </is>
      </c>
      <c r="D1851" s="24" t="inlineStr">
        <is>
          <t>金属矿石</t>
        </is>
      </c>
      <c r="E1851" s="24" t="inlineStr">
        <is>
          <t>东南亚</t>
        </is>
      </c>
      <c r="F1851" s="24" t="inlineStr">
        <is>
          <t>02号泊位</t>
        </is>
      </c>
      <c r="G1851" s="25" t="n">
        <v>13212</v>
      </c>
      <c r="H1851" s="41" t="n">
        <v>7.48</v>
      </c>
      <c r="I1851" s="41" t="n">
        <v>2.19</v>
      </c>
      <c r="J1851" s="41" t="n">
        <v>8.52</v>
      </c>
      <c r="K1851" s="25" t="n">
        <v>0</v>
      </c>
      <c r="L1851" s="26">
        <f>IF(H1851&lt;=J1851,1,0)</f>
        <v>1</v>
      </c>
    </row>
    <row r="1852">
      <c r="A1852" s="19" t="inlineStr">
        <is>
          <t>QL-308-3</t>
        </is>
      </c>
      <c r="B1852" s="36" t="n">
        <v>45965</v>
      </c>
      <c r="C1852" s="37" t="inlineStr">
        <is>
          <t>进港</t>
        </is>
      </c>
      <c r="D1852" s="19" t="inlineStr">
        <is>
          <t>煤炭</t>
        </is>
      </c>
      <c r="E1852" s="19" t="inlineStr">
        <is>
          <t>国内沿海</t>
        </is>
      </c>
      <c r="F1852" s="19" t="inlineStr">
        <is>
          <t>03号泊位</t>
        </is>
      </c>
      <c r="G1852" s="20" t="n">
        <v>15149</v>
      </c>
      <c r="H1852" s="38" t="n">
        <v>10.36</v>
      </c>
      <c r="I1852" s="38" t="n">
        <v>0.89</v>
      </c>
      <c r="J1852" s="38" t="n">
        <v>11.48</v>
      </c>
      <c r="K1852" s="20" t="n">
        <v>0</v>
      </c>
      <c r="L1852" s="26">
        <f>IF(H1852&lt;=J1852,1,0)</f>
        <v>1</v>
      </c>
    </row>
    <row r="1853">
      <c r="A1853" s="24" t="inlineStr">
        <is>
          <t>QL-308-4</t>
        </is>
      </c>
      <c r="B1853" s="39" t="n">
        <v>45965</v>
      </c>
      <c r="C1853" s="40" t="inlineStr">
        <is>
          <t>进港</t>
        </is>
      </c>
      <c r="D1853" s="24" t="inlineStr">
        <is>
          <t>粮食</t>
        </is>
      </c>
      <c r="E1853" s="24" t="inlineStr">
        <is>
          <t>东南亚</t>
        </is>
      </c>
      <c r="F1853" s="24" t="inlineStr">
        <is>
          <t>04号泊位</t>
        </is>
      </c>
      <c r="G1853" s="25" t="n">
        <v>7223</v>
      </c>
      <c r="H1853" s="41" t="n">
        <v>7.82</v>
      </c>
      <c r="I1853" s="41" t="n">
        <v>1.78</v>
      </c>
      <c r="J1853" s="41" t="n">
        <v>7.08</v>
      </c>
      <c r="K1853" s="25" t="n">
        <v>0</v>
      </c>
      <c r="L1853" s="26">
        <f>IF(H1853&lt;=J1853,1,0)</f>
        <v>0</v>
      </c>
    </row>
    <row r="1854">
      <c r="A1854" s="19" t="inlineStr">
        <is>
          <t>QL-308-5</t>
        </is>
      </c>
      <c r="B1854" s="36" t="n">
        <v>45965</v>
      </c>
      <c r="C1854" s="37" t="inlineStr">
        <is>
          <t>出港</t>
        </is>
      </c>
      <c r="D1854" s="19" t="inlineStr">
        <is>
          <t>液体散货</t>
        </is>
      </c>
      <c r="E1854" s="19" t="inlineStr">
        <is>
          <t>国内沿海</t>
        </is>
      </c>
      <c r="F1854" s="19" t="inlineStr">
        <is>
          <t>05号泊位</t>
        </is>
      </c>
      <c r="G1854" s="20" t="n">
        <v>11026</v>
      </c>
      <c r="H1854" s="38" t="n">
        <v>6.41</v>
      </c>
      <c r="I1854" s="38" t="n">
        <v>2.8</v>
      </c>
      <c r="J1854" s="38" t="n">
        <v>7.66</v>
      </c>
      <c r="K1854" s="20" t="n">
        <v>0</v>
      </c>
      <c r="L1854" s="26">
        <f>IF(H1854&lt;=J1854,1,0)</f>
        <v>1</v>
      </c>
    </row>
    <row r="1855">
      <c r="A1855" s="24" t="inlineStr">
        <is>
          <t>QL-308-6</t>
        </is>
      </c>
      <c r="B1855" s="39" t="n">
        <v>45965</v>
      </c>
      <c r="C1855" s="40" t="inlineStr">
        <is>
          <t>进港</t>
        </is>
      </c>
      <c r="D1855" s="24" t="inlineStr">
        <is>
          <t>件杂货</t>
        </is>
      </c>
      <c r="E1855" s="24" t="inlineStr">
        <is>
          <t>北美</t>
        </is>
      </c>
      <c r="F1855" s="24" t="inlineStr">
        <is>
          <t>06号泊位</t>
        </is>
      </c>
      <c r="G1855" s="25" t="n">
        <v>4130</v>
      </c>
      <c r="H1855" s="41" t="n">
        <v>6.14</v>
      </c>
      <c r="I1855" s="41" t="n">
        <v>1.14</v>
      </c>
      <c r="J1855" s="41" t="n">
        <v>6.77</v>
      </c>
      <c r="K1855" s="25" t="n">
        <v>0</v>
      </c>
      <c r="L1855" s="26">
        <f>IF(H1855&lt;=J1855,1,0)</f>
        <v>1</v>
      </c>
    </row>
    <row r="1856">
      <c r="A1856" s="19" t="inlineStr">
        <is>
          <t>QL-309-1</t>
        </is>
      </c>
      <c r="B1856" s="36" t="n">
        <v>45966</v>
      </c>
      <c r="C1856" s="37" t="inlineStr">
        <is>
          <t>出港</t>
        </is>
      </c>
      <c r="D1856" s="19" t="inlineStr">
        <is>
          <t>集装箱货物</t>
        </is>
      </c>
      <c r="E1856" s="19" t="inlineStr">
        <is>
          <t>东亚</t>
        </is>
      </c>
      <c r="F1856" s="19" t="inlineStr">
        <is>
          <t>01号泊位</t>
        </is>
      </c>
      <c r="G1856" s="20" t="n">
        <v>9708</v>
      </c>
      <c r="H1856" s="38" t="n">
        <v>11.59</v>
      </c>
      <c r="I1856" s="38" t="n">
        <v>1.11</v>
      </c>
      <c r="J1856" s="38" t="n">
        <v>10.79</v>
      </c>
      <c r="K1856" s="20" t="n">
        <v>617</v>
      </c>
      <c r="L1856" s="26">
        <f>IF(H1856&lt;=J1856,1,0)</f>
        <v>0</v>
      </c>
    </row>
    <row r="1857">
      <c r="A1857" s="24" t="inlineStr">
        <is>
          <t>QL-309-2</t>
        </is>
      </c>
      <c r="B1857" s="39" t="n">
        <v>45966</v>
      </c>
      <c r="C1857" s="40" t="inlineStr">
        <is>
          <t>进港</t>
        </is>
      </c>
      <c r="D1857" s="24" t="inlineStr">
        <is>
          <t>金属矿石</t>
        </is>
      </c>
      <c r="E1857" s="24" t="inlineStr">
        <is>
          <t>东亚</t>
        </is>
      </c>
      <c r="F1857" s="24" t="inlineStr">
        <is>
          <t>02号泊位</t>
        </is>
      </c>
      <c r="G1857" s="25" t="n">
        <v>24397</v>
      </c>
      <c r="H1857" s="41" t="n">
        <v>17.97</v>
      </c>
      <c r="I1857" s="41" t="n">
        <v>4.55</v>
      </c>
      <c r="J1857" s="41" t="n">
        <v>15.74</v>
      </c>
      <c r="K1857" s="25" t="n">
        <v>0</v>
      </c>
      <c r="L1857" s="26">
        <f>IF(H1857&lt;=J1857,1,0)</f>
        <v>0</v>
      </c>
    </row>
    <row r="1858">
      <c r="A1858" s="19" t="inlineStr">
        <is>
          <t>QL-309-3</t>
        </is>
      </c>
      <c r="B1858" s="36" t="n">
        <v>45966</v>
      </c>
      <c r="C1858" s="37" t="inlineStr">
        <is>
          <t>进港</t>
        </is>
      </c>
      <c r="D1858" s="19" t="inlineStr">
        <is>
          <t>煤炭</t>
        </is>
      </c>
      <c r="E1858" s="19" t="inlineStr">
        <is>
          <t>北美</t>
        </is>
      </c>
      <c r="F1858" s="19" t="inlineStr">
        <is>
          <t>03号泊位</t>
        </is>
      </c>
      <c r="G1858" s="20" t="n">
        <v>18770</v>
      </c>
      <c r="H1858" s="38" t="n">
        <v>13.62</v>
      </c>
      <c r="I1858" s="38" t="n">
        <v>2.32</v>
      </c>
      <c r="J1858" s="38" t="n">
        <v>14.22</v>
      </c>
      <c r="K1858" s="20" t="n">
        <v>0</v>
      </c>
      <c r="L1858" s="26">
        <f>IF(H1858&lt;=J1858,1,0)</f>
        <v>1</v>
      </c>
    </row>
    <row r="1859">
      <c r="A1859" s="24" t="inlineStr">
        <is>
          <t>QL-309-4</t>
        </is>
      </c>
      <c r="B1859" s="39" t="n">
        <v>45966</v>
      </c>
      <c r="C1859" s="40" t="inlineStr">
        <is>
          <t>进港</t>
        </is>
      </c>
      <c r="D1859" s="24" t="inlineStr">
        <is>
          <t>粮食</t>
        </is>
      </c>
      <c r="E1859" s="24" t="inlineStr">
        <is>
          <t>欧洲</t>
        </is>
      </c>
      <c r="F1859" s="24" t="inlineStr">
        <is>
          <t>04号泊位</t>
        </is>
      </c>
      <c r="G1859" s="25" t="n">
        <v>7556</v>
      </c>
      <c r="H1859" s="41" t="n">
        <v>6.3</v>
      </c>
      <c r="I1859" s="41" t="n">
        <v>3.66</v>
      </c>
      <c r="J1859" s="41" t="n">
        <v>7.41</v>
      </c>
      <c r="K1859" s="25" t="n">
        <v>0</v>
      </c>
      <c r="L1859" s="26">
        <f>IF(H1859&lt;=J1859,1,0)</f>
        <v>1</v>
      </c>
    </row>
    <row r="1860">
      <c r="A1860" s="19" t="inlineStr">
        <is>
          <t>QL-309-5</t>
        </is>
      </c>
      <c r="B1860" s="36" t="n">
        <v>45966</v>
      </c>
      <c r="C1860" s="37" t="inlineStr">
        <is>
          <t>出港</t>
        </is>
      </c>
      <c r="D1860" s="19" t="inlineStr">
        <is>
          <t>液体散货</t>
        </is>
      </c>
      <c r="E1860" s="19" t="inlineStr">
        <is>
          <t>东南亚</t>
        </is>
      </c>
      <c r="F1860" s="19" t="inlineStr">
        <is>
          <t>05号泊位</t>
        </is>
      </c>
      <c r="G1860" s="20" t="n">
        <v>12791</v>
      </c>
      <c r="H1860" s="38" t="n">
        <v>8.779999999999999</v>
      </c>
      <c r="I1860" s="38" t="n">
        <v>3.32</v>
      </c>
      <c r="J1860" s="38" t="n">
        <v>8.880000000000001</v>
      </c>
      <c r="K1860" s="20" t="n">
        <v>0</v>
      </c>
      <c r="L1860" s="26">
        <f>IF(H1860&lt;=J1860,1,0)</f>
        <v>1</v>
      </c>
    </row>
    <row r="1861">
      <c r="A1861" s="24" t="inlineStr">
        <is>
          <t>QL-309-6</t>
        </is>
      </c>
      <c r="B1861" s="39" t="n">
        <v>45966</v>
      </c>
      <c r="C1861" s="40" t="inlineStr">
        <is>
          <t>出港</t>
        </is>
      </c>
      <c r="D1861" s="24" t="inlineStr">
        <is>
          <t>件杂货</t>
        </is>
      </c>
      <c r="E1861" s="24" t="inlineStr">
        <is>
          <t>北美</t>
        </is>
      </c>
      <c r="F1861" s="24" t="inlineStr">
        <is>
          <t>06号泊位</t>
        </is>
      </c>
      <c r="G1861" s="25" t="n">
        <v>5821</v>
      </c>
      <c r="H1861" s="41" t="n">
        <v>8.369999999999999</v>
      </c>
      <c r="I1861" s="41" t="n">
        <v>0.9399999999999999</v>
      </c>
      <c r="J1861" s="41" t="n">
        <v>9.539999999999999</v>
      </c>
      <c r="K1861" s="25" t="n">
        <v>0</v>
      </c>
      <c r="L1861" s="26">
        <f>IF(H1861&lt;=J1861,1,0)</f>
        <v>1</v>
      </c>
    </row>
    <row r="1862">
      <c r="A1862" s="19" t="inlineStr">
        <is>
          <t>QL-310-1</t>
        </is>
      </c>
      <c r="B1862" s="36" t="n">
        <v>45967</v>
      </c>
      <c r="C1862" s="37" t="inlineStr">
        <is>
          <t>进港</t>
        </is>
      </c>
      <c r="D1862" s="19" t="inlineStr">
        <is>
          <t>集装箱货物</t>
        </is>
      </c>
      <c r="E1862" s="19" t="inlineStr">
        <is>
          <t>国内沿海</t>
        </is>
      </c>
      <c r="F1862" s="19" t="inlineStr">
        <is>
          <t>01号泊位</t>
        </is>
      </c>
      <c r="G1862" s="20" t="n">
        <v>9826</v>
      </c>
      <c r="H1862" s="38" t="n">
        <v>12.17</v>
      </c>
      <c r="I1862" s="38" t="n">
        <v>2.62</v>
      </c>
      <c r="J1862" s="38" t="n">
        <v>10.92</v>
      </c>
      <c r="K1862" s="20" t="n">
        <v>636</v>
      </c>
      <c r="L1862" s="26">
        <f>IF(H1862&lt;=J1862,1,0)</f>
        <v>0</v>
      </c>
    </row>
    <row r="1863">
      <c r="A1863" s="24" t="inlineStr">
        <is>
          <t>QL-310-2</t>
        </is>
      </c>
      <c r="B1863" s="39" t="n">
        <v>45967</v>
      </c>
      <c r="C1863" s="40" t="inlineStr">
        <is>
          <t>进港</t>
        </is>
      </c>
      <c r="D1863" s="24" t="inlineStr">
        <is>
          <t>金属矿石</t>
        </is>
      </c>
      <c r="E1863" s="24" t="inlineStr">
        <is>
          <t>欧洲</t>
        </is>
      </c>
      <c r="F1863" s="24" t="inlineStr">
        <is>
          <t>02号泊位</t>
        </is>
      </c>
      <c r="G1863" s="25" t="n">
        <v>22379</v>
      </c>
      <c r="H1863" s="41" t="n">
        <v>16.09</v>
      </c>
      <c r="I1863" s="41" t="n">
        <v>2.16</v>
      </c>
      <c r="J1863" s="41" t="n">
        <v>14.44</v>
      </c>
      <c r="K1863" s="25" t="n">
        <v>0</v>
      </c>
      <c r="L1863" s="26">
        <f>IF(H1863&lt;=J1863,1,0)</f>
        <v>0</v>
      </c>
    </row>
    <row r="1864">
      <c r="A1864" s="19" t="inlineStr">
        <is>
          <t>QL-310-3</t>
        </is>
      </c>
      <c r="B1864" s="36" t="n">
        <v>45967</v>
      </c>
      <c r="C1864" s="37" t="inlineStr">
        <is>
          <t>出港</t>
        </is>
      </c>
      <c r="D1864" s="19" t="inlineStr">
        <is>
          <t>煤炭</t>
        </is>
      </c>
      <c r="E1864" s="19" t="inlineStr">
        <is>
          <t>国内沿海</t>
        </is>
      </c>
      <c r="F1864" s="19" t="inlineStr">
        <is>
          <t>03号泊位</t>
        </is>
      </c>
      <c r="G1864" s="20" t="n">
        <v>17123</v>
      </c>
      <c r="H1864" s="38" t="n">
        <v>13.74</v>
      </c>
      <c r="I1864" s="38" t="n">
        <v>1.76</v>
      </c>
      <c r="J1864" s="38" t="n">
        <v>12.97</v>
      </c>
      <c r="K1864" s="20" t="n">
        <v>0</v>
      </c>
      <c r="L1864" s="26">
        <f>IF(H1864&lt;=J1864,1,0)</f>
        <v>0</v>
      </c>
    </row>
    <row r="1865">
      <c r="A1865" s="24" t="inlineStr">
        <is>
          <t>QL-310-4</t>
        </is>
      </c>
      <c r="B1865" s="39" t="n">
        <v>45967</v>
      </c>
      <c r="C1865" s="40" t="inlineStr">
        <is>
          <t>进港</t>
        </is>
      </c>
      <c r="D1865" s="24" t="inlineStr">
        <is>
          <t>粮食</t>
        </is>
      </c>
      <c r="E1865" s="24" t="inlineStr">
        <is>
          <t>国内沿海</t>
        </is>
      </c>
      <c r="F1865" s="24" t="inlineStr">
        <is>
          <t>04号泊位</t>
        </is>
      </c>
      <c r="G1865" s="25" t="n">
        <v>9024</v>
      </c>
      <c r="H1865" s="41" t="n">
        <v>9.43</v>
      </c>
      <c r="I1865" s="41" t="n">
        <v>2.68</v>
      </c>
      <c r="J1865" s="41" t="n">
        <v>8.85</v>
      </c>
      <c r="K1865" s="25" t="n">
        <v>0</v>
      </c>
      <c r="L1865" s="26">
        <f>IF(H1865&lt;=J1865,1,0)</f>
        <v>0</v>
      </c>
    </row>
    <row r="1866">
      <c r="A1866" s="19" t="inlineStr">
        <is>
          <t>QL-310-5</t>
        </is>
      </c>
      <c r="B1866" s="36" t="n">
        <v>45967</v>
      </c>
      <c r="C1866" s="37" t="inlineStr">
        <is>
          <t>进港</t>
        </is>
      </c>
      <c r="D1866" s="19" t="inlineStr">
        <is>
          <t>液体散货</t>
        </is>
      </c>
      <c r="E1866" s="19" t="inlineStr">
        <is>
          <t>东亚</t>
        </is>
      </c>
      <c r="F1866" s="19" t="inlineStr">
        <is>
          <t>05号泊位</t>
        </is>
      </c>
      <c r="G1866" s="20" t="n">
        <v>11567</v>
      </c>
      <c r="H1866" s="38" t="n">
        <v>7.31</v>
      </c>
      <c r="I1866" s="38" t="n">
        <v>0.7</v>
      </c>
      <c r="J1866" s="38" t="n">
        <v>8.029999999999999</v>
      </c>
      <c r="K1866" s="20" t="n">
        <v>0</v>
      </c>
      <c r="L1866" s="26">
        <f>IF(H1866&lt;=J1866,1,0)</f>
        <v>1</v>
      </c>
    </row>
    <row r="1867">
      <c r="A1867" s="24" t="inlineStr">
        <is>
          <t>QL-310-6</t>
        </is>
      </c>
      <c r="B1867" s="39" t="n">
        <v>45967</v>
      </c>
      <c r="C1867" s="40" t="inlineStr">
        <is>
          <t>出港</t>
        </is>
      </c>
      <c r="D1867" s="24" t="inlineStr">
        <is>
          <t>件杂货</t>
        </is>
      </c>
      <c r="E1867" s="24" t="inlineStr">
        <is>
          <t>欧洲</t>
        </is>
      </c>
      <c r="F1867" s="24" t="inlineStr">
        <is>
          <t>06号泊位</t>
        </is>
      </c>
      <c r="G1867" s="25" t="n">
        <v>3903</v>
      </c>
      <c r="H1867" s="41" t="n">
        <v>6.06</v>
      </c>
      <c r="I1867" s="41" t="n">
        <v>1.99</v>
      </c>
      <c r="J1867" s="41" t="n">
        <v>6.4</v>
      </c>
      <c r="K1867" s="25" t="n">
        <v>0</v>
      </c>
      <c r="L1867" s="26">
        <f>IF(H1867&lt;=J1867,1,0)</f>
        <v>1</v>
      </c>
    </row>
    <row r="1868">
      <c r="A1868" s="19" t="inlineStr">
        <is>
          <t>QL-311-1</t>
        </is>
      </c>
      <c r="B1868" s="36" t="n">
        <v>45968</v>
      </c>
      <c r="C1868" s="37" t="inlineStr">
        <is>
          <t>出港</t>
        </is>
      </c>
      <c r="D1868" s="19" t="inlineStr">
        <is>
          <t>集装箱货物</t>
        </is>
      </c>
      <c r="E1868" s="19" t="inlineStr">
        <is>
          <t>东南亚</t>
        </is>
      </c>
      <c r="F1868" s="19" t="inlineStr">
        <is>
          <t>01号泊位</t>
        </is>
      </c>
      <c r="G1868" s="20" t="n">
        <v>11069</v>
      </c>
      <c r="H1868" s="38" t="n">
        <v>12.71</v>
      </c>
      <c r="I1868" s="38" t="n">
        <v>1.02</v>
      </c>
      <c r="J1868" s="38" t="n">
        <v>12.3</v>
      </c>
      <c r="K1868" s="20" t="n">
        <v>816</v>
      </c>
      <c r="L1868" s="26">
        <f>IF(H1868&lt;=J1868,1,0)</f>
        <v>0</v>
      </c>
    </row>
    <row r="1869">
      <c r="A1869" s="24" t="inlineStr">
        <is>
          <t>QL-311-2</t>
        </is>
      </c>
      <c r="B1869" s="39" t="n">
        <v>45968</v>
      </c>
      <c r="C1869" s="40" t="inlineStr">
        <is>
          <t>进港</t>
        </is>
      </c>
      <c r="D1869" s="24" t="inlineStr">
        <is>
          <t>金属矿石</t>
        </is>
      </c>
      <c r="E1869" s="24" t="inlineStr">
        <is>
          <t>欧洲</t>
        </is>
      </c>
      <c r="F1869" s="24" t="inlineStr">
        <is>
          <t>02号泊位</t>
        </is>
      </c>
      <c r="G1869" s="25" t="n">
        <v>21678</v>
      </c>
      <c r="H1869" s="41" t="n">
        <v>15.63</v>
      </c>
      <c r="I1869" s="41" t="n">
        <v>6.64</v>
      </c>
      <c r="J1869" s="41" t="n">
        <v>13.99</v>
      </c>
      <c r="K1869" s="25" t="n">
        <v>0</v>
      </c>
      <c r="L1869" s="26">
        <f>IF(H1869&lt;=J1869,1,0)</f>
        <v>0</v>
      </c>
    </row>
    <row r="1870">
      <c r="A1870" s="19" t="inlineStr">
        <is>
          <t>QL-311-3</t>
        </is>
      </c>
      <c r="B1870" s="36" t="n">
        <v>45968</v>
      </c>
      <c r="C1870" s="37" t="inlineStr">
        <is>
          <t>进港</t>
        </is>
      </c>
      <c r="D1870" s="19" t="inlineStr">
        <is>
          <t>煤炭</t>
        </is>
      </c>
      <c r="E1870" s="19" t="inlineStr">
        <is>
          <t>北美</t>
        </is>
      </c>
      <c r="F1870" s="19" t="inlineStr">
        <is>
          <t>03号泊位</t>
        </is>
      </c>
      <c r="G1870" s="20" t="n">
        <v>14670</v>
      </c>
      <c r="H1870" s="38" t="n">
        <v>12.89</v>
      </c>
      <c r="I1870" s="38" t="n">
        <v>2.26</v>
      </c>
      <c r="J1870" s="38" t="n">
        <v>11.11</v>
      </c>
      <c r="K1870" s="20" t="n">
        <v>0</v>
      </c>
      <c r="L1870" s="26">
        <f>IF(H1870&lt;=J1870,1,0)</f>
        <v>0</v>
      </c>
    </row>
    <row r="1871">
      <c r="A1871" s="24" t="inlineStr">
        <is>
          <t>QL-311-4</t>
        </is>
      </c>
      <c r="B1871" s="39" t="n">
        <v>45968</v>
      </c>
      <c r="C1871" s="40" t="inlineStr">
        <is>
          <t>进港</t>
        </is>
      </c>
      <c r="D1871" s="24" t="inlineStr">
        <is>
          <t>粮食</t>
        </is>
      </c>
      <c r="E1871" s="24" t="inlineStr">
        <is>
          <t>欧洲</t>
        </is>
      </c>
      <c r="F1871" s="24" t="inlineStr">
        <is>
          <t>04号泊位</t>
        </is>
      </c>
      <c r="G1871" s="25" t="n">
        <v>6141</v>
      </c>
      <c r="H1871" s="41" t="n">
        <v>6.49</v>
      </c>
      <c r="I1871" s="41" t="n">
        <v>2</v>
      </c>
      <c r="J1871" s="41" t="n">
        <v>6.02</v>
      </c>
      <c r="K1871" s="25" t="n">
        <v>0</v>
      </c>
      <c r="L1871" s="26">
        <f>IF(H1871&lt;=J1871,1,0)</f>
        <v>0</v>
      </c>
    </row>
    <row r="1872">
      <c r="A1872" s="19" t="inlineStr">
        <is>
          <t>QL-311-5</t>
        </is>
      </c>
      <c r="B1872" s="36" t="n">
        <v>45968</v>
      </c>
      <c r="C1872" s="37" t="inlineStr">
        <is>
          <t>进港</t>
        </is>
      </c>
      <c r="D1872" s="19" t="inlineStr">
        <is>
          <t>液体散货</t>
        </is>
      </c>
      <c r="E1872" s="19" t="inlineStr">
        <is>
          <t>北美</t>
        </is>
      </c>
      <c r="F1872" s="19" t="inlineStr">
        <is>
          <t>05号泊位</t>
        </is>
      </c>
      <c r="G1872" s="20" t="n">
        <v>13360</v>
      </c>
      <c r="H1872" s="38" t="n">
        <v>10.76</v>
      </c>
      <c r="I1872" s="38" t="n">
        <v>1.23</v>
      </c>
      <c r="J1872" s="38" t="n">
        <v>9.279999999999999</v>
      </c>
      <c r="K1872" s="20" t="n">
        <v>0</v>
      </c>
      <c r="L1872" s="26">
        <f>IF(H1872&lt;=J1872,1,0)</f>
        <v>0</v>
      </c>
    </row>
    <row r="1873">
      <c r="A1873" s="24" t="inlineStr">
        <is>
          <t>QL-311-6</t>
        </is>
      </c>
      <c r="B1873" s="39" t="n">
        <v>45968</v>
      </c>
      <c r="C1873" s="40" t="inlineStr">
        <is>
          <t>出港</t>
        </is>
      </c>
      <c r="D1873" s="24" t="inlineStr">
        <is>
          <t>件杂货</t>
        </is>
      </c>
      <c r="E1873" s="24" t="inlineStr">
        <is>
          <t>欧洲</t>
        </is>
      </c>
      <c r="F1873" s="24" t="inlineStr">
        <is>
          <t>06号泊位</t>
        </is>
      </c>
      <c r="G1873" s="25" t="n">
        <v>6344</v>
      </c>
      <c r="H1873" s="41" t="n">
        <v>11.03</v>
      </c>
      <c r="I1873" s="41" t="n">
        <v>0.43</v>
      </c>
      <c r="J1873" s="41" t="n">
        <v>10.4</v>
      </c>
      <c r="K1873" s="25" t="n">
        <v>0</v>
      </c>
      <c r="L1873" s="26">
        <f>IF(H1873&lt;=J1873,1,0)</f>
        <v>0</v>
      </c>
    </row>
    <row r="1874">
      <c r="A1874" s="19" t="inlineStr">
        <is>
          <t>QL-312-1</t>
        </is>
      </c>
      <c r="B1874" s="36" t="n">
        <v>45969</v>
      </c>
      <c r="C1874" s="37" t="inlineStr">
        <is>
          <t>出港</t>
        </is>
      </c>
      <c r="D1874" s="19" t="inlineStr">
        <is>
          <t>集装箱货物</t>
        </is>
      </c>
      <c r="E1874" s="19" t="inlineStr">
        <is>
          <t>东亚</t>
        </is>
      </c>
      <c r="F1874" s="19" t="inlineStr">
        <is>
          <t>01号泊位</t>
        </is>
      </c>
      <c r="G1874" s="20" t="n">
        <v>13215</v>
      </c>
      <c r="H1874" s="38" t="n">
        <v>16.97</v>
      </c>
      <c r="I1874" s="38" t="n">
        <v>4.22</v>
      </c>
      <c r="J1874" s="38" t="n">
        <v>14.68</v>
      </c>
      <c r="K1874" s="20" t="n">
        <v>935</v>
      </c>
      <c r="L1874" s="26">
        <f>IF(H1874&lt;=J1874,1,0)</f>
        <v>0</v>
      </c>
    </row>
    <row r="1875">
      <c r="A1875" s="24" t="inlineStr">
        <is>
          <t>QL-312-2</t>
        </is>
      </c>
      <c r="B1875" s="39" t="n">
        <v>45969</v>
      </c>
      <c r="C1875" s="40" t="inlineStr">
        <is>
          <t>出港</t>
        </is>
      </c>
      <c r="D1875" s="24" t="inlineStr">
        <is>
          <t>金属矿石</t>
        </is>
      </c>
      <c r="E1875" s="24" t="inlineStr">
        <is>
          <t>东南亚</t>
        </is>
      </c>
      <c r="F1875" s="24" t="inlineStr">
        <is>
          <t>02号泊位</t>
        </is>
      </c>
      <c r="G1875" s="25" t="n">
        <v>12247</v>
      </c>
      <c r="H1875" s="41" t="n">
        <v>8.59</v>
      </c>
      <c r="I1875" s="41" t="n">
        <v>1.69</v>
      </c>
      <c r="J1875" s="41" t="n">
        <v>7.9</v>
      </c>
      <c r="K1875" s="25" t="n">
        <v>0</v>
      </c>
      <c r="L1875" s="26">
        <f>IF(H1875&lt;=J1875,1,0)</f>
        <v>0</v>
      </c>
    </row>
    <row r="1876">
      <c r="A1876" s="19" t="inlineStr">
        <is>
          <t>QL-312-3</t>
        </is>
      </c>
      <c r="B1876" s="36" t="n">
        <v>45969</v>
      </c>
      <c r="C1876" s="37" t="inlineStr">
        <is>
          <t>进港</t>
        </is>
      </c>
      <c r="D1876" s="19" t="inlineStr">
        <is>
          <t>煤炭</t>
        </is>
      </c>
      <c r="E1876" s="19" t="inlineStr">
        <is>
          <t>东南亚</t>
        </is>
      </c>
      <c r="F1876" s="19" t="inlineStr">
        <is>
          <t>03号泊位</t>
        </is>
      </c>
      <c r="G1876" s="20" t="n">
        <v>24273</v>
      </c>
      <c r="H1876" s="38" t="n">
        <v>18.27</v>
      </c>
      <c r="I1876" s="38" t="n">
        <v>3.53</v>
      </c>
      <c r="J1876" s="38" t="n">
        <v>18.39</v>
      </c>
      <c r="K1876" s="20" t="n">
        <v>0</v>
      </c>
      <c r="L1876" s="26">
        <f>IF(H1876&lt;=J1876,1,0)</f>
        <v>1</v>
      </c>
    </row>
    <row r="1877">
      <c r="A1877" s="24" t="inlineStr">
        <is>
          <t>QL-312-4</t>
        </is>
      </c>
      <c r="B1877" s="39" t="n">
        <v>45969</v>
      </c>
      <c r="C1877" s="40" t="inlineStr">
        <is>
          <t>进港</t>
        </is>
      </c>
      <c r="D1877" s="24" t="inlineStr">
        <is>
          <t>粮食</t>
        </is>
      </c>
      <c r="E1877" s="24" t="inlineStr">
        <is>
          <t>欧洲</t>
        </is>
      </c>
      <c r="F1877" s="24" t="inlineStr">
        <is>
          <t>04号泊位</t>
        </is>
      </c>
      <c r="G1877" s="25" t="n">
        <v>7290</v>
      </c>
      <c r="H1877" s="41" t="n">
        <v>7.4</v>
      </c>
      <c r="I1877" s="41" t="n">
        <v>5.8</v>
      </c>
      <c r="J1877" s="41" t="n">
        <v>7.15</v>
      </c>
      <c r="K1877" s="25" t="n">
        <v>0</v>
      </c>
      <c r="L1877" s="26">
        <f>IF(H1877&lt;=J1877,1,0)</f>
        <v>0</v>
      </c>
    </row>
    <row r="1878">
      <c r="A1878" s="19" t="inlineStr">
        <is>
          <t>QL-312-5</t>
        </is>
      </c>
      <c r="B1878" s="36" t="n">
        <v>45969</v>
      </c>
      <c r="C1878" s="37" t="inlineStr">
        <is>
          <t>进港</t>
        </is>
      </c>
      <c r="D1878" s="19" t="inlineStr">
        <is>
          <t>液体散货</t>
        </is>
      </c>
      <c r="E1878" s="19" t="inlineStr">
        <is>
          <t>东南亚</t>
        </is>
      </c>
      <c r="F1878" s="19" t="inlineStr">
        <is>
          <t>05号泊位</t>
        </is>
      </c>
      <c r="G1878" s="20" t="n">
        <v>12434</v>
      </c>
      <c r="H1878" s="38" t="n">
        <v>7.5</v>
      </c>
      <c r="I1878" s="38" t="n">
        <v>2.78</v>
      </c>
      <c r="J1878" s="38" t="n">
        <v>8.630000000000001</v>
      </c>
      <c r="K1878" s="20" t="n">
        <v>0</v>
      </c>
      <c r="L1878" s="26">
        <f>IF(H1878&lt;=J1878,1,0)</f>
        <v>1</v>
      </c>
    </row>
    <row r="1879">
      <c r="A1879" s="24" t="inlineStr">
        <is>
          <t>QL-312-6</t>
        </is>
      </c>
      <c r="B1879" s="39" t="n">
        <v>45969</v>
      </c>
      <c r="C1879" s="40" t="inlineStr">
        <is>
          <t>出港</t>
        </is>
      </c>
      <c r="D1879" s="24" t="inlineStr">
        <is>
          <t>件杂货</t>
        </is>
      </c>
      <c r="E1879" s="24" t="inlineStr">
        <is>
          <t>东亚</t>
        </is>
      </c>
      <c r="F1879" s="24" t="inlineStr">
        <is>
          <t>06号泊位</t>
        </is>
      </c>
      <c r="G1879" s="25" t="n">
        <v>3903</v>
      </c>
      <c r="H1879" s="41" t="n">
        <v>7.31</v>
      </c>
      <c r="I1879" s="41" t="n">
        <v>1.15</v>
      </c>
      <c r="J1879" s="41" t="n">
        <v>6.4</v>
      </c>
      <c r="K1879" s="25" t="n">
        <v>0</v>
      </c>
      <c r="L1879" s="26">
        <f>IF(H1879&lt;=J1879,1,0)</f>
        <v>0</v>
      </c>
    </row>
    <row r="1880">
      <c r="A1880" s="19" t="inlineStr">
        <is>
          <t>QL-313-1</t>
        </is>
      </c>
      <c r="B1880" s="36" t="n">
        <v>45970</v>
      </c>
      <c r="C1880" s="37" t="inlineStr">
        <is>
          <t>出港</t>
        </is>
      </c>
      <c r="D1880" s="19" t="inlineStr">
        <is>
          <t>集装箱货物</t>
        </is>
      </c>
      <c r="E1880" s="19" t="inlineStr">
        <is>
          <t>东南亚</t>
        </is>
      </c>
      <c r="F1880" s="19" t="inlineStr">
        <is>
          <t>01号泊位</t>
        </is>
      </c>
      <c r="G1880" s="20" t="n">
        <v>9647</v>
      </c>
      <c r="H1880" s="38" t="n">
        <v>9.73</v>
      </c>
      <c r="I1880" s="38" t="n">
        <v>1.9</v>
      </c>
      <c r="J1880" s="38" t="n">
        <v>10.72</v>
      </c>
      <c r="K1880" s="20" t="n">
        <v>748</v>
      </c>
      <c r="L1880" s="26">
        <f>IF(H1880&lt;=J1880,1,0)</f>
        <v>1</v>
      </c>
    </row>
    <row r="1881">
      <c r="A1881" s="24" t="inlineStr">
        <is>
          <t>QL-313-2</t>
        </is>
      </c>
      <c r="B1881" s="39" t="n">
        <v>45970</v>
      </c>
      <c r="C1881" s="40" t="inlineStr">
        <is>
          <t>进港</t>
        </is>
      </c>
      <c r="D1881" s="24" t="inlineStr">
        <is>
          <t>金属矿石</t>
        </is>
      </c>
      <c r="E1881" s="24" t="inlineStr">
        <is>
          <t>东亚</t>
        </is>
      </c>
      <c r="F1881" s="24" t="inlineStr">
        <is>
          <t>02号泊位</t>
        </is>
      </c>
      <c r="G1881" s="25" t="n">
        <v>23141</v>
      </c>
      <c r="H1881" s="41" t="n">
        <v>16.08</v>
      </c>
      <c r="I1881" s="41" t="n">
        <v>6.09</v>
      </c>
      <c r="J1881" s="41" t="n">
        <v>14.93</v>
      </c>
      <c r="K1881" s="25" t="n">
        <v>0</v>
      </c>
      <c r="L1881" s="26">
        <f>IF(H1881&lt;=J1881,1,0)</f>
        <v>0</v>
      </c>
    </row>
    <row r="1882">
      <c r="A1882" s="19" t="inlineStr">
        <is>
          <t>QL-313-3</t>
        </is>
      </c>
      <c r="B1882" s="36" t="n">
        <v>45970</v>
      </c>
      <c r="C1882" s="37" t="inlineStr">
        <is>
          <t>出港</t>
        </is>
      </c>
      <c r="D1882" s="19" t="inlineStr">
        <is>
          <t>煤炭</t>
        </is>
      </c>
      <c r="E1882" s="19" t="inlineStr">
        <is>
          <t>东南亚</t>
        </is>
      </c>
      <c r="F1882" s="19" t="inlineStr">
        <is>
          <t>03号泊位</t>
        </is>
      </c>
      <c r="G1882" s="20" t="n">
        <v>20045</v>
      </c>
      <c r="H1882" s="38" t="n">
        <v>13.66</v>
      </c>
      <c r="I1882" s="38" t="n">
        <v>1.72</v>
      </c>
      <c r="J1882" s="38" t="n">
        <v>15.19</v>
      </c>
      <c r="K1882" s="20" t="n">
        <v>0</v>
      </c>
      <c r="L1882" s="26">
        <f>IF(H1882&lt;=J1882,1,0)</f>
        <v>1</v>
      </c>
    </row>
    <row r="1883">
      <c r="A1883" s="24" t="inlineStr">
        <is>
          <t>QL-313-4</t>
        </is>
      </c>
      <c r="B1883" s="39" t="n">
        <v>45970</v>
      </c>
      <c r="C1883" s="40" t="inlineStr">
        <is>
          <t>进港</t>
        </is>
      </c>
      <c r="D1883" s="24" t="inlineStr">
        <is>
          <t>粮食</t>
        </is>
      </c>
      <c r="E1883" s="24" t="inlineStr">
        <is>
          <t>东亚</t>
        </is>
      </c>
      <c r="F1883" s="24" t="inlineStr">
        <is>
          <t>04号泊位</t>
        </is>
      </c>
      <c r="G1883" s="25" t="n">
        <v>8108</v>
      </c>
      <c r="H1883" s="41" t="n">
        <v>7.05</v>
      </c>
      <c r="I1883" s="41" t="n">
        <v>2.5</v>
      </c>
      <c r="J1883" s="41" t="n">
        <v>7.95</v>
      </c>
      <c r="K1883" s="25" t="n">
        <v>0</v>
      </c>
      <c r="L1883" s="26">
        <f>IF(H1883&lt;=J1883,1,0)</f>
        <v>1</v>
      </c>
    </row>
    <row r="1884">
      <c r="A1884" s="19" t="inlineStr">
        <is>
          <t>QL-313-5</t>
        </is>
      </c>
      <c r="B1884" s="36" t="n">
        <v>45970</v>
      </c>
      <c r="C1884" s="37" t="inlineStr">
        <is>
          <t>进港</t>
        </is>
      </c>
      <c r="D1884" s="19" t="inlineStr">
        <is>
          <t>液体散货</t>
        </is>
      </c>
      <c r="E1884" s="19" t="inlineStr">
        <is>
          <t>东南亚</t>
        </is>
      </c>
      <c r="F1884" s="19" t="inlineStr">
        <is>
          <t>05号泊位</t>
        </is>
      </c>
      <c r="G1884" s="20" t="n">
        <v>9276</v>
      </c>
      <c r="H1884" s="38" t="n">
        <v>5.28</v>
      </c>
      <c r="I1884" s="38" t="n">
        <v>1.78</v>
      </c>
      <c r="J1884" s="38" t="n">
        <v>6.44</v>
      </c>
      <c r="K1884" s="20" t="n">
        <v>0</v>
      </c>
      <c r="L1884" s="26">
        <f>IF(H1884&lt;=J1884,1,0)</f>
        <v>1</v>
      </c>
    </row>
    <row r="1885">
      <c r="A1885" s="24" t="inlineStr">
        <is>
          <t>QL-313-6</t>
        </is>
      </c>
      <c r="B1885" s="39" t="n">
        <v>45970</v>
      </c>
      <c r="C1885" s="40" t="inlineStr">
        <is>
          <t>进港</t>
        </is>
      </c>
      <c r="D1885" s="24" t="inlineStr">
        <is>
          <t>件杂货</t>
        </is>
      </c>
      <c r="E1885" s="24" t="inlineStr">
        <is>
          <t>北美</t>
        </is>
      </c>
      <c r="F1885" s="24" t="inlineStr">
        <is>
          <t>06号泊位</t>
        </is>
      </c>
      <c r="G1885" s="25" t="n">
        <v>6849</v>
      </c>
      <c r="H1885" s="41" t="n">
        <v>10.78</v>
      </c>
      <c r="I1885" s="41" t="n">
        <v>2.87</v>
      </c>
      <c r="J1885" s="41" t="n">
        <v>11.23</v>
      </c>
      <c r="K1885" s="25" t="n">
        <v>0</v>
      </c>
      <c r="L1885" s="26">
        <f>IF(H1885&lt;=J1885,1,0)</f>
        <v>1</v>
      </c>
    </row>
    <row r="1886">
      <c r="A1886" s="19" t="inlineStr">
        <is>
          <t>QL-314-1</t>
        </is>
      </c>
      <c r="B1886" s="36" t="n">
        <v>45971</v>
      </c>
      <c r="C1886" s="37" t="inlineStr">
        <is>
          <t>进港</t>
        </is>
      </c>
      <c r="D1886" s="19" t="inlineStr">
        <is>
          <t>集装箱货物</t>
        </is>
      </c>
      <c r="E1886" s="19" t="inlineStr">
        <is>
          <t>国内沿海</t>
        </is>
      </c>
      <c r="F1886" s="19" t="inlineStr">
        <is>
          <t>01号泊位</t>
        </is>
      </c>
      <c r="G1886" s="20" t="n">
        <v>11962</v>
      </c>
      <c r="H1886" s="38" t="n">
        <v>15.76</v>
      </c>
      <c r="I1886" s="38" t="n">
        <v>3.26</v>
      </c>
      <c r="J1886" s="38" t="n">
        <v>13.29</v>
      </c>
      <c r="K1886" s="20" t="n">
        <v>841</v>
      </c>
      <c r="L1886" s="26">
        <f>IF(H1886&lt;=J1886,1,0)</f>
        <v>0</v>
      </c>
    </row>
    <row r="1887">
      <c r="A1887" s="24" t="inlineStr">
        <is>
          <t>QL-314-2</t>
        </is>
      </c>
      <c r="B1887" s="39" t="n">
        <v>45971</v>
      </c>
      <c r="C1887" s="40" t="inlineStr">
        <is>
          <t>进港</t>
        </is>
      </c>
      <c r="D1887" s="24" t="inlineStr">
        <is>
          <t>金属矿石</t>
        </is>
      </c>
      <c r="E1887" s="24" t="inlineStr">
        <is>
          <t>国内沿海</t>
        </is>
      </c>
      <c r="F1887" s="24" t="inlineStr">
        <is>
          <t>02号泊位</t>
        </is>
      </c>
      <c r="G1887" s="25" t="n">
        <v>27053</v>
      </c>
      <c r="H1887" s="41" t="n">
        <v>16.45</v>
      </c>
      <c r="I1887" s="41" t="n">
        <v>4.58</v>
      </c>
      <c r="J1887" s="41" t="n">
        <v>17.45</v>
      </c>
      <c r="K1887" s="25" t="n">
        <v>0</v>
      </c>
      <c r="L1887" s="26">
        <f>IF(H1887&lt;=J1887,1,0)</f>
        <v>1</v>
      </c>
    </row>
    <row r="1888">
      <c r="A1888" s="19" t="inlineStr">
        <is>
          <t>QL-314-3</t>
        </is>
      </c>
      <c r="B1888" s="36" t="n">
        <v>45971</v>
      </c>
      <c r="C1888" s="37" t="inlineStr">
        <is>
          <t>出港</t>
        </is>
      </c>
      <c r="D1888" s="19" t="inlineStr">
        <is>
          <t>煤炭</t>
        </is>
      </c>
      <c r="E1888" s="19" t="inlineStr">
        <is>
          <t>北美</t>
        </is>
      </c>
      <c r="F1888" s="19" t="inlineStr">
        <is>
          <t>03号泊位</t>
        </is>
      </c>
      <c r="G1888" s="20" t="n">
        <v>15317</v>
      </c>
      <c r="H1888" s="38" t="n">
        <v>10.63</v>
      </c>
      <c r="I1888" s="38" t="n">
        <v>0.55</v>
      </c>
      <c r="J1888" s="38" t="n">
        <v>11.6</v>
      </c>
      <c r="K1888" s="20" t="n">
        <v>0</v>
      </c>
      <c r="L1888" s="26">
        <f>IF(H1888&lt;=J1888,1,0)</f>
        <v>1</v>
      </c>
    </row>
    <row r="1889">
      <c r="A1889" s="24" t="inlineStr">
        <is>
          <t>QL-314-4</t>
        </is>
      </c>
      <c r="B1889" s="39" t="n">
        <v>45971</v>
      </c>
      <c r="C1889" s="40" t="inlineStr">
        <is>
          <t>进港</t>
        </is>
      </c>
      <c r="D1889" s="24" t="inlineStr">
        <is>
          <t>粮食</t>
        </is>
      </c>
      <c r="E1889" s="24" t="inlineStr">
        <is>
          <t>国内沿海</t>
        </is>
      </c>
      <c r="F1889" s="24" t="inlineStr">
        <is>
          <t>04号泊位</t>
        </is>
      </c>
      <c r="G1889" s="25" t="n">
        <v>9710</v>
      </c>
      <c r="H1889" s="41" t="n">
        <v>10.99</v>
      </c>
      <c r="I1889" s="41" t="n">
        <v>3.66</v>
      </c>
      <c r="J1889" s="41" t="n">
        <v>9.52</v>
      </c>
      <c r="K1889" s="25" t="n">
        <v>0</v>
      </c>
      <c r="L1889" s="26">
        <f>IF(H1889&lt;=J1889,1,0)</f>
        <v>0</v>
      </c>
    </row>
    <row r="1890">
      <c r="A1890" s="19" t="inlineStr">
        <is>
          <t>QL-314-5</t>
        </is>
      </c>
      <c r="B1890" s="36" t="n">
        <v>45971</v>
      </c>
      <c r="C1890" s="37" t="inlineStr">
        <is>
          <t>进港</t>
        </is>
      </c>
      <c r="D1890" s="19" t="inlineStr">
        <is>
          <t>液体散货</t>
        </is>
      </c>
      <c r="E1890" s="19" t="inlineStr">
        <is>
          <t>东亚</t>
        </is>
      </c>
      <c r="F1890" s="19" t="inlineStr">
        <is>
          <t>05号泊位</t>
        </is>
      </c>
      <c r="G1890" s="20" t="n">
        <v>11734</v>
      </c>
      <c r="H1890" s="38" t="n">
        <v>6.63</v>
      </c>
      <c r="I1890" s="38" t="n">
        <v>3.82</v>
      </c>
      <c r="J1890" s="38" t="n">
        <v>8.15</v>
      </c>
      <c r="K1890" s="20" t="n">
        <v>0</v>
      </c>
      <c r="L1890" s="26">
        <f>IF(H1890&lt;=J1890,1,0)</f>
        <v>1</v>
      </c>
    </row>
    <row r="1891">
      <c r="A1891" s="24" t="inlineStr">
        <is>
          <t>QL-314-6</t>
        </is>
      </c>
      <c r="B1891" s="39" t="n">
        <v>45971</v>
      </c>
      <c r="C1891" s="40" t="inlineStr">
        <is>
          <t>进港</t>
        </is>
      </c>
      <c r="D1891" s="24" t="inlineStr">
        <is>
          <t>件杂货</t>
        </is>
      </c>
      <c r="E1891" s="24" t="inlineStr">
        <is>
          <t>欧洲</t>
        </is>
      </c>
      <c r="F1891" s="24" t="inlineStr">
        <is>
          <t>06号泊位</t>
        </is>
      </c>
      <c r="G1891" s="25" t="n">
        <v>4953</v>
      </c>
      <c r="H1891" s="41" t="n">
        <v>9.279999999999999</v>
      </c>
      <c r="I1891" s="41" t="n">
        <v>1.68</v>
      </c>
      <c r="J1891" s="41" t="n">
        <v>8.119999999999999</v>
      </c>
      <c r="K1891" s="25" t="n">
        <v>0</v>
      </c>
      <c r="L1891" s="26">
        <f>IF(H1891&lt;=J1891,1,0)</f>
        <v>0</v>
      </c>
    </row>
    <row r="1892">
      <c r="A1892" s="19" t="inlineStr">
        <is>
          <t>QL-315-1</t>
        </is>
      </c>
      <c r="B1892" s="36" t="n">
        <v>45972</v>
      </c>
      <c r="C1892" s="37" t="inlineStr">
        <is>
          <t>进港</t>
        </is>
      </c>
      <c r="D1892" s="19" t="inlineStr">
        <is>
          <t>集装箱货物</t>
        </is>
      </c>
      <c r="E1892" s="19" t="inlineStr">
        <is>
          <t>东南亚</t>
        </is>
      </c>
      <c r="F1892" s="19" t="inlineStr">
        <is>
          <t>01号泊位</t>
        </is>
      </c>
      <c r="G1892" s="20" t="n">
        <v>8529</v>
      </c>
      <c r="H1892" s="38" t="n">
        <v>9.19</v>
      </c>
      <c r="I1892" s="38" t="n">
        <v>2.15</v>
      </c>
      <c r="J1892" s="38" t="n">
        <v>9.48</v>
      </c>
      <c r="K1892" s="20" t="n">
        <v>553</v>
      </c>
      <c r="L1892" s="26">
        <f>IF(H1892&lt;=J1892,1,0)</f>
        <v>1</v>
      </c>
    </row>
    <row r="1893">
      <c r="A1893" s="24" t="inlineStr">
        <is>
          <t>QL-315-2</t>
        </is>
      </c>
      <c r="B1893" s="39" t="n">
        <v>45972</v>
      </c>
      <c r="C1893" s="40" t="inlineStr">
        <is>
          <t>进港</t>
        </is>
      </c>
      <c r="D1893" s="24" t="inlineStr">
        <is>
          <t>金属矿石</t>
        </is>
      </c>
      <c r="E1893" s="24" t="inlineStr">
        <is>
          <t>东南亚</t>
        </is>
      </c>
      <c r="F1893" s="24" t="inlineStr">
        <is>
          <t>02号泊位</t>
        </is>
      </c>
      <c r="G1893" s="25" t="n">
        <v>25785</v>
      </c>
      <c r="H1893" s="41" t="n">
        <v>16.27</v>
      </c>
      <c r="I1893" s="41" t="n">
        <v>1.15</v>
      </c>
      <c r="J1893" s="41" t="n">
        <v>16.64</v>
      </c>
      <c r="K1893" s="25" t="n">
        <v>0</v>
      </c>
      <c r="L1893" s="26">
        <f>IF(H1893&lt;=J1893,1,0)</f>
        <v>1</v>
      </c>
    </row>
    <row r="1894">
      <c r="A1894" s="19" t="inlineStr">
        <is>
          <t>QL-315-3</t>
        </is>
      </c>
      <c r="B1894" s="36" t="n">
        <v>45972</v>
      </c>
      <c r="C1894" s="37" t="inlineStr">
        <is>
          <t>进港</t>
        </is>
      </c>
      <c r="D1894" s="19" t="inlineStr">
        <is>
          <t>煤炭</t>
        </is>
      </c>
      <c r="E1894" s="19" t="inlineStr">
        <is>
          <t>北美</t>
        </is>
      </c>
      <c r="F1894" s="19" t="inlineStr">
        <is>
          <t>03号泊位</t>
        </is>
      </c>
      <c r="G1894" s="20" t="n">
        <v>19431</v>
      </c>
      <c r="H1894" s="38" t="n">
        <v>16.94</v>
      </c>
      <c r="I1894" s="38" t="n">
        <v>1.66</v>
      </c>
      <c r="J1894" s="38" t="n">
        <v>14.72</v>
      </c>
      <c r="K1894" s="20" t="n">
        <v>0</v>
      </c>
      <c r="L1894" s="26">
        <f>IF(H1894&lt;=J1894,1,0)</f>
        <v>0</v>
      </c>
    </row>
    <row r="1895">
      <c r="A1895" s="24" t="inlineStr">
        <is>
          <t>QL-315-4</t>
        </is>
      </c>
      <c r="B1895" s="39" t="n">
        <v>45972</v>
      </c>
      <c r="C1895" s="40" t="inlineStr">
        <is>
          <t>进港</t>
        </is>
      </c>
      <c r="D1895" s="24" t="inlineStr">
        <is>
          <t>粮食</t>
        </is>
      </c>
      <c r="E1895" s="24" t="inlineStr">
        <is>
          <t>东亚</t>
        </is>
      </c>
      <c r="F1895" s="24" t="inlineStr">
        <is>
          <t>04号泊位</t>
        </is>
      </c>
      <c r="G1895" s="25" t="n">
        <v>11970</v>
      </c>
      <c r="H1895" s="41" t="n">
        <v>10.92</v>
      </c>
      <c r="I1895" s="41" t="n">
        <v>2.67</v>
      </c>
      <c r="J1895" s="41" t="n">
        <v>11.74</v>
      </c>
      <c r="K1895" s="25" t="n">
        <v>0</v>
      </c>
      <c r="L1895" s="26">
        <f>IF(H1895&lt;=J1895,1,0)</f>
        <v>1</v>
      </c>
    </row>
    <row r="1896">
      <c r="A1896" s="19" t="inlineStr">
        <is>
          <t>QL-315-5</t>
        </is>
      </c>
      <c r="B1896" s="36" t="n">
        <v>45972</v>
      </c>
      <c r="C1896" s="37" t="inlineStr">
        <is>
          <t>进港</t>
        </is>
      </c>
      <c r="D1896" s="19" t="inlineStr">
        <is>
          <t>液体散货</t>
        </is>
      </c>
      <c r="E1896" s="19" t="inlineStr">
        <is>
          <t>东南亚</t>
        </is>
      </c>
      <c r="F1896" s="19" t="inlineStr">
        <is>
          <t>05号泊位</t>
        </is>
      </c>
      <c r="G1896" s="20" t="n">
        <v>20088</v>
      </c>
      <c r="H1896" s="38" t="n">
        <v>13.59</v>
      </c>
      <c r="I1896" s="38" t="n">
        <v>3.69</v>
      </c>
      <c r="J1896" s="38" t="n">
        <v>13.95</v>
      </c>
      <c r="K1896" s="20" t="n">
        <v>0</v>
      </c>
      <c r="L1896" s="26">
        <f>IF(H1896&lt;=J1896,1,0)</f>
        <v>1</v>
      </c>
    </row>
    <row r="1897">
      <c r="A1897" s="24" t="inlineStr">
        <is>
          <t>QL-315-6</t>
        </is>
      </c>
      <c r="B1897" s="39" t="n">
        <v>45972</v>
      </c>
      <c r="C1897" s="40" t="inlineStr">
        <is>
          <t>出港</t>
        </is>
      </c>
      <c r="D1897" s="24" t="inlineStr">
        <is>
          <t>件杂货</t>
        </is>
      </c>
      <c r="E1897" s="24" t="inlineStr">
        <is>
          <t>东亚</t>
        </is>
      </c>
      <c r="F1897" s="24" t="inlineStr">
        <is>
          <t>06号泊位</t>
        </is>
      </c>
      <c r="G1897" s="25" t="n">
        <v>4614</v>
      </c>
      <c r="H1897" s="41" t="n">
        <v>7.78</v>
      </c>
      <c r="I1897" s="41" t="n">
        <v>1.47</v>
      </c>
      <c r="J1897" s="41" t="n">
        <v>7.56</v>
      </c>
      <c r="K1897" s="25" t="n">
        <v>0</v>
      </c>
      <c r="L1897" s="26">
        <f>IF(H1897&lt;=J1897,1,0)</f>
        <v>0</v>
      </c>
    </row>
    <row r="1898">
      <c r="A1898" s="19" t="inlineStr">
        <is>
          <t>QL-316-1</t>
        </is>
      </c>
      <c r="B1898" s="36" t="n">
        <v>45973</v>
      </c>
      <c r="C1898" s="37" t="inlineStr">
        <is>
          <t>出港</t>
        </is>
      </c>
      <c r="D1898" s="19" t="inlineStr">
        <is>
          <t>集装箱货物</t>
        </is>
      </c>
      <c r="E1898" s="19" t="inlineStr">
        <is>
          <t>东南亚</t>
        </is>
      </c>
      <c r="F1898" s="19" t="inlineStr">
        <is>
          <t>01号泊位</t>
        </is>
      </c>
      <c r="G1898" s="20" t="n">
        <v>15015</v>
      </c>
      <c r="H1898" s="38" t="n">
        <v>18.27</v>
      </c>
      <c r="I1898" s="38" t="n">
        <v>1.85</v>
      </c>
      <c r="J1898" s="38" t="n">
        <v>16.68</v>
      </c>
      <c r="K1898" s="20" t="n">
        <v>1168</v>
      </c>
      <c r="L1898" s="26">
        <f>IF(H1898&lt;=J1898,1,0)</f>
        <v>0</v>
      </c>
    </row>
    <row r="1899">
      <c r="A1899" s="24" t="inlineStr">
        <is>
          <t>QL-316-2</t>
        </is>
      </c>
      <c r="B1899" s="39" t="n">
        <v>45973</v>
      </c>
      <c r="C1899" s="40" t="inlineStr">
        <is>
          <t>出港</t>
        </is>
      </c>
      <c r="D1899" s="24" t="inlineStr">
        <is>
          <t>金属矿石</t>
        </is>
      </c>
      <c r="E1899" s="24" t="inlineStr">
        <is>
          <t>东南亚</t>
        </is>
      </c>
      <c r="F1899" s="24" t="inlineStr">
        <is>
          <t>02号泊位</t>
        </is>
      </c>
      <c r="G1899" s="25" t="n">
        <v>30293</v>
      </c>
      <c r="H1899" s="41" t="n">
        <v>18.85</v>
      </c>
      <c r="I1899" s="41" t="n">
        <v>1.6</v>
      </c>
      <c r="J1899" s="41" t="n">
        <v>19.54</v>
      </c>
      <c r="K1899" s="25" t="n">
        <v>0</v>
      </c>
      <c r="L1899" s="26">
        <f>IF(H1899&lt;=J1899,1,0)</f>
        <v>1</v>
      </c>
    </row>
    <row r="1900">
      <c r="A1900" s="19" t="inlineStr">
        <is>
          <t>QL-316-3</t>
        </is>
      </c>
      <c r="B1900" s="36" t="n">
        <v>45973</v>
      </c>
      <c r="C1900" s="37" t="inlineStr">
        <is>
          <t>进港</t>
        </is>
      </c>
      <c r="D1900" s="19" t="inlineStr">
        <is>
          <t>煤炭</t>
        </is>
      </c>
      <c r="E1900" s="19" t="inlineStr">
        <is>
          <t>欧洲</t>
        </is>
      </c>
      <c r="F1900" s="19" t="inlineStr">
        <is>
          <t>03号泊位</t>
        </is>
      </c>
      <c r="G1900" s="20" t="n">
        <v>16598</v>
      </c>
      <c r="H1900" s="38" t="n">
        <v>13.3</v>
      </c>
      <c r="I1900" s="38" t="n">
        <v>4.15</v>
      </c>
      <c r="J1900" s="38" t="n">
        <v>12.57</v>
      </c>
      <c r="K1900" s="20" t="n">
        <v>0</v>
      </c>
      <c r="L1900" s="26">
        <f>IF(H1900&lt;=J1900,1,0)</f>
        <v>0</v>
      </c>
    </row>
    <row r="1901">
      <c r="A1901" s="24" t="inlineStr">
        <is>
          <t>QL-316-4</t>
        </is>
      </c>
      <c r="B1901" s="39" t="n">
        <v>45973</v>
      </c>
      <c r="C1901" s="40" t="inlineStr">
        <is>
          <t>进港</t>
        </is>
      </c>
      <c r="D1901" s="24" t="inlineStr">
        <is>
          <t>粮食</t>
        </is>
      </c>
      <c r="E1901" s="24" t="inlineStr">
        <is>
          <t>欧洲</t>
        </is>
      </c>
      <c r="F1901" s="24" t="inlineStr">
        <is>
          <t>04号泊位</t>
        </is>
      </c>
      <c r="G1901" s="25" t="n">
        <v>6795</v>
      </c>
      <c r="H1901" s="41" t="n">
        <v>6.61</v>
      </c>
      <c r="I1901" s="41" t="n">
        <v>1.38</v>
      </c>
      <c r="J1901" s="41" t="n">
        <v>6.66</v>
      </c>
      <c r="K1901" s="25" t="n">
        <v>0</v>
      </c>
      <c r="L1901" s="26">
        <f>IF(H1901&lt;=J1901,1,0)</f>
        <v>1</v>
      </c>
    </row>
    <row r="1902">
      <c r="A1902" s="19" t="inlineStr">
        <is>
          <t>QL-316-5</t>
        </is>
      </c>
      <c r="B1902" s="36" t="n">
        <v>45973</v>
      </c>
      <c r="C1902" s="37" t="inlineStr">
        <is>
          <t>进港</t>
        </is>
      </c>
      <c r="D1902" s="19" t="inlineStr">
        <is>
          <t>液体散货</t>
        </is>
      </c>
      <c r="E1902" s="19" t="inlineStr">
        <is>
          <t>东南亚</t>
        </is>
      </c>
      <c r="F1902" s="19" t="inlineStr">
        <is>
          <t>05号泊位</t>
        </is>
      </c>
      <c r="G1902" s="20" t="n">
        <v>15875</v>
      </c>
      <c r="H1902" s="38" t="n">
        <v>10.52</v>
      </c>
      <c r="I1902" s="38" t="n">
        <v>1.71</v>
      </c>
      <c r="J1902" s="38" t="n">
        <v>11.02</v>
      </c>
      <c r="K1902" s="20" t="n">
        <v>0</v>
      </c>
      <c r="L1902" s="26">
        <f>IF(H1902&lt;=J1902,1,0)</f>
        <v>1</v>
      </c>
    </row>
    <row r="1903">
      <c r="A1903" s="24" t="inlineStr">
        <is>
          <t>QL-316-6</t>
        </is>
      </c>
      <c r="B1903" s="39" t="n">
        <v>45973</v>
      </c>
      <c r="C1903" s="40" t="inlineStr">
        <is>
          <t>出港</t>
        </is>
      </c>
      <c r="D1903" s="24" t="inlineStr">
        <is>
          <t>件杂货</t>
        </is>
      </c>
      <c r="E1903" s="24" t="inlineStr">
        <is>
          <t>东南亚</t>
        </is>
      </c>
      <c r="F1903" s="24" t="inlineStr">
        <is>
          <t>06号泊位</t>
        </is>
      </c>
      <c r="G1903" s="25" t="n">
        <v>4395</v>
      </c>
      <c r="H1903" s="41" t="n">
        <v>8.210000000000001</v>
      </c>
      <c r="I1903" s="41" t="n">
        <v>1</v>
      </c>
      <c r="J1903" s="41" t="n">
        <v>7.2</v>
      </c>
      <c r="K1903" s="25" t="n">
        <v>0</v>
      </c>
      <c r="L1903" s="26">
        <f>IF(H1903&lt;=J1903,1,0)</f>
        <v>0</v>
      </c>
    </row>
    <row r="1904">
      <c r="A1904" s="19" t="inlineStr">
        <is>
          <t>QL-317-1</t>
        </is>
      </c>
      <c r="B1904" s="36" t="n">
        <v>45974</v>
      </c>
      <c r="C1904" s="37" t="inlineStr">
        <is>
          <t>出港</t>
        </is>
      </c>
      <c r="D1904" s="19" t="inlineStr">
        <is>
          <t>集装箱货物</t>
        </is>
      </c>
      <c r="E1904" s="19" t="inlineStr">
        <is>
          <t>东亚</t>
        </is>
      </c>
      <c r="F1904" s="19" t="inlineStr">
        <is>
          <t>01号泊位</t>
        </is>
      </c>
      <c r="G1904" s="20" t="n">
        <v>10882</v>
      </c>
      <c r="H1904" s="38" t="n">
        <v>10.72</v>
      </c>
      <c r="I1904" s="38" t="n">
        <v>5.52</v>
      </c>
      <c r="J1904" s="38" t="n">
        <v>12.09</v>
      </c>
      <c r="K1904" s="20" t="n">
        <v>724</v>
      </c>
      <c r="L1904" s="26">
        <f>IF(H1904&lt;=J1904,1,0)</f>
        <v>1</v>
      </c>
    </row>
    <row r="1905">
      <c r="A1905" s="24" t="inlineStr">
        <is>
          <t>QL-317-2</t>
        </is>
      </c>
      <c r="B1905" s="39" t="n">
        <v>45974</v>
      </c>
      <c r="C1905" s="40" t="inlineStr">
        <is>
          <t>出港</t>
        </is>
      </c>
      <c r="D1905" s="24" t="inlineStr">
        <is>
          <t>金属矿石</t>
        </is>
      </c>
      <c r="E1905" s="24" t="inlineStr">
        <is>
          <t>国内沿海</t>
        </is>
      </c>
      <c r="F1905" s="24" t="inlineStr">
        <is>
          <t>02号泊位</t>
        </is>
      </c>
      <c r="G1905" s="25" t="n">
        <v>22348</v>
      </c>
      <c r="H1905" s="41" t="n">
        <v>14.76</v>
      </c>
      <c r="I1905" s="41" t="n">
        <v>3.36</v>
      </c>
      <c r="J1905" s="41" t="n">
        <v>14.42</v>
      </c>
      <c r="K1905" s="25" t="n">
        <v>0</v>
      </c>
      <c r="L1905" s="26">
        <f>IF(H1905&lt;=J1905,1,0)</f>
        <v>0</v>
      </c>
    </row>
    <row r="1906">
      <c r="A1906" s="19" t="inlineStr">
        <is>
          <t>QL-317-3</t>
        </is>
      </c>
      <c r="B1906" s="36" t="n">
        <v>45974</v>
      </c>
      <c r="C1906" s="37" t="inlineStr">
        <is>
          <t>进港</t>
        </is>
      </c>
      <c r="D1906" s="19" t="inlineStr">
        <is>
          <t>煤炭</t>
        </is>
      </c>
      <c r="E1906" s="19" t="inlineStr">
        <is>
          <t>北美</t>
        </is>
      </c>
      <c r="F1906" s="19" t="inlineStr">
        <is>
          <t>03号泊位</t>
        </is>
      </c>
      <c r="G1906" s="20" t="n">
        <v>11934</v>
      </c>
      <c r="H1906" s="38" t="n">
        <v>9.57</v>
      </c>
      <c r="I1906" s="38" t="n">
        <v>1.63</v>
      </c>
      <c r="J1906" s="38" t="n">
        <v>9.039999999999999</v>
      </c>
      <c r="K1906" s="20" t="n">
        <v>0</v>
      </c>
      <c r="L1906" s="26">
        <f>IF(H1906&lt;=J1906,1,0)</f>
        <v>0</v>
      </c>
    </row>
    <row r="1907">
      <c r="A1907" s="24" t="inlineStr">
        <is>
          <t>QL-317-4</t>
        </is>
      </c>
      <c r="B1907" s="39" t="n">
        <v>45974</v>
      </c>
      <c r="C1907" s="40" t="inlineStr">
        <is>
          <t>进港</t>
        </is>
      </c>
      <c r="D1907" s="24" t="inlineStr">
        <is>
          <t>粮食</t>
        </is>
      </c>
      <c r="E1907" s="24" t="inlineStr">
        <is>
          <t>东南亚</t>
        </is>
      </c>
      <c r="F1907" s="24" t="inlineStr">
        <is>
          <t>04号泊位</t>
        </is>
      </c>
      <c r="G1907" s="25" t="n">
        <v>14482</v>
      </c>
      <c r="H1907" s="41" t="n">
        <v>11.85</v>
      </c>
      <c r="I1907" s="41" t="n">
        <v>2.73</v>
      </c>
      <c r="J1907" s="41" t="n">
        <v>14.2</v>
      </c>
      <c r="K1907" s="25" t="n">
        <v>0</v>
      </c>
      <c r="L1907" s="26">
        <f>IF(H1907&lt;=J1907,1,0)</f>
        <v>1</v>
      </c>
    </row>
    <row r="1908">
      <c r="A1908" s="19" t="inlineStr">
        <is>
          <t>QL-317-5</t>
        </is>
      </c>
      <c r="B1908" s="36" t="n">
        <v>45974</v>
      </c>
      <c r="C1908" s="37" t="inlineStr">
        <is>
          <t>出港</t>
        </is>
      </c>
      <c r="D1908" s="19" t="inlineStr">
        <is>
          <t>液体散货</t>
        </is>
      </c>
      <c r="E1908" s="19" t="inlineStr">
        <is>
          <t>国内沿海</t>
        </is>
      </c>
      <c r="F1908" s="19" t="inlineStr">
        <is>
          <t>05号泊位</t>
        </is>
      </c>
      <c r="G1908" s="20" t="n">
        <v>13044</v>
      </c>
      <c r="H1908" s="38" t="n">
        <v>10.39</v>
      </c>
      <c r="I1908" s="38" t="n">
        <v>3.16</v>
      </c>
      <c r="J1908" s="38" t="n">
        <v>9.06</v>
      </c>
      <c r="K1908" s="20" t="n">
        <v>0</v>
      </c>
      <c r="L1908" s="26">
        <f>IF(H1908&lt;=J1908,1,0)</f>
        <v>0</v>
      </c>
    </row>
    <row r="1909">
      <c r="A1909" s="24" t="inlineStr">
        <is>
          <t>QL-317-6</t>
        </is>
      </c>
      <c r="B1909" s="39" t="n">
        <v>45974</v>
      </c>
      <c r="C1909" s="40" t="inlineStr">
        <is>
          <t>出港</t>
        </is>
      </c>
      <c r="D1909" s="24" t="inlineStr">
        <is>
          <t>件杂货</t>
        </is>
      </c>
      <c r="E1909" s="24" t="inlineStr">
        <is>
          <t>东南亚</t>
        </is>
      </c>
      <c r="F1909" s="24" t="inlineStr">
        <is>
          <t>06号泊位</t>
        </is>
      </c>
      <c r="G1909" s="25" t="n">
        <v>8534</v>
      </c>
      <c r="H1909" s="41" t="n">
        <v>14.9</v>
      </c>
      <c r="I1909" s="41" t="n">
        <v>0.8100000000000001</v>
      </c>
      <c r="J1909" s="41" t="n">
        <v>13.99</v>
      </c>
      <c r="K1909" s="25" t="n">
        <v>0</v>
      </c>
      <c r="L1909" s="26">
        <f>IF(H1909&lt;=J1909,1,0)</f>
        <v>0</v>
      </c>
    </row>
    <row r="1910">
      <c r="A1910" s="19" t="inlineStr">
        <is>
          <t>QL-318-1</t>
        </is>
      </c>
      <c r="B1910" s="36" t="n">
        <v>45975</v>
      </c>
      <c r="C1910" s="37" t="inlineStr">
        <is>
          <t>进港</t>
        </is>
      </c>
      <c r="D1910" s="19" t="inlineStr">
        <is>
          <t>集装箱货物</t>
        </is>
      </c>
      <c r="E1910" s="19" t="inlineStr">
        <is>
          <t>东南亚</t>
        </is>
      </c>
      <c r="F1910" s="19" t="inlineStr">
        <is>
          <t>01号泊位</t>
        </is>
      </c>
      <c r="G1910" s="20" t="n">
        <v>8770</v>
      </c>
      <c r="H1910" s="38" t="n">
        <v>9.470000000000001</v>
      </c>
      <c r="I1910" s="38" t="n">
        <v>1.4</v>
      </c>
      <c r="J1910" s="38" t="n">
        <v>9.74</v>
      </c>
      <c r="K1910" s="20" t="n">
        <v>650</v>
      </c>
      <c r="L1910" s="26">
        <f>IF(H1910&lt;=J1910,1,0)</f>
        <v>1</v>
      </c>
    </row>
    <row r="1911">
      <c r="A1911" s="24" t="inlineStr">
        <is>
          <t>QL-318-2</t>
        </is>
      </c>
      <c r="B1911" s="39" t="n">
        <v>45975</v>
      </c>
      <c r="C1911" s="40" t="inlineStr">
        <is>
          <t>进港</t>
        </is>
      </c>
      <c r="D1911" s="24" t="inlineStr">
        <is>
          <t>金属矿石</t>
        </is>
      </c>
      <c r="E1911" s="24" t="inlineStr">
        <is>
          <t>东南亚</t>
        </is>
      </c>
      <c r="F1911" s="24" t="inlineStr">
        <is>
          <t>02号泊位</t>
        </is>
      </c>
      <c r="G1911" s="25" t="n">
        <v>22210</v>
      </c>
      <c r="H1911" s="41" t="n">
        <v>12.93</v>
      </c>
      <c r="I1911" s="41" t="n">
        <v>3.19</v>
      </c>
      <c r="J1911" s="41" t="n">
        <v>14.33</v>
      </c>
      <c r="K1911" s="25" t="n">
        <v>0</v>
      </c>
      <c r="L1911" s="26">
        <f>IF(H1911&lt;=J1911,1,0)</f>
        <v>1</v>
      </c>
    </row>
    <row r="1912">
      <c r="A1912" s="19" t="inlineStr">
        <is>
          <t>QL-318-3</t>
        </is>
      </c>
      <c r="B1912" s="36" t="n">
        <v>45975</v>
      </c>
      <c r="C1912" s="37" t="inlineStr">
        <is>
          <t>出港</t>
        </is>
      </c>
      <c r="D1912" s="19" t="inlineStr">
        <is>
          <t>煤炭</t>
        </is>
      </c>
      <c r="E1912" s="19" t="inlineStr">
        <is>
          <t>东南亚</t>
        </is>
      </c>
      <c r="F1912" s="19" t="inlineStr">
        <is>
          <t>03号泊位</t>
        </is>
      </c>
      <c r="G1912" s="20" t="n">
        <v>10368</v>
      </c>
      <c r="H1912" s="38" t="n">
        <v>7.62</v>
      </c>
      <c r="I1912" s="38" t="n">
        <v>1.08</v>
      </c>
      <c r="J1912" s="38" t="n">
        <v>7.85</v>
      </c>
      <c r="K1912" s="20" t="n">
        <v>0</v>
      </c>
      <c r="L1912" s="26">
        <f>IF(H1912&lt;=J1912,1,0)</f>
        <v>1</v>
      </c>
    </row>
    <row r="1913">
      <c r="A1913" s="24" t="inlineStr">
        <is>
          <t>QL-318-4</t>
        </is>
      </c>
      <c r="B1913" s="39" t="n">
        <v>45975</v>
      </c>
      <c r="C1913" s="40" t="inlineStr">
        <is>
          <t>进港</t>
        </is>
      </c>
      <c r="D1913" s="24" t="inlineStr">
        <is>
          <t>粮食</t>
        </is>
      </c>
      <c r="E1913" s="24" t="inlineStr">
        <is>
          <t>国内沿海</t>
        </is>
      </c>
      <c r="F1913" s="24" t="inlineStr">
        <is>
          <t>04号泊位</t>
        </is>
      </c>
      <c r="G1913" s="25" t="n">
        <v>11719</v>
      </c>
      <c r="H1913" s="41" t="n">
        <v>12.36</v>
      </c>
      <c r="I1913" s="41" t="n">
        <v>0.39</v>
      </c>
      <c r="J1913" s="41" t="n">
        <v>11.49</v>
      </c>
      <c r="K1913" s="25" t="n">
        <v>0</v>
      </c>
      <c r="L1913" s="26">
        <f>IF(H1913&lt;=J1913,1,0)</f>
        <v>0</v>
      </c>
    </row>
    <row r="1914">
      <c r="A1914" s="19" t="inlineStr">
        <is>
          <t>QL-318-5</t>
        </is>
      </c>
      <c r="B1914" s="36" t="n">
        <v>45975</v>
      </c>
      <c r="C1914" s="37" t="inlineStr">
        <is>
          <t>出港</t>
        </is>
      </c>
      <c r="D1914" s="19" t="inlineStr">
        <is>
          <t>液体散货</t>
        </is>
      </c>
      <c r="E1914" s="19" t="inlineStr">
        <is>
          <t>东南亚</t>
        </is>
      </c>
      <c r="F1914" s="19" t="inlineStr">
        <is>
          <t>05号泊位</t>
        </is>
      </c>
      <c r="G1914" s="20" t="n">
        <v>8801</v>
      </c>
      <c r="H1914" s="38" t="n">
        <v>5.9</v>
      </c>
      <c r="I1914" s="38" t="n">
        <v>1.96</v>
      </c>
      <c r="J1914" s="38" t="n">
        <v>6.11</v>
      </c>
      <c r="K1914" s="20" t="n">
        <v>0</v>
      </c>
      <c r="L1914" s="26">
        <f>IF(H1914&lt;=J1914,1,0)</f>
        <v>1</v>
      </c>
    </row>
    <row r="1915">
      <c r="A1915" s="24" t="inlineStr">
        <is>
          <t>QL-318-6</t>
        </is>
      </c>
      <c r="B1915" s="39" t="n">
        <v>45975</v>
      </c>
      <c r="C1915" s="40" t="inlineStr">
        <is>
          <t>出港</t>
        </is>
      </c>
      <c r="D1915" s="24" t="inlineStr">
        <is>
          <t>件杂货</t>
        </is>
      </c>
      <c r="E1915" s="24" t="inlineStr">
        <is>
          <t>东南亚</t>
        </is>
      </c>
      <c r="F1915" s="24" t="inlineStr">
        <is>
          <t>06号泊位</t>
        </is>
      </c>
      <c r="G1915" s="25" t="n">
        <v>6338</v>
      </c>
      <c r="H1915" s="41" t="n">
        <v>10.87</v>
      </c>
      <c r="I1915" s="41" t="n">
        <v>1.51</v>
      </c>
      <c r="J1915" s="41" t="n">
        <v>10.39</v>
      </c>
      <c r="K1915" s="25" t="n">
        <v>0</v>
      </c>
      <c r="L1915" s="26">
        <f>IF(H1915&lt;=J1915,1,0)</f>
        <v>0</v>
      </c>
    </row>
    <row r="1916">
      <c r="A1916" s="19" t="inlineStr">
        <is>
          <t>QL-319-1</t>
        </is>
      </c>
      <c r="B1916" s="36" t="n">
        <v>45976</v>
      </c>
      <c r="C1916" s="37" t="inlineStr">
        <is>
          <t>进港</t>
        </is>
      </c>
      <c r="D1916" s="19" t="inlineStr">
        <is>
          <t>集装箱货物</t>
        </is>
      </c>
      <c r="E1916" s="19" t="inlineStr">
        <is>
          <t>东亚</t>
        </is>
      </c>
      <c r="F1916" s="19" t="inlineStr">
        <is>
          <t>01号泊位</t>
        </is>
      </c>
      <c r="G1916" s="20" t="n">
        <v>13002</v>
      </c>
      <c r="H1916" s="38" t="n">
        <v>15.49</v>
      </c>
      <c r="I1916" s="38" t="n">
        <v>1.07</v>
      </c>
      <c r="J1916" s="38" t="n">
        <v>14.45</v>
      </c>
      <c r="K1916" s="20" t="n">
        <v>820</v>
      </c>
      <c r="L1916" s="26">
        <f>IF(H1916&lt;=J1916,1,0)</f>
        <v>0</v>
      </c>
    </row>
    <row r="1917">
      <c r="A1917" s="24" t="inlineStr">
        <is>
          <t>QL-319-2</t>
        </is>
      </c>
      <c r="B1917" s="39" t="n">
        <v>45976</v>
      </c>
      <c r="C1917" s="40" t="inlineStr">
        <is>
          <t>进港</t>
        </is>
      </c>
      <c r="D1917" s="24" t="inlineStr">
        <is>
          <t>金属矿石</t>
        </is>
      </c>
      <c r="E1917" s="24" t="inlineStr">
        <is>
          <t>东南亚</t>
        </is>
      </c>
      <c r="F1917" s="24" t="inlineStr">
        <is>
          <t>02号泊位</t>
        </is>
      </c>
      <c r="G1917" s="25" t="n">
        <v>17306</v>
      </c>
      <c r="H1917" s="41" t="n">
        <v>11.26</v>
      </c>
      <c r="I1917" s="41" t="n">
        <v>1.33</v>
      </c>
      <c r="J1917" s="41" t="n">
        <v>11.17</v>
      </c>
      <c r="K1917" s="25" t="n">
        <v>0</v>
      </c>
      <c r="L1917" s="26">
        <f>IF(H1917&lt;=J1917,1,0)</f>
        <v>0</v>
      </c>
    </row>
    <row r="1918">
      <c r="A1918" s="19" t="inlineStr">
        <is>
          <t>QL-319-3</t>
        </is>
      </c>
      <c r="B1918" s="36" t="n">
        <v>45976</v>
      </c>
      <c r="C1918" s="37" t="inlineStr">
        <is>
          <t>进港</t>
        </is>
      </c>
      <c r="D1918" s="19" t="inlineStr">
        <is>
          <t>煤炭</t>
        </is>
      </c>
      <c r="E1918" s="19" t="inlineStr">
        <is>
          <t>国内沿海</t>
        </is>
      </c>
      <c r="F1918" s="19" t="inlineStr">
        <is>
          <t>03号泊位</t>
        </is>
      </c>
      <c r="G1918" s="20" t="n">
        <v>15761</v>
      </c>
      <c r="H1918" s="38" t="n">
        <v>9.960000000000001</v>
      </c>
      <c r="I1918" s="38" t="n">
        <v>0.3</v>
      </c>
      <c r="J1918" s="38" t="n">
        <v>11.94</v>
      </c>
      <c r="K1918" s="20" t="n">
        <v>0</v>
      </c>
      <c r="L1918" s="26">
        <f>IF(H1918&lt;=J1918,1,0)</f>
        <v>1</v>
      </c>
    </row>
    <row r="1919">
      <c r="A1919" s="24" t="inlineStr">
        <is>
          <t>QL-319-4</t>
        </is>
      </c>
      <c r="B1919" s="39" t="n">
        <v>45976</v>
      </c>
      <c r="C1919" s="40" t="inlineStr">
        <is>
          <t>进港</t>
        </is>
      </c>
      <c r="D1919" s="24" t="inlineStr">
        <is>
          <t>粮食</t>
        </is>
      </c>
      <c r="E1919" s="24" t="inlineStr">
        <is>
          <t>东亚</t>
        </is>
      </c>
      <c r="F1919" s="24" t="inlineStr">
        <is>
          <t>04号泊位</t>
        </is>
      </c>
      <c r="G1919" s="25" t="n">
        <v>5621</v>
      </c>
      <c r="H1919" s="41" t="n">
        <v>6.08</v>
      </c>
      <c r="I1919" s="41" t="n">
        <v>3.13</v>
      </c>
      <c r="J1919" s="41" t="n">
        <v>5.51</v>
      </c>
      <c r="K1919" s="25" t="n">
        <v>0</v>
      </c>
      <c r="L1919" s="26">
        <f>IF(H1919&lt;=J1919,1,0)</f>
        <v>0</v>
      </c>
    </row>
    <row r="1920">
      <c r="A1920" s="19" t="inlineStr">
        <is>
          <t>QL-319-5</t>
        </is>
      </c>
      <c r="B1920" s="36" t="n">
        <v>45976</v>
      </c>
      <c r="C1920" s="37" t="inlineStr">
        <is>
          <t>出港</t>
        </is>
      </c>
      <c r="D1920" s="19" t="inlineStr">
        <is>
          <t>液体散货</t>
        </is>
      </c>
      <c r="E1920" s="19" t="inlineStr">
        <is>
          <t>国内沿海</t>
        </is>
      </c>
      <c r="F1920" s="19" t="inlineStr">
        <is>
          <t>05号泊位</t>
        </is>
      </c>
      <c r="G1920" s="20" t="n">
        <v>10682</v>
      </c>
      <c r="H1920" s="38" t="n">
        <v>6.65</v>
      </c>
      <c r="I1920" s="38" t="n">
        <v>1.11</v>
      </c>
      <c r="J1920" s="38" t="n">
        <v>7.42</v>
      </c>
      <c r="K1920" s="20" t="n">
        <v>0</v>
      </c>
      <c r="L1920" s="26">
        <f>IF(H1920&lt;=J1920,1,0)</f>
        <v>1</v>
      </c>
    </row>
    <row r="1921">
      <c r="A1921" s="24" t="inlineStr">
        <is>
          <t>QL-319-6</t>
        </is>
      </c>
      <c r="B1921" s="39" t="n">
        <v>45976</v>
      </c>
      <c r="C1921" s="40" t="inlineStr">
        <is>
          <t>进港</t>
        </is>
      </c>
      <c r="D1921" s="24" t="inlineStr">
        <is>
          <t>件杂货</t>
        </is>
      </c>
      <c r="E1921" s="24" t="inlineStr">
        <is>
          <t>东南亚</t>
        </is>
      </c>
      <c r="F1921" s="24" t="inlineStr">
        <is>
          <t>06号泊位</t>
        </is>
      </c>
      <c r="G1921" s="25" t="n">
        <v>3713</v>
      </c>
      <c r="H1921" s="41" t="n">
        <v>7.08</v>
      </c>
      <c r="I1921" s="41" t="n">
        <v>0.83</v>
      </c>
      <c r="J1921" s="41" t="n">
        <v>6.09</v>
      </c>
      <c r="K1921" s="25" t="n">
        <v>0</v>
      </c>
      <c r="L1921" s="26">
        <f>IF(H1921&lt;=J1921,1,0)</f>
        <v>0</v>
      </c>
    </row>
    <row r="1922">
      <c r="A1922" s="19" t="inlineStr">
        <is>
          <t>QL-320-1</t>
        </is>
      </c>
      <c r="B1922" s="36" t="n">
        <v>45977</v>
      </c>
      <c r="C1922" s="37" t="inlineStr">
        <is>
          <t>出港</t>
        </is>
      </c>
      <c r="D1922" s="19" t="inlineStr">
        <is>
          <t>集装箱货物</t>
        </is>
      </c>
      <c r="E1922" s="19" t="inlineStr">
        <is>
          <t>东亚</t>
        </is>
      </c>
      <c r="F1922" s="19" t="inlineStr">
        <is>
          <t>01号泊位</t>
        </is>
      </c>
      <c r="G1922" s="20" t="n">
        <v>6929</v>
      </c>
      <c r="H1922" s="38" t="n">
        <v>8.41</v>
      </c>
      <c r="I1922" s="38" t="n">
        <v>1.23</v>
      </c>
      <c r="J1922" s="38" t="n">
        <v>7.7</v>
      </c>
      <c r="K1922" s="20" t="n">
        <v>436</v>
      </c>
      <c r="L1922" s="26">
        <f>IF(H1922&lt;=J1922,1,0)</f>
        <v>0</v>
      </c>
    </row>
    <row r="1923">
      <c r="A1923" s="24" t="inlineStr">
        <is>
          <t>QL-320-2</t>
        </is>
      </c>
      <c r="B1923" s="39" t="n">
        <v>45977</v>
      </c>
      <c r="C1923" s="40" t="inlineStr">
        <is>
          <t>进港</t>
        </is>
      </c>
      <c r="D1923" s="24" t="inlineStr">
        <is>
          <t>金属矿石</t>
        </is>
      </c>
      <c r="E1923" s="24" t="inlineStr">
        <is>
          <t>北美</t>
        </is>
      </c>
      <c r="F1923" s="24" t="inlineStr">
        <is>
          <t>02号泊位</t>
        </is>
      </c>
      <c r="G1923" s="25" t="n">
        <v>27038</v>
      </c>
      <c r="H1923" s="41" t="n">
        <v>15.47</v>
      </c>
      <c r="I1923" s="41" t="n">
        <v>1.4</v>
      </c>
      <c r="J1923" s="41" t="n">
        <v>17.44</v>
      </c>
      <c r="K1923" s="25" t="n">
        <v>0</v>
      </c>
      <c r="L1923" s="26">
        <f>IF(H1923&lt;=J1923,1,0)</f>
        <v>1</v>
      </c>
    </row>
    <row r="1924">
      <c r="A1924" s="19" t="inlineStr">
        <is>
          <t>QL-320-3</t>
        </is>
      </c>
      <c r="B1924" s="36" t="n">
        <v>45977</v>
      </c>
      <c r="C1924" s="37" t="inlineStr">
        <is>
          <t>进港</t>
        </is>
      </c>
      <c r="D1924" s="19" t="inlineStr">
        <is>
          <t>煤炭</t>
        </is>
      </c>
      <c r="E1924" s="19" t="inlineStr">
        <is>
          <t>国内沿海</t>
        </is>
      </c>
      <c r="F1924" s="19" t="inlineStr">
        <is>
          <t>03号泊位</t>
        </is>
      </c>
      <c r="G1924" s="20" t="n">
        <v>15405</v>
      </c>
      <c r="H1924" s="38" t="n">
        <v>9.52</v>
      </c>
      <c r="I1924" s="38" t="n">
        <v>1.23</v>
      </c>
      <c r="J1924" s="38" t="n">
        <v>11.67</v>
      </c>
      <c r="K1924" s="20" t="n">
        <v>0</v>
      </c>
      <c r="L1924" s="26">
        <f>IF(H1924&lt;=J1924,1,0)</f>
        <v>1</v>
      </c>
    </row>
    <row r="1925">
      <c r="A1925" s="24" t="inlineStr">
        <is>
          <t>QL-320-4</t>
        </is>
      </c>
      <c r="B1925" s="39" t="n">
        <v>45977</v>
      </c>
      <c r="C1925" s="40" t="inlineStr">
        <is>
          <t>出港</t>
        </is>
      </c>
      <c r="D1925" s="24" t="inlineStr">
        <is>
          <t>粮食</t>
        </is>
      </c>
      <c r="E1925" s="24" t="inlineStr">
        <is>
          <t>东亚</t>
        </is>
      </c>
      <c r="F1925" s="24" t="inlineStr">
        <is>
          <t>04号泊位</t>
        </is>
      </c>
      <c r="G1925" s="25" t="n">
        <v>8737</v>
      </c>
      <c r="H1925" s="41" t="n">
        <v>8.09</v>
      </c>
      <c r="I1925" s="41" t="n">
        <v>1.75</v>
      </c>
      <c r="J1925" s="41" t="n">
        <v>8.57</v>
      </c>
      <c r="K1925" s="25" t="n">
        <v>0</v>
      </c>
      <c r="L1925" s="26">
        <f>IF(H1925&lt;=J1925,1,0)</f>
        <v>1</v>
      </c>
    </row>
    <row r="1926">
      <c r="A1926" s="19" t="inlineStr">
        <is>
          <t>QL-320-5</t>
        </is>
      </c>
      <c r="B1926" s="36" t="n">
        <v>45977</v>
      </c>
      <c r="C1926" s="37" t="inlineStr">
        <is>
          <t>出港</t>
        </is>
      </c>
      <c r="D1926" s="19" t="inlineStr">
        <is>
          <t>液体散货</t>
        </is>
      </c>
      <c r="E1926" s="19" t="inlineStr">
        <is>
          <t>欧洲</t>
        </is>
      </c>
      <c r="F1926" s="19" t="inlineStr">
        <is>
          <t>05号泊位</t>
        </is>
      </c>
      <c r="G1926" s="20" t="n">
        <v>14585</v>
      </c>
      <c r="H1926" s="38" t="n">
        <v>9.82</v>
      </c>
      <c r="I1926" s="38" t="n">
        <v>0.98</v>
      </c>
      <c r="J1926" s="38" t="n">
        <v>10.13</v>
      </c>
      <c r="K1926" s="20" t="n">
        <v>0</v>
      </c>
      <c r="L1926" s="26">
        <f>IF(H1926&lt;=J1926,1,0)</f>
        <v>1</v>
      </c>
    </row>
    <row r="1927">
      <c r="A1927" s="24" t="inlineStr">
        <is>
          <t>QL-320-6</t>
        </is>
      </c>
      <c r="B1927" s="39" t="n">
        <v>45977</v>
      </c>
      <c r="C1927" s="40" t="inlineStr">
        <is>
          <t>进港</t>
        </is>
      </c>
      <c r="D1927" s="24" t="inlineStr">
        <is>
          <t>件杂货</t>
        </is>
      </c>
      <c r="E1927" s="24" t="inlineStr">
        <is>
          <t>东亚</t>
        </is>
      </c>
      <c r="F1927" s="24" t="inlineStr">
        <is>
          <t>06号泊位</t>
        </is>
      </c>
      <c r="G1927" s="25" t="n">
        <v>4937</v>
      </c>
      <c r="H1927" s="41" t="n">
        <v>9.27</v>
      </c>
      <c r="I1927" s="41" t="n">
        <v>2.16</v>
      </c>
      <c r="J1927" s="41" t="n">
        <v>8.09</v>
      </c>
      <c r="K1927" s="25" t="n">
        <v>0</v>
      </c>
      <c r="L1927" s="26">
        <f>IF(H1927&lt;=J1927,1,0)</f>
        <v>0</v>
      </c>
    </row>
    <row r="1928">
      <c r="A1928" s="19" t="inlineStr">
        <is>
          <t>QL-321-1</t>
        </is>
      </c>
      <c r="B1928" s="36" t="n">
        <v>45978</v>
      </c>
      <c r="C1928" s="37" t="inlineStr">
        <is>
          <t>出港</t>
        </is>
      </c>
      <c r="D1928" s="19" t="inlineStr">
        <is>
          <t>集装箱货物</t>
        </is>
      </c>
      <c r="E1928" s="19" t="inlineStr">
        <is>
          <t>东亚</t>
        </is>
      </c>
      <c r="F1928" s="19" t="inlineStr">
        <is>
          <t>01号泊位</t>
        </is>
      </c>
      <c r="G1928" s="20" t="n">
        <v>4529</v>
      </c>
      <c r="H1928" s="38" t="n">
        <v>5.95</v>
      </c>
      <c r="I1928" s="38" t="n">
        <v>0.79</v>
      </c>
      <c r="J1928" s="38" t="n">
        <v>5.03</v>
      </c>
      <c r="K1928" s="20" t="n">
        <v>354</v>
      </c>
      <c r="L1928" s="26">
        <f>IF(H1928&lt;=J1928,1,0)</f>
        <v>0</v>
      </c>
    </row>
    <row r="1929">
      <c r="A1929" s="24" t="inlineStr">
        <is>
          <t>QL-321-2</t>
        </is>
      </c>
      <c r="B1929" s="39" t="n">
        <v>45978</v>
      </c>
      <c r="C1929" s="40" t="inlineStr">
        <is>
          <t>进港</t>
        </is>
      </c>
      <c r="D1929" s="24" t="inlineStr">
        <is>
          <t>金属矿石</t>
        </is>
      </c>
      <c r="E1929" s="24" t="inlineStr">
        <is>
          <t>国内沿海</t>
        </is>
      </c>
      <c r="F1929" s="24" t="inlineStr">
        <is>
          <t>02号泊位</t>
        </is>
      </c>
      <c r="G1929" s="25" t="n">
        <v>15622</v>
      </c>
      <c r="H1929" s="41" t="n">
        <v>11.63</v>
      </c>
      <c r="I1929" s="41" t="n">
        <v>1.7</v>
      </c>
      <c r="J1929" s="41" t="n">
        <v>10.08</v>
      </c>
      <c r="K1929" s="25" t="n">
        <v>0</v>
      </c>
      <c r="L1929" s="26">
        <f>IF(H1929&lt;=J1929,1,0)</f>
        <v>0</v>
      </c>
    </row>
    <row r="1930">
      <c r="A1930" s="19" t="inlineStr">
        <is>
          <t>QL-321-3</t>
        </is>
      </c>
      <c r="B1930" s="36" t="n">
        <v>45978</v>
      </c>
      <c r="C1930" s="37" t="inlineStr">
        <is>
          <t>出港</t>
        </is>
      </c>
      <c r="D1930" s="19" t="inlineStr">
        <is>
          <t>煤炭</t>
        </is>
      </c>
      <c r="E1930" s="19" t="inlineStr">
        <is>
          <t>欧洲</t>
        </is>
      </c>
      <c r="F1930" s="19" t="inlineStr">
        <is>
          <t>03号泊位</t>
        </is>
      </c>
      <c r="G1930" s="20" t="n">
        <v>8649</v>
      </c>
      <c r="H1930" s="38" t="n">
        <v>5.71</v>
      </c>
      <c r="I1930" s="38" t="n">
        <v>0.34</v>
      </c>
      <c r="J1930" s="38" t="n">
        <v>6.55</v>
      </c>
      <c r="K1930" s="20" t="n">
        <v>0</v>
      </c>
      <c r="L1930" s="26">
        <f>IF(H1930&lt;=J1930,1,0)</f>
        <v>1</v>
      </c>
    </row>
    <row r="1931">
      <c r="A1931" s="24" t="inlineStr">
        <is>
          <t>QL-321-4</t>
        </is>
      </c>
      <c r="B1931" s="39" t="n">
        <v>45978</v>
      </c>
      <c r="C1931" s="40" t="inlineStr">
        <is>
          <t>进港</t>
        </is>
      </c>
      <c r="D1931" s="24" t="inlineStr">
        <is>
          <t>粮食</t>
        </is>
      </c>
      <c r="E1931" s="24" t="inlineStr">
        <is>
          <t>东南亚</t>
        </is>
      </c>
      <c r="F1931" s="24" t="inlineStr">
        <is>
          <t>04号泊位</t>
        </is>
      </c>
      <c r="G1931" s="25" t="n">
        <v>12369</v>
      </c>
      <c r="H1931" s="41" t="n">
        <v>13.25</v>
      </c>
      <c r="I1931" s="41" t="n">
        <v>1.24</v>
      </c>
      <c r="J1931" s="41" t="n">
        <v>12.13</v>
      </c>
      <c r="K1931" s="25" t="n">
        <v>0</v>
      </c>
      <c r="L1931" s="26">
        <f>IF(H1931&lt;=J1931,1,0)</f>
        <v>0</v>
      </c>
    </row>
    <row r="1932">
      <c r="A1932" s="19" t="inlineStr">
        <is>
          <t>QL-321-5</t>
        </is>
      </c>
      <c r="B1932" s="36" t="n">
        <v>45978</v>
      </c>
      <c r="C1932" s="37" t="inlineStr">
        <is>
          <t>进港</t>
        </is>
      </c>
      <c r="D1932" s="19" t="inlineStr">
        <is>
          <t>液体散货</t>
        </is>
      </c>
      <c r="E1932" s="19" t="inlineStr">
        <is>
          <t>东南亚</t>
        </is>
      </c>
      <c r="F1932" s="19" t="inlineStr">
        <is>
          <t>05号泊位</t>
        </is>
      </c>
      <c r="G1932" s="20" t="n">
        <v>7607</v>
      </c>
      <c r="H1932" s="38" t="n">
        <v>4.8</v>
      </c>
      <c r="I1932" s="38" t="n">
        <v>1.95</v>
      </c>
      <c r="J1932" s="38" t="n">
        <v>5.28</v>
      </c>
      <c r="K1932" s="20" t="n">
        <v>0</v>
      </c>
      <c r="L1932" s="26">
        <f>IF(H1932&lt;=J1932,1,0)</f>
        <v>1</v>
      </c>
    </row>
    <row r="1933">
      <c r="A1933" s="24" t="inlineStr">
        <is>
          <t>QL-321-6</t>
        </is>
      </c>
      <c r="B1933" s="39" t="n">
        <v>45978</v>
      </c>
      <c r="C1933" s="40" t="inlineStr">
        <is>
          <t>进港</t>
        </is>
      </c>
      <c r="D1933" s="24" t="inlineStr">
        <is>
          <t>件杂货</t>
        </is>
      </c>
      <c r="E1933" s="24" t="inlineStr">
        <is>
          <t>东南亚</t>
        </is>
      </c>
      <c r="F1933" s="24" t="inlineStr">
        <is>
          <t>06号泊位</t>
        </is>
      </c>
      <c r="G1933" s="25" t="n">
        <v>4994</v>
      </c>
      <c r="H1933" s="41" t="n">
        <v>8.24</v>
      </c>
      <c r="I1933" s="41" t="n">
        <v>2.31</v>
      </c>
      <c r="J1933" s="41" t="n">
        <v>8.19</v>
      </c>
      <c r="K1933" s="25" t="n">
        <v>0</v>
      </c>
      <c r="L1933" s="26">
        <f>IF(H1933&lt;=J1933,1,0)</f>
        <v>0</v>
      </c>
    </row>
    <row r="1934">
      <c r="A1934" s="19" t="inlineStr">
        <is>
          <t>QL-322-1</t>
        </is>
      </c>
      <c r="B1934" s="36" t="n">
        <v>45979</v>
      </c>
      <c r="C1934" s="37" t="inlineStr">
        <is>
          <t>进港</t>
        </is>
      </c>
      <c r="D1934" s="19" t="inlineStr">
        <is>
          <t>集装箱货物</t>
        </is>
      </c>
      <c r="E1934" s="19" t="inlineStr">
        <is>
          <t>东亚</t>
        </is>
      </c>
      <c r="F1934" s="19" t="inlineStr">
        <is>
          <t>01号泊位</t>
        </is>
      </c>
      <c r="G1934" s="20" t="n">
        <v>4999</v>
      </c>
      <c r="H1934" s="38" t="n">
        <v>5.73</v>
      </c>
      <c r="I1934" s="38" t="n">
        <v>0.6</v>
      </c>
      <c r="J1934" s="38" t="n">
        <v>5.55</v>
      </c>
      <c r="K1934" s="20" t="n">
        <v>349</v>
      </c>
      <c r="L1934" s="26">
        <f>IF(H1934&lt;=J1934,1,0)</f>
        <v>0</v>
      </c>
    </row>
    <row r="1935">
      <c r="A1935" s="24" t="inlineStr">
        <is>
          <t>QL-322-2</t>
        </is>
      </c>
      <c r="B1935" s="39" t="n">
        <v>45979</v>
      </c>
      <c r="C1935" s="40" t="inlineStr">
        <is>
          <t>进港</t>
        </is>
      </c>
      <c r="D1935" s="24" t="inlineStr">
        <is>
          <t>金属矿石</t>
        </is>
      </c>
      <c r="E1935" s="24" t="inlineStr">
        <is>
          <t>欧洲</t>
        </is>
      </c>
      <c r="F1935" s="24" t="inlineStr">
        <is>
          <t>02号泊位</t>
        </is>
      </c>
      <c r="G1935" s="25" t="n">
        <v>15724</v>
      </c>
      <c r="H1935" s="41" t="n">
        <v>10.94</v>
      </c>
      <c r="I1935" s="41" t="n">
        <v>1.09</v>
      </c>
      <c r="J1935" s="41" t="n">
        <v>10.14</v>
      </c>
      <c r="K1935" s="25" t="n">
        <v>0</v>
      </c>
      <c r="L1935" s="26">
        <f>IF(H1935&lt;=J1935,1,0)</f>
        <v>0</v>
      </c>
    </row>
    <row r="1936">
      <c r="A1936" s="19" t="inlineStr">
        <is>
          <t>QL-322-3</t>
        </is>
      </c>
      <c r="B1936" s="36" t="n">
        <v>45979</v>
      </c>
      <c r="C1936" s="37" t="inlineStr">
        <is>
          <t>进港</t>
        </is>
      </c>
      <c r="D1936" s="19" t="inlineStr">
        <is>
          <t>煤炭</t>
        </is>
      </c>
      <c r="E1936" s="19" t="inlineStr">
        <is>
          <t>北美</t>
        </is>
      </c>
      <c r="F1936" s="19" t="inlineStr">
        <is>
          <t>03号泊位</t>
        </is>
      </c>
      <c r="G1936" s="20" t="n">
        <v>10372</v>
      </c>
      <c r="H1936" s="38" t="n">
        <v>6.46</v>
      </c>
      <c r="I1936" s="38" t="n">
        <v>1.8</v>
      </c>
      <c r="J1936" s="38" t="n">
        <v>7.86</v>
      </c>
      <c r="K1936" s="20" t="n">
        <v>0</v>
      </c>
      <c r="L1936" s="26">
        <f>IF(H1936&lt;=J1936,1,0)</f>
        <v>1</v>
      </c>
    </row>
    <row r="1937">
      <c r="A1937" s="24" t="inlineStr">
        <is>
          <t>QL-322-4</t>
        </is>
      </c>
      <c r="B1937" s="39" t="n">
        <v>45979</v>
      </c>
      <c r="C1937" s="40" t="inlineStr">
        <is>
          <t>进港</t>
        </is>
      </c>
      <c r="D1937" s="24" t="inlineStr">
        <is>
          <t>粮食</t>
        </is>
      </c>
      <c r="E1937" s="24" t="inlineStr">
        <is>
          <t>国内沿海</t>
        </is>
      </c>
      <c r="F1937" s="24" t="inlineStr">
        <is>
          <t>04号泊位</t>
        </is>
      </c>
      <c r="G1937" s="25" t="n">
        <v>8249</v>
      </c>
      <c r="H1937" s="41" t="n">
        <v>6.97</v>
      </c>
      <c r="I1937" s="41" t="n">
        <v>1.85</v>
      </c>
      <c r="J1937" s="41" t="n">
        <v>8.09</v>
      </c>
      <c r="K1937" s="25" t="n">
        <v>0</v>
      </c>
      <c r="L1937" s="26">
        <f>IF(H1937&lt;=J1937,1,0)</f>
        <v>1</v>
      </c>
    </row>
    <row r="1938">
      <c r="A1938" s="19" t="inlineStr">
        <is>
          <t>QL-322-5</t>
        </is>
      </c>
      <c r="B1938" s="36" t="n">
        <v>45979</v>
      </c>
      <c r="C1938" s="37" t="inlineStr">
        <is>
          <t>出港</t>
        </is>
      </c>
      <c r="D1938" s="19" t="inlineStr">
        <is>
          <t>液体散货</t>
        </is>
      </c>
      <c r="E1938" s="19" t="inlineStr">
        <is>
          <t>欧洲</t>
        </is>
      </c>
      <c r="F1938" s="19" t="inlineStr">
        <is>
          <t>05号泊位</t>
        </is>
      </c>
      <c r="G1938" s="20" t="n">
        <v>13723</v>
      </c>
      <c r="H1938" s="38" t="n">
        <v>9.68</v>
      </c>
      <c r="I1938" s="38" t="n">
        <v>1.19</v>
      </c>
      <c r="J1938" s="38" t="n">
        <v>9.529999999999999</v>
      </c>
      <c r="K1938" s="20" t="n">
        <v>0</v>
      </c>
      <c r="L1938" s="26">
        <f>IF(H1938&lt;=J1938,1,0)</f>
        <v>0</v>
      </c>
    </row>
    <row r="1939">
      <c r="A1939" s="24" t="inlineStr">
        <is>
          <t>QL-322-6</t>
        </is>
      </c>
      <c r="B1939" s="39" t="n">
        <v>45979</v>
      </c>
      <c r="C1939" s="40" t="inlineStr">
        <is>
          <t>进港</t>
        </is>
      </c>
      <c r="D1939" s="24" t="inlineStr">
        <is>
          <t>件杂货</t>
        </is>
      </c>
      <c r="E1939" s="24" t="inlineStr">
        <is>
          <t>东亚</t>
        </is>
      </c>
      <c r="F1939" s="24" t="inlineStr">
        <is>
          <t>06号泊位</t>
        </is>
      </c>
      <c r="G1939" s="25" t="n">
        <v>3304</v>
      </c>
      <c r="H1939" s="41" t="n">
        <v>6.38</v>
      </c>
      <c r="I1939" s="41" t="n">
        <v>1.19</v>
      </c>
      <c r="J1939" s="41" t="n">
        <v>5.42</v>
      </c>
      <c r="K1939" s="25" t="n">
        <v>0</v>
      </c>
      <c r="L1939" s="26">
        <f>IF(H1939&lt;=J1939,1,0)</f>
        <v>0</v>
      </c>
    </row>
    <row r="1940">
      <c r="A1940" s="19" t="inlineStr">
        <is>
          <t>QL-323-1</t>
        </is>
      </c>
      <c r="B1940" s="36" t="n">
        <v>45980</v>
      </c>
      <c r="C1940" s="37" t="inlineStr">
        <is>
          <t>出港</t>
        </is>
      </c>
      <c r="D1940" s="19" t="inlineStr">
        <is>
          <t>集装箱货物</t>
        </is>
      </c>
      <c r="E1940" s="19" t="inlineStr">
        <is>
          <t>北美</t>
        </is>
      </c>
      <c r="F1940" s="19" t="inlineStr">
        <is>
          <t>01号泊位</t>
        </is>
      </c>
      <c r="G1940" s="20" t="n">
        <v>6450</v>
      </c>
      <c r="H1940" s="38" t="n">
        <v>7.75</v>
      </c>
      <c r="I1940" s="38" t="n">
        <v>2.34</v>
      </c>
      <c r="J1940" s="38" t="n">
        <v>7.17</v>
      </c>
      <c r="K1940" s="20" t="n">
        <v>436</v>
      </c>
      <c r="L1940" s="26">
        <f>IF(H1940&lt;=J1940,1,0)</f>
        <v>0</v>
      </c>
    </row>
    <row r="1941">
      <c r="A1941" s="24" t="inlineStr">
        <is>
          <t>QL-323-2</t>
        </is>
      </c>
      <c r="B1941" s="39" t="n">
        <v>45980</v>
      </c>
      <c r="C1941" s="40" t="inlineStr">
        <is>
          <t>进港</t>
        </is>
      </c>
      <c r="D1941" s="24" t="inlineStr">
        <is>
          <t>金属矿石</t>
        </is>
      </c>
      <c r="E1941" s="24" t="inlineStr">
        <is>
          <t>东亚</t>
        </is>
      </c>
      <c r="F1941" s="24" t="inlineStr">
        <is>
          <t>02号泊位</t>
        </is>
      </c>
      <c r="G1941" s="25" t="n">
        <v>13709</v>
      </c>
      <c r="H1941" s="41" t="n">
        <v>9.960000000000001</v>
      </c>
      <c r="I1941" s="41" t="n">
        <v>0.52</v>
      </c>
      <c r="J1941" s="41" t="n">
        <v>8.84</v>
      </c>
      <c r="K1941" s="25" t="n">
        <v>0</v>
      </c>
      <c r="L1941" s="26">
        <f>IF(H1941&lt;=J1941,1,0)</f>
        <v>0</v>
      </c>
    </row>
    <row r="1942">
      <c r="A1942" s="19" t="inlineStr">
        <is>
          <t>QL-323-3</t>
        </is>
      </c>
      <c r="B1942" s="36" t="n">
        <v>45980</v>
      </c>
      <c r="C1942" s="37" t="inlineStr">
        <is>
          <t>出港</t>
        </is>
      </c>
      <c r="D1942" s="19" t="inlineStr">
        <is>
          <t>煤炭</t>
        </is>
      </c>
      <c r="E1942" s="19" t="inlineStr">
        <is>
          <t>东南亚</t>
        </is>
      </c>
      <c r="F1942" s="19" t="inlineStr">
        <is>
          <t>03号泊位</t>
        </is>
      </c>
      <c r="G1942" s="20" t="n">
        <v>6562</v>
      </c>
      <c r="H1942" s="38" t="n">
        <v>5.49</v>
      </c>
      <c r="I1942" s="38" t="n">
        <v>2.39</v>
      </c>
      <c r="J1942" s="38" t="n">
        <v>4.97</v>
      </c>
      <c r="K1942" s="20" t="n">
        <v>0</v>
      </c>
      <c r="L1942" s="26">
        <f>IF(H1942&lt;=J1942,1,0)</f>
        <v>0</v>
      </c>
    </row>
    <row r="1943">
      <c r="A1943" s="24" t="inlineStr">
        <is>
          <t>QL-323-4</t>
        </is>
      </c>
      <c r="B1943" s="39" t="n">
        <v>45980</v>
      </c>
      <c r="C1943" s="40" t="inlineStr">
        <is>
          <t>进港</t>
        </is>
      </c>
      <c r="D1943" s="24" t="inlineStr">
        <is>
          <t>粮食</t>
        </is>
      </c>
      <c r="E1943" s="24" t="inlineStr">
        <is>
          <t>东南亚</t>
        </is>
      </c>
      <c r="F1943" s="24" t="inlineStr">
        <is>
          <t>04号泊位</t>
        </is>
      </c>
      <c r="G1943" s="25" t="n">
        <v>9096</v>
      </c>
      <c r="H1943" s="41" t="n">
        <v>7.89</v>
      </c>
      <c r="I1943" s="41" t="n">
        <v>3.77</v>
      </c>
      <c r="J1943" s="41" t="n">
        <v>8.92</v>
      </c>
      <c r="K1943" s="25" t="n">
        <v>0</v>
      </c>
      <c r="L1943" s="26">
        <f>IF(H1943&lt;=J1943,1,0)</f>
        <v>1</v>
      </c>
    </row>
    <row r="1944">
      <c r="A1944" s="19" t="inlineStr">
        <is>
          <t>QL-323-5</t>
        </is>
      </c>
      <c r="B1944" s="36" t="n">
        <v>45980</v>
      </c>
      <c r="C1944" s="37" t="inlineStr">
        <is>
          <t>出港</t>
        </is>
      </c>
      <c r="D1944" s="19" t="inlineStr">
        <is>
          <t>液体散货</t>
        </is>
      </c>
      <c r="E1944" s="19" t="inlineStr">
        <is>
          <t>东亚</t>
        </is>
      </c>
      <c r="F1944" s="19" t="inlineStr">
        <is>
          <t>05号泊位</t>
        </is>
      </c>
      <c r="G1944" s="20" t="n">
        <v>14631</v>
      </c>
      <c r="H1944" s="38" t="n">
        <v>11.01</v>
      </c>
      <c r="I1944" s="38" t="n">
        <v>0.65</v>
      </c>
      <c r="J1944" s="38" t="n">
        <v>10.16</v>
      </c>
      <c r="K1944" s="20" t="n">
        <v>0</v>
      </c>
      <c r="L1944" s="26">
        <f>IF(H1944&lt;=J1944,1,0)</f>
        <v>0</v>
      </c>
    </row>
    <row r="1945">
      <c r="A1945" s="24" t="inlineStr">
        <is>
          <t>QL-323-6</t>
        </is>
      </c>
      <c r="B1945" s="39" t="n">
        <v>45980</v>
      </c>
      <c r="C1945" s="40" t="inlineStr">
        <is>
          <t>出港</t>
        </is>
      </c>
      <c r="D1945" s="24" t="inlineStr">
        <is>
          <t>件杂货</t>
        </is>
      </c>
      <c r="E1945" s="24" t="inlineStr">
        <is>
          <t>东亚</t>
        </is>
      </c>
      <c r="F1945" s="24" t="inlineStr">
        <is>
          <t>06号泊位</t>
        </is>
      </c>
      <c r="G1945" s="25" t="n">
        <v>3581</v>
      </c>
      <c r="H1945" s="41" t="n">
        <v>5.1</v>
      </c>
      <c r="I1945" s="41" t="n">
        <v>2.42</v>
      </c>
      <c r="J1945" s="41" t="n">
        <v>5.87</v>
      </c>
      <c r="K1945" s="25" t="n">
        <v>0</v>
      </c>
      <c r="L1945" s="26">
        <f>IF(H1945&lt;=J1945,1,0)</f>
        <v>1</v>
      </c>
    </row>
    <row r="1946">
      <c r="A1946" s="19" t="inlineStr">
        <is>
          <t>QL-324-1</t>
        </is>
      </c>
      <c r="B1946" s="36" t="n">
        <v>45981</v>
      </c>
      <c r="C1946" s="37" t="inlineStr">
        <is>
          <t>进港</t>
        </is>
      </c>
      <c r="D1946" s="19" t="inlineStr">
        <is>
          <t>集装箱货物</t>
        </is>
      </c>
      <c r="E1946" s="19" t="inlineStr">
        <is>
          <t>北美</t>
        </is>
      </c>
      <c r="F1946" s="19" t="inlineStr">
        <is>
          <t>01号泊位</t>
        </is>
      </c>
      <c r="G1946" s="20" t="n">
        <v>8036</v>
      </c>
      <c r="H1946" s="38" t="n">
        <v>8.09</v>
      </c>
      <c r="I1946" s="38" t="n">
        <v>0.3</v>
      </c>
      <c r="J1946" s="38" t="n">
        <v>8.93</v>
      </c>
      <c r="K1946" s="20" t="n">
        <v>480</v>
      </c>
      <c r="L1946" s="26">
        <f>IF(H1946&lt;=J1946,1,0)</f>
        <v>1</v>
      </c>
    </row>
    <row r="1947">
      <c r="A1947" s="24" t="inlineStr">
        <is>
          <t>QL-324-2</t>
        </is>
      </c>
      <c r="B1947" s="39" t="n">
        <v>45981</v>
      </c>
      <c r="C1947" s="40" t="inlineStr">
        <is>
          <t>进港</t>
        </is>
      </c>
      <c r="D1947" s="24" t="inlineStr">
        <is>
          <t>金属矿石</t>
        </is>
      </c>
      <c r="E1947" s="24" t="inlineStr">
        <is>
          <t>国内沿海</t>
        </is>
      </c>
      <c r="F1947" s="24" t="inlineStr">
        <is>
          <t>02号泊位</t>
        </is>
      </c>
      <c r="G1947" s="25" t="n">
        <v>23907</v>
      </c>
      <c r="H1947" s="41" t="n">
        <v>15.51</v>
      </c>
      <c r="I1947" s="41" t="n">
        <v>3.39</v>
      </c>
      <c r="J1947" s="41" t="n">
        <v>15.42</v>
      </c>
      <c r="K1947" s="25" t="n">
        <v>0</v>
      </c>
      <c r="L1947" s="26">
        <f>IF(H1947&lt;=J1947,1,0)</f>
        <v>0</v>
      </c>
    </row>
    <row r="1948">
      <c r="A1948" s="19" t="inlineStr">
        <is>
          <t>QL-324-3</t>
        </is>
      </c>
      <c r="B1948" s="36" t="n">
        <v>45981</v>
      </c>
      <c r="C1948" s="37" t="inlineStr">
        <is>
          <t>进港</t>
        </is>
      </c>
      <c r="D1948" s="19" t="inlineStr">
        <is>
          <t>煤炭</t>
        </is>
      </c>
      <c r="E1948" s="19" t="inlineStr">
        <is>
          <t>东南亚</t>
        </is>
      </c>
      <c r="F1948" s="19" t="inlineStr">
        <is>
          <t>03号泊位</t>
        </is>
      </c>
      <c r="G1948" s="20" t="n">
        <v>9872</v>
      </c>
      <c r="H1948" s="38" t="n">
        <v>7.6</v>
      </c>
      <c r="I1948" s="38" t="n">
        <v>1.2</v>
      </c>
      <c r="J1948" s="38" t="n">
        <v>7.48</v>
      </c>
      <c r="K1948" s="20" t="n">
        <v>0</v>
      </c>
      <c r="L1948" s="26">
        <f>IF(H1948&lt;=J1948,1,0)</f>
        <v>0</v>
      </c>
    </row>
    <row r="1949">
      <c r="A1949" s="24" t="inlineStr">
        <is>
          <t>QL-324-4</t>
        </is>
      </c>
      <c r="B1949" s="39" t="n">
        <v>45981</v>
      </c>
      <c r="C1949" s="40" t="inlineStr">
        <is>
          <t>进港</t>
        </is>
      </c>
      <c r="D1949" s="24" t="inlineStr">
        <is>
          <t>粮食</t>
        </is>
      </c>
      <c r="E1949" s="24" t="inlineStr">
        <is>
          <t>国内沿海</t>
        </is>
      </c>
      <c r="F1949" s="24" t="inlineStr">
        <is>
          <t>04号泊位</t>
        </is>
      </c>
      <c r="G1949" s="25" t="n">
        <v>8552</v>
      </c>
      <c r="H1949" s="41" t="n">
        <v>7.21</v>
      </c>
      <c r="I1949" s="41" t="n">
        <v>6.34</v>
      </c>
      <c r="J1949" s="41" t="n">
        <v>8.380000000000001</v>
      </c>
      <c r="K1949" s="25" t="n">
        <v>0</v>
      </c>
      <c r="L1949" s="26">
        <f>IF(H1949&lt;=J1949,1,0)</f>
        <v>1</v>
      </c>
    </row>
    <row r="1950">
      <c r="A1950" s="19" t="inlineStr">
        <is>
          <t>QL-324-5</t>
        </is>
      </c>
      <c r="B1950" s="36" t="n">
        <v>45981</v>
      </c>
      <c r="C1950" s="37" t="inlineStr">
        <is>
          <t>进港</t>
        </is>
      </c>
      <c r="D1950" s="19" t="inlineStr">
        <is>
          <t>液体散货</t>
        </is>
      </c>
      <c r="E1950" s="19" t="inlineStr">
        <is>
          <t>欧洲</t>
        </is>
      </c>
      <c r="F1950" s="19" t="inlineStr">
        <is>
          <t>05号泊位</t>
        </is>
      </c>
      <c r="G1950" s="20" t="n">
        <v>9940</v>
      </c>
      <c r="H1950" s="38" t="n">
        <v>7.15</v>
      </c>
      <c r="I1950" s="38" t="n">
        <v>6.84</v>
      </c>
      <c r="J1950" s="38" t="n">
        <v>6.9</v>
      </c>
      <c r="K1950" s="20" t="n">
        <v>0</v>
      </c>
      <c r="L1950" s="26">
        <f>IF(H1950&lt;=J1950,1,0)</f>
        <v>0</v>
      </c>
    </row>
    <row r="1951">
      <c r="A1951" s="24" t="inlineStr">
        <is>
          <t>QL-324-6</t>
        </is>
      </c>
      <c r="B1951" s="39" t="n">
        <v>45981</v>
      </c>
      <c r="C1951" s="40" t="inlineStr">
        <is>
          <t>出港</t>
        </is>
      </c>
      <c r="D1951" s="24" t="inlineStr">
        <is>
          <t>件杂货</t>
        </is>
      </c>
      <c r="E1951" s="24" t="inlineStr">
        <is>
          <t>东亚</t>
        </is>
      </c>
      <c r="F1951" s="24" t="inlineStr">
        <is>
          <t>06号泊位</t>
        </is>
      </c>
      <c r="G1951" s="25" t="n">
        <v>5343</v>
      </c>
      <c r="H1951" s="41" t="n">
        <v>10.25</v>
      </c>
      <c r="I1951" s="41" t="n">
        <v>2.05</v>
      </c>
      <c r="J1951" s="41" t="n">
        <v>8.76</v>
      </c>
      <c r="K1951" s="25" t="n">
        <v>0</v>
      </c>
      <c r="L1951" s="26">
        <f>IF(H1951&lt;=J1951,1,0)</f>
        <v>0</v>
      </c>
    </row>
    <row r="1952">
      <c r="A1952" s="19" t="inlineStr">
        <is>
          <t>QL-325-1</t>
        </is>
      </c>
      <c r="B1952" s="36" t="n">
        <v>45982</v>
      </c>
      <c r="C1952" s="37" t="inlineStr">
        <is>
          <t>进港</t>
        </is>
      </c>
      <c r="D1952" s="19" t="inlineStr">
        <is>
          <t>集装箱货物</t>
        </is>
      </c>
      <c r="E1952" s="19" t="inlineStr">
        <is>
          <t>东亚</t>
        </is>
      </c>
      <c r="F1952" s="19" t="inlineStr">
        <is>
          <t>01号泊位</t>
        </is>
      </c>
      <c r="G1952" s="20" t="n">
        <v>9730</v>
      </c>
      <c r="H1952" s="38" t="n">
        <v>12.75</v>
      </c>
      <c r="I1952" s="38" t="n">
        <v>2.25</v>
      </c>
      <c r="J1952" s="38" t="n">
        <v>10.81</v>
      </c>
      <c r="K1952" s="20" t="n">
        <v>639</v>
      </c>
      <c r="L1952" s="26">
        <f>IF(H1952&lt;=J1952,1,0)</f>
        <v>0</v>
      </c>
    </row>
    <row r="1953">
      <c r="A1953" s="24" t="inlineStr">
        <is>
          <t>QL-325-2</t>
        </is>
      </c>
      <c r="B1953" s="39" t="n">
        <v>45982</v>
      </c>
      <c r="C1953" s="40" t="inlineStr">
        <is>
          <t>进港</t>
        </is>
      </c>
      <c r="D1953" s="24" t="inlineStr">
        <is>
          <t>金属矿石</t>
        </is>
      </c>
      <c r="E1953" s="24" t="inlineStr">
        <is>
          <t>国内沿海</t>
        </is>
      </c>
      <c r="F1953" s="24" t="inlineStr">
        <is>
          <t>02号泊位</t>
        </is>
      </c>
      <c r="G1953" s="25" t="n">
        <v>18781</v>
      </c>
      <c r="H1953" s="41" t="n">
        <v>10.7</v>
      </c>
      <c r="I1953" s="41" t="n">
        <v>4.75</v>
      </c>
      <c r="J1953" s="41" t="n">
        <v>12.12</v>
      </c>
      <c r="K1953" s="25" t="n">
        <v>0</v>
      </c>
      <c r="L1953" s="26">
        <f>IF(H1953&lt;=J1953,1,0)</f>
        <v>1</v>
      </c>
    </row>
    <row r="1954">
      <c r="A1954" s="19" t="inlineStr">
        <is>
          <t>QL-325-3</t>
        </is>
      </c>
      <c r="B1954" s="36" t="n">
        <v>45982</v>
      </c>
      <c r="C1954" s="37" t="inlineStr">
        <is>
          <t>进港</t>
        </is>
      </c>
      <c r="D1954" s="19" t="inlineStr">
        <is>
          <t>煤炭</t>
        </is>
      </c>
      <c r="E1954" s="19" t="inlineStr">
        <is>
          <t>东南亚</t>
        </is>
      </c>
      <c r="F1954" s="19" t="inlineStr">
        <is>
          <t>03号泊位</t>
        </is>
      </c>
      <c r="G1954" s="20" t="n">
        <v>11869</v>
      </c>
      <c r="H1954" s="38" t="n">
        <v>9.869999999999999</v>
      </c>
      <c r="I1954" s="38" t="n">
        <v>2.43</v>
      </c>
      <c r="J1954" s="38" t="n">
        <v>8.99</v>
      </c>
      <c r="K1954" s="20" t="n">
        <v>0</v>
      </c>
      <c r="L1954" s="26">
        <f>IF(H1954&lt;=J1954,1,0)</f>
        <v>0</v>
      </c>
    </row>
    <row r="1955">
      <c r="A1955" s="24" t="inlineStr">
        <is>
          <t>QL-325-4</t>
        </is>
      </c>
      <c r="B1955" s="39" t="n">
        <v>45982</v>
      </c>
      <c r="C1955" s="40" t="inlineStr">
        <is>
          <t>进港</t>
        </is>
      </c>
      <c r="D1955" s="24" t="inlineStr">
        <is>
          <t>粮食</t>
        </is>
      </c>
      <c r="E1955" s="24" t="inlineStr">
        <is>
          <t>国内沿海</t>
        </is>
      </c>
      <c r="F1955" s="24" t="inlineStr">
        <is>
          <t>04号泊位</t>
        </is>
      </c>
      <c r="G1955" s="25" t="n">
        <v>6941</v>
      </c>
      <c r="H1955" s="41" t="n">
        <v>6.06</v>
      </c>
      <c r="I1955" s="41" t="n">
        <v>2.04</v>
      </c>
      <c r="J1955" s="41" t="n">
        <v>6.8</v>
      </c>
      <c r="K1955" s="25" t="n">
        <v>0</v>
      </c>
      <c r="L1955" s="26">
        <f>IF(H1955&lt;=J1955,1,0)</f>
        <v>1</v>
      </c>
    </row>
    <row r="1956">
      <c r="A1956" s="19" t="inlineStr">
        <is>
          <t>QL-325-5</t>
        </is>
      </c>
      <c r="B1956" s="36" t="n">
        <v>45982</v>
      </c>
      <c r="C1956" s="37" t="inlineStr">
        <is>
          <t>进港</t>
        </is>
      </c>
      <c r="D1956" s="19" t="inlineStr">
        <is>
          <t>液体散货</t>
        </is>
      </c>
      <c r="E1956" s="19" t="inlineStr">
        <is>
          <t>东南亚</t>
        </is>
      </c>
      <c r="F1956" s="19" t="inlineStr">
        <is>
          <t>05号泊位</t>
        </is>
      </c>
      <c r="G1956" s="20" t="n">
        <v>10766</v>
      </c>
      <c r="H1956" s="38" t="n">
        <v>6.84</v>
      </c>
      <c r="I1956" s="38" t="n">
        <v>4.42</v>
      </c>
      <c r="J1956" s="38" t="n">
        <v>7.48</v>
      </c>
      <c r="K1956" s="20" t="n">
        <v>0</v>
      </c>
      <c r="L1956" s="26">
        <f>IF(H1956&lt;=J1956,1,0)</f>
        <v>1</v>
      </c>
    </row>
    <row r="1957">
      <c r="A1957" s="24" t="inlineStr">
        <is>
          <t>QL-325-6</t>
        </is>
      </c>
      <c r="B1957" s="39" t="n">
        <v>45982</v>
      </c>
      <c r="C1957" s="40" t="inlineStr">
        <is>
          <t>出港</t>
        </is>
      </c>
      <c r="D1957" s="24" t="inlineStr">
        <is>
          <t>件杂货</t>
        </is>
      </c>
      <c r="E1957" s="24" t="inlineStr">
        <is>
          <t>东亚</t>
        </is>
      </c>
      <c r="F1957" s="24" t="inlineStr">
        <is>
          <t>06号泊位</t>
        </is>
      </c>
      <c r="G1957" s="25" t="n">
        <v>4670</v>
      </c>
      <c r="H1957" s="41" t="n">
        <v>8.49</v>
      </c>
      <c r="I1957" s="41" t="n">
        <v>1.94</v>
      </c>
      <c r="J1957" s="41" t="n">
        <v>7.66</v>
      </c>
      <c r="K1957" s="25" t="n">
        <v>0</v>
      </c>
      <c r="L1957" s="26">
        <f>IF(H1957&lt;=J1957,1,0)</f>
        <v>0</v>
      </c>
    </row>
    <row r="1958">
      <c r="A1958" s="19" t="inlineStr">
        <is>
          <t>QL-326-1</t>
        </is>
      </c>
      <c r="B1958" s="36" t="n">
        <v>45983</v>
      </c>
      <c r="C1958" s="37" t="inlineStr">
        <is>
          <t>出港</t>
        </is>
      </c>
      <c r="D1958" s="19" t="inlineStr">
        <is>
          <t>集装箱货物</t>
        </is>
      </c>
      <c r="E1958" s="19" t="inlineStr">
        <is>
          <t>欧洲</t>
        </is>
      </c>
      <c r="F1958" s="19" t="inlineStr">
        <is>
          <t>01号泊位</t>
        </is>
      </c>
      <c r="G1958" s="20" t="n">
        <v>11372</v>
      </c>
      <c r="H1958" s="38" t="n">
        <v>13.91</v>
      </c>
      <c r="I1958" s="38" t="n">
        <v>2.77</v>
      </c>
      <c r="J1958" s="38" t="n">
        <v>12.64</v>
      </c>
      <c r="K1958" s="20" t="n">
        <v>681</v>
      </c>
      <c r="L1958" s="26">
        <f>IF(H1958&lt;=J1958,1,0)</f>
        <v>0</v>
      </c>
    </row>
    <row r="1959">
      <c r="A1959" s="24" t="inlineStr">
        <is>
          <t>QL-326-2</t>
        </is>
      </c>
      <c r="B1959" s="39" t="n">
        <v>45983</v>
      </c>
      <c r="C1959" s="40" t="inlineStr">
        <is>
          <t>进港</t>
        </is>
      </c>
      <c r="D1959" s="24" t="inlineStr">
        <is>
          <t>金属矿石</t>
        </is>
      </c>
      <c r="E1959" s="24" t="inlineStr">
        <is>
          <t>国内沿海</t>
        </is>
      </c>
      <c r="F1959" s="24" t="inlineStr">
        <is>
          <t>02号泊位</t>
        </is>
      </c>
      <c r="G1959" s="25" t="n">
        <v>17125</v>
      </c>
      <c r="H1959" s="41" t="n">
        <v>9.449999999999999</v>
      </c>
      <c r="I1959" s="41" t="n">
        <v>2.48</v>
      </c>
      <c r="J1959" s="41" t="n">
        <v>11.05</v>
      </c>
      <c r="K1959" s="25" t="n">
        <v>0</v>
      </c>
      <c r="L1959" s="26">
        <f>IF(H1959&lt;=J1959,1,0)</f>
        <v>1</v>
      </c>
    </row>
    <row r="1960">
      <c r="A1960" s="19" t="inlineStr">
        <is>
          <t>QL-326-3</t>
        </is>
      </c>
      <c r="B1960" s="36" t="n">
        <v>45983</v>
      </c>
      <c r="C1960" s="37" t="inlineStr">
        <is>
          <t>进港</t>
        </is>
      </c>
      <c r="D1960" s="19" t="inlineStr">
        <is>
          <t>煤炭</t>
        </is>
      </c>
      <c r="E1960" s="19" t="inlineStr">
        <is>
          <t>东南亚</t>
        </is>
      </c>
      <c r="F1960" s="19" t="inlineStr">
        <is>
          <t>03号泊位</t>
        </is>
      </c>
      <c r="G1960" s="20" t="n">
        <v>11654</v>
      </c>
      <c r="H1960" s="38" t="n">
        <v>8.76</v>
      </c>
      <c r="I1960" s="38" t="n">
        <v>1.15</v>
      </c>
      <c r="J1960" s="38" t="n">
        <v>8.83</v>
      </c>
      <c r="K1960" s="20" t="n">
        <v>0</v>
      </c>
      <c r="L1960" s="26">
        <f>IF(H1960&lt;=J1960,1,0)</f>
        <v>1</v>
      </c>
    </row>
    <row r="1961">
      <c r="A1961" s="24" t="inlineStr">
        <is>
          <t>QL-326-4</t>
        </is>
      </c>
      <c r="B1961" s="39" t="n">
        <v>45983</v>
      </c>
      <c r="C1961" s="40" t="inlineStr">
        <is>
          <t>进港</t>
        </is>
      </c>
      <c r="D1961" s="24" t="inlineStr">
        <is>
          <t>粮食</t>
        </is>
      </c>
      <c r="E1961" s="24" t="inlineStr">
        <is>
          <t>欧洲</t>
        </is>
      </c>
      <c r="F1961" s="24" t="inlineStr">
        <is>
          <t>04号泊位</t>
        </is>
      </c>
      <c r="G1961" s="25" t="n">
        <v>9746</v>
      </c>
      <c r="H1961" s="41" t="n">
        <v>10.84</v>
      </c>
      <c r="I1961" s="41" t="n">
        <v>1.94</v>
      </c>
      <c r="J1961" s="41" t="n">
        <v>9.550000000000001</v>
      </c>
      <c r="K1961" s="25" t="n">
        <v>0</v>
      </c>
      <c r="L1961" s="26">
        <f>IF(H1961&lt;=J1961,1,0)</f>
        <v>0</v>
      </c>
    </row>
    <row r="1962">
      <c r="A1962" s="19" t="inlineStr">
        <is>
          <t>QL-326-5</t>
        </is>
      </c>
      <c r="B1962" s="36" t="n">
        <v>45983</v>
      </c>
      <c r="C1962" s="37" t="inlineStr">
        <is>
          <t>出港</t>
        </is>
      </c>
      <c r="D1962" s="19" t="inlineStr">
        <is>
          <t>液体散货</t>
        </is>
      </c>
      <c r="E1962" s="19" t="inlineStr">
        <is>
          <t>东南亚</t>
        </is>
      </c>
      <c r="F1962" s="19" t="inlineStr">
        <is>
          <t>05号泊位</t>
        </is>
      </c>
      <c r="G1962" s="20" t="n">
        <v>13345</v>
      </c>
      <c r="H1962" s="38" t="n">
        <v>8.039999999999999</v>
      </c>
      <c r="I1962" s="38" t="n">
        <v>2.19</v>
      </c>
      <c r="J1962" s="38" t="n">
        <v>9.27</v>
      </c>
      <c r="K1962" s="20" t="n">
        <v>0</v>
      </c>
      <c r="L1962" s="26">
        <f>IF(H1962&lt;=J1962,1,0)</f>
        <v>1</v>
      </c>
    </row>
    <row r="1963">
      <c r="A1963" s="24" t="inlineStr">
        <is>
          <t>QL-326-6</t>
        </is>
      </c>
      <c r="B1963" s="39" t="n">
        <v>45983</v>
      </c>
      <c r="C1963" s="40" t="inlineStr">
        <is>
          <t>进港</t>
        </is>
      </c>
      <c r="D1963" s="24" t="inlineStr">
        <is>
          <t>件杂货</t>
        </is>
      </c>
      <c r="E1963" s="24" t="inlineStr">
        <is>
          <t>东南亚</t>
        </is>
      </c>
      <c r="F1963" s="24" t="inlineStr">
        <is>
          <t>06号泊位</t>
        </is>
      </c>
      <c r="G1963" s="25" t="n">
        <v>4930</v>
      </c>
      <c r="H1963" s="41" t="n">
        <v>9.619999999999999</v>
      </c>
      <c r="I1963" s="41" t="n">
        <v>1.4</v>
      </c>
      <c r="J1963" s="41" t="n">
        <v>8.08</v>
      </c>
      <c r="K1963" s="25" t="n">
        <v>0</v>
      </c>
      <c r="L1963" s="26">
        <f>IF(H1963&lt;=J1963,1,0)</f>
        <v>0</v>
      </c>
    </row>
    <row r="1964">
      <c r="A1964" s="19" t="inlineStr">
        <is>
          <t>QL-327-1</t>
        </is>
      </c>
      <c r="B1964" s="36" t="n">
        <v>45984</v>
      </c>
      <c r="C1964" s="37" t="inlineStr">
        <is>
          <t>进港</t>
        </is>
      </c>
      <c r="D1964" s="19" t="inlineStr">
        <is>
          <t>集装箱货物</t>
        </is>
      </c>
      <c r="E1964" s="19" t="inlineStr">
        <is>
          <t>东亚</t>
        </is>
      </c>
      <c r="F1964" s="19" t="inlineStr">
        <is>
          <t>01号泊位</t>
        </is>
      </c>
      <c r="G1964" s="20" t="n">
        <v>7666</v>
      </c>
      <c r="H1964" s="38" t="n">
        <v>7.49</v>
      </c>
      <c r="I1964" s="38" t="n">
        <v>0.3</v>
      </c>
      <c r="J1964" s="38" t="n">
        <v>8.52</v>
      </c>
      <c r="K1964" s="20" t="n">
        <v>531</v>
      </c>
      <c r="L1964" s="26">
        <f>IF(H1964&lt;=J1964,1,0)</f>
        <v>1</v>
      </c>
    </row>
    <row r="1965">
      <c r="A1965" s="24" t="inlineStr">
        <is>
          <t>QL-327-2</t>
        </is>
      </c>
      <c r="B1965" s="39" t="n">
        <v>45984</v>
      </c>
      <c r="C1965" s="40" t="inlineStr">
        <is>
          <t>进港</t>
        </is>
      </c>
      <c r="D1965" s="24" t="inlineStr">
        <is>
          <t>金属矿石</t>
        </is>
      </c>
      <c r="E1965" s="24" t="inlineStr">
        <is>
          <t>国内沿海</t>
        </is>
      </c>
      <c r="F1965" s="24" t="inlineStr">
        <is>
          <t>02号泊位</t>
        </is>
      </c>
      <c r="G1965" s="25" t="n">
        <v>18766</v>
      </c>
      <c r="H1965" s="41" t="n">
        <v>12.08</v>
      </c>
      <c r="I1965" s="41" t="n">
        <v>1.27</v>
      </c>
      <c r="J1965" s="41" t="n">
        <v>12.11</v>
      </c>
      <c r="K1965" s="25" t="n">
        <v>0</v>
      </c>
      <c r="L1965" s="26">
        <f>IF(H1965&lt;=J1965,1,0)</f>
        <v>1</v>
      </c>
    </row>
    <row r="1966">
      <c r="A1966" s="19" t="inlineStr">
        <is>
          <t>QL-327-3</t>
        </is>
      </c>
      <c r="B1966" s="36" t="n">
        <v>45984</v>
      </c>
      <c r="C1966" s="37" t="inlineStr">
        <is>
          <t>出港</t>
        </is>
      </c>
      <c r="D1966" s="19" t="inlineStr">
        <is>
          <t>煤炭</t>
        </is>
      </c>
      <c r="E1966" s="19" t="inlineStr">
        <is>
          <t>东亚</t>
        </is>
      </c>
      <c r="F1966" s="19" t="inlineStr">
        <is>
          <t>03号泊位</t>
        </is>
      </c>
      <c r="G1966" s="20" t="n">
        <v>13870</v>
      </c>
      <c r="H1966" s="38" t="n">
        <v>8.58</v>
      </c>
      <c r="I1966" s="38" t="n">
        <v>0.3</v>
      </c>
      <c r="J1966" s="38" t="n">
        <v>10.51</v>
      </c>
      <c r="K1966" s="20" t="n">
        <v>0</v>
      </c>
      <c r="L1966" s="26">
        <f>IF(H1966&lt;=J1966,1,0)</f>
        <v>1</v>
      </c>
    </row>
    <row r="1967">
      <c r="A1967" s="24" t="inlineStr">
        <is>
          <t>QL-327-4</t>
        </is>
      </c>
      <c r="B1967" s="39" t="n">
        <v>45984</v>
      </c>
      <c r="C1967" s="40" t="inlineStr">
        <is>
          <t>进港</t>
        </is>
      </c>
      <c r="D1967" s="24" t="inlineStr">
        <is>
          <t>粮食</t>
        </is>
      </c>
      <c r="E1967" s="24" t="inlineStr">
        <is>
          <t>国内沿海</t>
        </is>
      </c>
      <c r="F1967" s="24" t="inlineStr">
        <is>
          <t>04号泊位</t>
        </is>
      </c>
      <c r="G1967" s="25" t="n">
        <v>10790</v>
      </c>
      <c r="H1967" s="41" t="n">
        <v>10.87</v>
      </c>
      <c r="I1967" s="41" t="n">
        <v>2.7</v>
      </c>
      <c r="J1967" s="41" t="n">
        <v>10.58</v>
      </c>
      <c r="K1967" s="25" t="n">
        <v>0</v>
      </c>
      <c r="L1967" s="26">
        <f>IF(H1967&lt;=J1967,1,0)</f>
        <v>0</v>
      </c>
    </row>
    <row r="1968">
      <c r="A1968" s="19" t="inlineStr">
        <is>
          <t>QL-327-5</t>
        </is>
      </c>
      <c r="B1968" s="36" t="n">
        <v>45984</v>
      </c>
      <c r="C1968" s="37" t="inlineStr">
        <is>
          <t>进港</t>
        </is>
      </c>
      <c r="D1968" s="19" t="inlineStr">
        <is>
          <t>液体散货</t>
        </is>
      </c>
      <c r="E1968" s="19" t="inlineStr">
        <is>
          <t>东南亚</t>
        </is>
      </c>
      <c r="F1968" s="19" t="inlineStr">
        <is>
          <t>05号泊位</t>
        </is>
      </c>
      <c r="G1968" s="20" t="n">
        <v>15753</v>
      </c>
      <c r="H1968" s="38" t="n">
        <v>10.04</v>
      </c>
      <c r="I1968" s="38" t="n">
        <v>1.94</v>
      </c>
      <c r="J1968" s="38" t="n">
        <v>10.94</v>
      </c>
      <c r="K1968" s="20" t="n">
        <v>0</v>
      </c>
      <c r="L1968" s="26">
        <f>IF(H1968&lt;=J1968,1,0)</f>
        <v>1</v>
      </c>
    </row>
    <row r="1969">
      <c r="A1969" s="24" t="inlineStr">
        <is>
          <t>QL-327-6</t>
        </is>
      </c>
      <c r="B1969" s="39" t="n">
        <v>45984</v>
      </c>
      <c r="C1969" s="40" t="inlineStr">
        <is>
          <t>出港</t>
        </is>
      </c>
      <c r="D1969" s="24" t="inlineStr">
        <is>
          <t>件杂货</t>
        </is>
      </c>
      <c r="E1969" s="24" t="inlineStr">
        <is>
          <t>东亚</t>
        </is>
      </c>
      <c r="F1969" s="24" t="inlineStr">
        <is>
          <t>06号泊位</t>
        </is>
      </c>
      <c r="G1969" s="25" t="n">
        <v>5300</v>
      </c>
      <c r="H1969" s="41" t="n">
        <v>9</v>
      </c>
      <c r="I1969" s="41" t="n">
        <v>0.43</v>
      </c>
      <c r="J1969" s="41" t="n">
        <v>8.69</v>
      </c>
      <c r="K1969" s="25" t="n">
        <v>0</v>
      </c>
      <c r="L1969" s="26">
        <f>IF(H1969&lt;=J1969,1,0)</f>
        <v>0</v>
      </c>
    </row>
    <row r="1970">
      <c r="A1970" s="19" t="inlineStr">
        <is>
          <t>QL-328-1</t>
        </is>
      </c>
      <c r="B1970" s="36" t="n">
        <v>45985</v>
      </c>
      <c r="C1970" s="37" t="inlineStr">
        <is>
          <t>出港</t>
        </is>
      </c>
      <c r="D1970" s="19" t="inlineStr">
        <is>
          <t>集装箱货物</t>
        </is>
      </c>
      <c r="E1970" s="19" t="inlineStr">
        <is>
          <t>东南亚</t>
        </is>
      </c>
      <c r="F1970" s="19" t="inlineStr">
        <is>
          <t>01号泊位</t>
        </is>
      </c>
      <c r="G1970" s="20" t="n">
        <v>16291</v>
      </c>
      <c r="H1970" s="38" t="n">
        <v>16.74</v>
      </c>
      <c r="I1970" s="38" t="n">
        <v>13.81</v>
      </c>
      <c r="J1970" s="38" t="n">
        <v>18.1</v>
      </c>
      <c r="K1970" s="20" t="n">
        <v>1278</v>
      </c>
      <c r="L1970" s="26">
        <f>IF(H1970&lt;=J1970,1,0)</f>
        <v>1</v>
      </c>
    </row>
    <row r="1971">
      <c r="A1971" s="24" t="inlineStr">
        <is>
          <t>QL-328-2</t>
        </is>
      </c>
      <c r="B1971" s="39" t="n">
        <v>45985</v>
      </c>
      <c r="C1971" s="40" t="inlineStr">
        <is>
          <t>进港</t>
        </is>
      </c>
      <c r="D1971" s="24" t="inlineStr">
        <is>
          <t>金属矿石</t>
        </is>
      </c>
      <c r="E1971" s="24" t="inlineStr">
        <is>
          <t>国内沿海</t>
        </is>
      </c>
      <c r="F1971" s="24" t="inlineStr">
        <is>
          <t>02号泊位</t>
        </is>
      </c>
      <c r="G1971" s="25" t="n">
        <v>21950</v>
      </c>
      <c r="H1971" s="41" t="n">
        <v>15.48</v>
      </c>
      <c r="I1971" s="41" t="n">
        <v>3.4</v>
      </c>
      <c r="J1971" s="41" t="n">
        <v>14.16</v>
      </c>
      <c r="K1971" s="25" t="n">
        <v>0</v>
      </c>
      <c r="L1971" s="26">
        <f>IF(H1971&lt;=J1971,1,0)</f>
        <v>0</v>
      </c>
    </row>
    <row r="1972">
      <c r="A1972" s="19" t="inlineStr">
        <is>
          <t>QL-328-3</t>
        </is>
      </c>
      <c r="B1972" s="36" t="n">
        <v>45985</v>
      </c>
      <c r="C1972" s="37" t="inlineStr">
        <is>
          <t>出港</t>
        </is>
      </c>
      <c r="D1972" s="19" t="inlineStr">
        <is>
          <t>煤炭</t>
        </is>
      </c>
      <c r="E1972" s="19" t="inlineStr">
        <is>
          <t>欧洲</t>
        </is>
      </c>
      <c r="F1972" s="19" t="inlineStr">
        <is>
          <t>03号泊位</t>
        </is>
      </c>
      <c r="G1972" s="20" t="n">
        <v>19024</v>
      </c>
      <c r="H1972" s="38" t="n">
        <v>15.99</v>
      </c>
      <c r="I1972" s="38" t="n">
        <v>2.9</v>
      </c>
      <c r="J1972" s="38" t="n">
        <v>14.41</v>
      </c>
      <c r="K1972" s="20" t="n">
        <v>0</v>
      </c>
      <c r="L1972" s="26">
        <f>IF(H1972&lt;=J1972,1,0)</f>
        <v>0</v>
      </c>
    </row>
    <row r="1973">
      <c r="A1973" s="24" t="inlineStr">
        <is>
          <t>QL-328-4</t>
        </is>
      </c>
      <c r="B1973" s="39" t="n">
        <v>45985</v>
      </c>
      <c r="C1973" s="40" t="inlineStr">
        <is>
          <t>出港</t>
        </is>
      </c>
      <c r="D1973" s="24" t="inlineStr">
        <is>
          <t>粮食</t>
        </is>
      </c>
      <c r="E1973" s="24" t="inlineStr">
        <is>
          <t>东亚</t>
        </is>
      </c>
      <c r="F1973" s="24" t="inlineStr">
        <is>
          <t>04号泊位</t>
        </is>
      </c>
      <c r="G1973" s="25" t="n">
        <v>7026</v>
      </c>
      <c r="H1973" s="41" t="n">
        <v>7.12</v>
      </c>
      <c r="I1973" s="41" t="n">
        <v>2.63</v>
      </c>
      <c r="J1973" s="41" t="n">
        <v>6.89</v>
      </c>
      <c r="K1973" s="25" t="n">
        <v>0</v>
      </c>
      <c r="L1973" s="26">
        <f>IF(H1973&lt;=J1973,1,0)</f>
        <v>0</v>
      </c>
    </row>
    <row r="1974">
      <c r="A1974" s="19" t="inlineStr">
        <is>
          <t>QL-328-5</t>
        </is>
      </c>
      <c r="B1974" s="36" t="n">
        <v>45985</v>
      </c>
      <c r="C1974" s="37" t="inlineStr">
        <is>
          <t>进港</t>
        </is>
      </c>
      <c r="D1974" s="19" t="inlineStr">
        <is>
          <t>液体散货</t>
        </is>
      </c>
      <c r="E1974" s="19" t="inlineStr">
        <is>
          <t>东亚</t>
        </is>
      </c>
      <c r="F1974" s="19" t="inlineStr">
        <is>
          <t>05号泊位</t>
        </is>
      </c>
      <c r="G1974" s="20" t="n">
        <v>11891</v>
      </c>
      <c r="H1974" s="38" t="n">
        <v>8.51</v>
      </c>
      <c r="I1974" s="38" t="n">
        <v>1.11</v>
      </c>
      <c r="J1974" s="38" t="n">
        <v>8.26</v>
      </c>
      <c r="K1974" s="20" t="n">
        <v>0</v>
      </c>
      <c r="L1974" s="26">
        <f>IF(H1974&lt;=J1974,1,0)</f>
        <v>0</v>
      </c>
    </row>
    <row r="1975">
      <c r="A1975" s="24" t="inlineStr">
        <is>
          <t>QL-328-6</t>
        </is>
      </c>
      <c r="B1975" s="39" t="n">
        <v>45985</v>
      </c>
      <c r="C1975" s="40" t="inlineStr">
        <is>
          <t>出港</t>
        </is>
      </c>
      <c r="D1975" s="24" t="inlineStr">
        <is>
          <t>件杂货</t>
        </is>
      </c>
      <c r="E1975" s="24" t="inlineStr">
        <is>
          <t>国内沿海</t>
        </is>
      </c>
      <c r="F1975" s="24" t="inlineStr">
        <is>
          <t>06号泊位</t>
        </is>
      </c>
      <c r="G1975" s="25" t="n">
        <v>5144</v>
      </c>
      <c r="H1975" s="41" t="n">
        <v>9.91</v>
      </c>
      <c r="I1975" s="41" t="n">
        <v>2.29</v>
      </c>
      <c r="J1975" s="41" t="n">
        <v>8.43</v>
      </c>
      <c r="K1975" s="25" t="n">
        <v>0</v>
      </c>
      <c r="L1975" s="26">
        <f>IF(H1975&lt;=J1975,1,0)</f>
        <v>0</v>
      </c>
    </row>
    <row r="1976">
      <c r="A1976" s="19" t="inlineStr">
        <is>
          <t>QL-329-1</t>
        </is>
      </c>
      <c r="B1976" s="36" t="n">
        <v>45986</v>
      </c>
      <c r="C1976" s="37" t="inlineStr">
        <is>
          <t>出港</t>
        </is>
      </c>
      <c r="D1976" s="19" t="inlineStr">
        <is>
          <t>集装箱货物</t>
        </is>
      </c>
      <c r="E1976" s="19" t="inlineStr">
        <is>
          <t>北美</t>
        </is>
      </c>
      <c r="F1976" s="19" t="inlineStr">
        <is>
          <t>01号泊位</t>
        </is>
      </c>
      <c r="G1976" s="20" t="n">
        <v>9804</v>
      </c>
      <c r="H1976" s="38" t="n">
        <v>12.21</v>
      </c>
      <c r="I1976" s="38" t="n">
        <v>3.42</v>
      </c>
      <c r="J1976" s="38" t="n">
        <v>10.89</v>
      </c>
      <c r="K1976" s="20" t="n">
        <v>678</v>
      </c>
      <c r="L1976" s="26">
        <f>IF(H1976&lt;=J1976,1,0)</f>
        <v>0</v>
      </c>
    </row>
    <row r="1977">
      <c r="A1977" s="24" t="inlineStr">
        <is>
          <t>QL-329-2</t>
        </is>
      </c>
      <c r="B1977" s="39" t="n">
        <v>45986</v>
      </c>
      <c r="C1977" s="40" t="inlineStr">
        <is>
          <t>进港</t>
        </is>
      </c>
      <c r="D1977" s="24" t="inlineStr">
        <is>
          <t>金属矿石</t>
        </is>
      </c>
      <c r="E1977" s="24" t="inlineStr">
        <is>
          <t>欧洲</t>
        </is>
      </c>
      <c r="F1977" s="24" t="inlineStr">
        <is>
          <t>02号泊位</t>
        </is>
      </c>
      <c r="G1977" s="25" t="n">
        <v>21505</v>
      </c>
      <c r="H1977" s="41" t="n">
        <v>11.93</v>
      </c>
      <c r="I1977" s="41" t="n">
        <v>0.3</v>
      </c>
      <c r="J1977" s="41" t="n">
        <v>13.87</v>
      </c>
      <c r="K1977" s="25" t="n">
        <v>0</v>
      </c>
      <c r="L1977" s="26">
        <f>IF(H1977&lt;=J1977,1,0)</f>
        <v>1</v>
      </c>
    </row>
    <row r="1978">
      <c r="A1978" s="19" t="inlineStr">
        <is>
          <t>QL-329-3</t>
        </is>
      </c>
      <c r="B1978" s="36" t="n">
        <v>45986</v>
      </c>
      <c r="C1978" s="37" t="inlineStr">
        <is>
          <t>进港</t>
        </is>
      </c>
      <c r="D1978" s="19" t="inlineStr">
        <is>
          <t>煤炭</t>
        </is>
      </c>
      <c r="E1978" s="19" t="inlineStr">
        <is>
          <t>北美</t>
        </is>
      </c>
      <c r="F1978" s="19" t="inlineStr">
        <is>
          <t>03号泊位</t>
        </is>
      </c>
      <c r="G1978" s="20" t="n">
        <v>17869</v>
      </c>
      <c r="H1978" s="38" t="n">
        <v>14.35</v>
      </c>
      <c r="I1978" s="38" t="n">
        <v>0.52</v>
      </c>
      <c r="J1978" s="38" t="n">
        <v>13.54</v>
      </c>
      <c r="K1978" s="20" t="n">
        <v>0</v>
      </c>
      <c r="L1978" s="26">
        <f>IF(H1978&lt;=J1978,1,0)</f>
        <v>0</v>
      </c>
    </row>
    <row r="1979">
      <c r="A1979" s="24" t="inlineStr">
        <is>
          <t>QL-329-4</t>
        </is>
      </c>
      <c r="B1979" s="39" t="n">
        <v>45986</v>
      </c>
      <c r="C1979" s="40" t="inlineStr">
        <is>
          <t>出港</t>
        </is>
      </c>
      <c r="D1979" s="24" t="inlineStr">
        <is>
          <t>粮食</t>
        </is>
      </c>
      <c r="E1979" s="24" t="inlineStr">
        <is>
          <t>东亚</t>
        </is>
      </c>
      <c r="F1979" s="24" t="inlineStr">
        <is>
          <t>04号泊位</t>
        </is>
      </c>
      <c r="G1979" s="25" t="n">
        <v>13229</v>
      </c>
      <c r="H1979" s="41" t="n">
        <v>10.48</v>
      </c>
      <c r="I1979" s="41" t="n">
        <v>1.76</v>
      </c>
      <c r="J1979" s="41" t="n">
        <v>12.97</v>
      </c>
      <c r="K1979" s="25" t="n">
        <v>0</v>
      </c>
      <c r="L1979" s="26">
        <f>IF(H1979&lt;=J1979,1,0)</f>
        <v>1</v>
      </c>
    </row>
    <row r="1980">
      <c r="A1980" s="19" t="inlineStr">
        <is>
          <t>QL-329-5</t>
        </is>
      </c>
      <c r="B1980" s="36" t="n">
        <v>45986</v>
      </c>
      <c r="C1980" s="37" t="inlineStr">
        <is>
          <t>进港</t>
        </is>
      </c>
      <c r="D1980" s="19" t="inlineStr">
        <is>
          <t>液体散货</t>
        </is>
      </c>
      <c r="E1980" s="19" t="inlineStr">
        <is>
          <t>东南亚</t>
        </is>
      </c>
      <c r="F1980" s="19" t="inlineStr">
        <is>
          <t>05号泊位</t>
        </is>
      </c>
      <c r="G1980" s="20" t="n">
        <v>17500</v>
      </c>
      <c r="H1980" s="38" t="n">
        <v>13.06</v>
      </c>
      <c r="I1980" s="38" t="n">
        <v>3.45</v>
      </c>
      <c r="J1980" s="38" t="n">
        <v>12.15</v>
      </c>
      <c r="K1980" s="20" t="n">
        <v>0</v>
      </c>
      <c r="L1980" s="26">
        <f>IF(H1980&lt;=J1980,1,0)</f>
        <v>0</v>
      </c>
    </row>
    <row r="1981">
      <c r="A1981" s="24" t="inlineStr">
        <is>
          <t>QL-329-6</t>
        </is>
      </c>
      <c r="B1981" s="39" t="n">
        <v>45986</v>
      </c>
      <c r="C1981" s="40" t="inlineStr">
        <is>
          <t>出港</t>
        </is>
      </c>
      <c r="D1981" s="24" t="inlineStr">
        <is>
          <t>件杂货</t>
        </is>
      </c>
      <c r="E1981" s="24" t="inlineStr">
        <is>
          <t>北美</t>
        </is>
      </c>
      <c r="F1981" s="24" t="inlineStr">
        <is>
          <t>06号泊位</t>
        </is>
      </c>
      <c r="G1981" s="25" t="n">
        <v>6292</v>
      </c>
      <c r="H1981" s="41" t="n">
        <v>9.6</v>
      </c>
      <c r="I1981" s="41" t="n">
        <v>3.93</v>
      </c>
      <c r="J1981" s="41" t="n">
        <v>10.31</v>
      </c>
      <c r="K1981" s="25" t="n">
        <v>0</v>
      </c>
      <c r="L1981" s="26">
        <f>IF(H1981&lt;=J1981,1,0)</f>
        <v>1</v>
      </c>
    </row>
    <row r="1982">
      <c r="A1982" s="19" t="inlineStr">
        <is>
          <t>QL-330-1</t>
        </is>
      </c>
      <c r="B1982" s="36" t="n">
        <v>45987</v>
      </c>
      <c r="C1982" s="37" t="inlineStr">
        <is>
          <t>进港</t>
        </is>
      </c>
      <c r="D1982" s="19" t="inlineStr">
        <is>
          <t>集装箱货物</t>
        </is>
      </c>
      <c r="E1982" s="19" t="inlineStr">
        <is>
          <t>东亚</t>
        </is>
      </c>
      <c r="F1982" s="19" t="inlineStr">
        <is>
          <t>01号泊位</t>
        </is>
      </c>
      <c r="G1982" s="20" t="n">
        <v>6825</v>
      </c>
      <c r="H1982" s="38" t="n">
        <v>8.119999999999999</v>
      </c>
      <c r="I1982" s="38" t="n">
        <v>1.28</v>
      </c>
      <c r="J1982" s="38" t="n">
        <v>7.58</v>
      </c>
      <c r="K1982" s="20" t="n">
        <v>430</v>
      </c>
      <c r="L1982" s="26">
        <f>IF(H1982&lt;=J1982,1,0)</f>
        <v>0</v>
      </c>
    </row>
    <row r="1983">
      <c r="A1983" s="24" t="inlineStr">
        <is>
          <t>QL-330-2</t>
        </is>
      </c>
      <c r="B1983" s="39" t="n">
        <v>45987</v>
      </c>
      <c r="C1983" s="40" t="inlineStr">
        <is>
          <t>进港</t>
        </is>
      </c>
      <c r="D1983" s="24" t="inlineStr">
        <is>
          <t>金属矿石</t>
        </is>
      </c>
      <c r="E1983" s="24" t="inlineStr">
        <is>
          <t>国内沿海</t>
        </is>
      </c>
      <c r="F1983" s="24" t="inlineStr">
        <is>
          <t>02号泊位</t>
        </is>
      </c>
      <c r="G1983" s="25" t="n">
        <v>24867</v>
      </c>
      <c r="H1983" s="41" t="n">
        <v>15.57</v>
      </c>
      <c r="I1983" s="41" t="n">
        <v>4</v>
      </c>
      <c r="J1983" s="41" t="n">
        <v>16.04</v>
      </c>
      <c r="K1983" s="25" t="n">
        <v>0</v>
      </c>
      <c r="L1983" s="26">
        <f>IF(H1983&lt;=J1983,1,0)</f>
        <v>1</v>
      </c>
    </row>
    <row r="1984">
      <c r="A1984" s="19" t="inlineStr">
        <is>
          <t>QL-330-3</t>
        </is>
      </c>
      <c r="B1984" s="36" t="n">
        <v>45987</v>
      </c>
      <c r="C1984" s="37" t="inlineStr">
        <is>
          <t>出港</t>
        </is>
      </c>
      <c r="D1984" s="19" t="inlineStr">
        <is>
          <t>煤炭</t>
        </is>
      </c>
      <c r="E1984" s="19" t="inlineStr">
        <is>
          <t>东亚</t>
        </is>
      </c>
      <c r="F1984" s="19" t="inlineStr">
        <is>
          <t>03号泊位</t>
        </is>
      </c>
      <c r="G1984" s="20" t="n">
        <v>13097</v>
      </c>
      <c r="H1984" s="38" t="n">
        <v>9.08</v>
      </c>
      <c r="I1984" s="38" t="n">
        <v>3.48</v>
      </c>
      <c r="J1984" s="38" t="n">
        <v>9.92</v>
      </c>
      <c r="K1984" s="20" t="n">
        <v>0</v>
      </c>
      <c r="L1984" s="26">
        <f>IF(H1984&lt;=J1984,1,0)</f>
        <v>1</v>
      </c>
    </row>
    <row r="1985">
      <c r="A1985" s="24" t="inlineStr">
        <is>
          <t>QL-330-4</t>
        </is>
      </c>
      <c r="B1985" s="39" t="n">
        <v>45987</v>
      </c>
      <c r="C1985" s="40" t="inlineStr">
        <is>
          <t>出港</t>
        </is>
      </c>
      <c r="D1985" s="24" t="inlineStr">
        <is>
          <t>粮食</t>
        </is>
      </c>
      <c r="E1985" s="24" t="inlineStr">
        <is>
          <t>东南亚</t>
        </is>
      </c>
      <c r="F1985" s="24" t="inlineStr">
        <is>
          <t>04号泊位</t>
        </is>
      </c>
      <c r="G1985" s="25" t="n">
        <v>7648</v>
      </c>
      <c r="H1985" s="41" t="n">
        <v>7.73</v>
      </c>
      <c r="I1985" s="41" t="n">
        <v>1.71</v>
      </c>
      <c r="J1985" s="41" t="n">
        <v>7.5</v>
      </c>
      <c r="K1985" s="25" t="n">
        <v>0</v>
      </c>
      <c r="L1985" s="26">
        <f>IF(H1985&lt;=J1985,1,0)</f>
        <v>0</v>
      </c>
    </row>
    <row r="1986">
      <c r="A1986" s="19" t="inlineStr">
        <is>
          <t>QL-330-5</t>
        </is>
      </c>
      <c r="B1986" s="36" t="n">
        <v>45987</v>
      </c>
      <c r="C1986" s="37" t="inlineStr">
        <is>
          <t>进港</t>
        </is>
      </c>
      <c r="D1986" s="19" t="inlineStr">
        <is>
          <t>液体散货</t>
        </is>
      </c>
      <c r="E1986" s="19" t="inlineStr">
        <is>
          <t>东南亚</t>
        </is>
      </c>
      <c r="F1986" s="19" t="inlineStr">
        <is>
          <t>05号泊位</t>
        </is>
      </c>
      <c r="G1986" s="20" t="n">
        <v>10528</v>
      </c>
      <c r="H1986" s="38" t="n">
        <v>7.89</v>
      </c>
      <c r="I1986" s="38" t="n">
        <v>3.76</v>
      </c>
      <c r="J1986" s="38" t="n">
        <v>7.31</v>
      </c>
      <c r="K1986" s="20" t="n">
        <v>0</v>
      </c>
      <c r="L1986" s="26">
        <f>IF(H1986&lt;=J1986,1,0)</f>
        <v>0</v>
      </c>
    </row>
    <row r="1987">
      <c r="A1987" s="24" t="inlineStr">
        <is>
          <t>QL-330-6</t>
        </is>
      </c>
      <c r="B1987" s="39" t="n">
        <v>45987</v>
      </c>
      <c r="C1987" s="40" t="inlineStr">
        <is>
          <t>出港</t>
        </is>
      </c>
      <c r="D1987" s="24" t="inlineStr">
        <is>
          <t>件杂货</t>
        </is>
      </c>
      <c r="E1987" s="24" t="inlineStr">
        <is>
          <t>北美</t>
        </is>
      </c>
      <c r="F1987" s="24" t="inlineStr">
        <is>
          <t>06号泊位</t>
        </is>
      </c>
      <c r="G1987" s="25" t="n">
        <v>4195</v>
      </c>
      <c r="H1987" s="41" t="n">
        <v>6.94</v>
      </c>
      <c r="I1987" s="41" t="n">
        <v>4.55</v>
      </c>
      <c r="J1987" s="41" t="n">
        <v>6.88</v>
      </c>
      <c r="K1987" s="25" t="n">
        <v>0</v>
      </c>
      <c r="L1987" s="26">
        <f>IF(H1987&lt;=J1987,1,0)</f>
        <v>0</v>
      </c>
    </row>
    <row r="1988">
      <c r="A1988" s="19" t="inlineStr">
        <is>
          <t>QL-331-1</t>
        </is>
      </c>
      <c r="B1988" s="36" t="n">
        <v>45988</v>
      </c>
      <c r="C1988" s="37" t="inlineStr">
        <is>
          <t>进港</t>
        </is>
      </c>
      <c r="D1988" s="19" t="inlineStr">
        <is>
          <t>集装箱货物</t>
        </is>
      </c>
      <c r="E1988" s="19" t="inlineStr">
        <is>
          <t>北美</t>
        </is>
      </c>
      <c r="F1988" s="19" t="inlineStr">
        <is>
          <t>01号泊位</t>
        </is>
      </c>
      <c r="G1988" s="20" t="n">
        <v>8509</v>
      </c>
      <c r="H1988" s="38" t="n">
        <v>9.949999999999999</v>
      </c>
      <c r="I1988" s="38" t="n">
        <v>2.07</v>
      </c>
      <c r="J1988" s="38" t="n">
        <v>9.449999999999999</v>
      </c>
      <c r="K1988" s="20" t="n">
        <v>528</v>
      </c>
      <c r="L1988" s="26">
        <f>IF(H1988&lt;=J1988,1,0)</f>
        <v>0</v>
      </c>
    </row>
    <row r="1989">
      <c r="A1989" s="24" t="inlineStr">
        <is>
          <t>QL-331-2</t>
        </is>
      </c>
      <c r="B1989" s="39" t="n">
        <v>45988</v>
      </c>
      <c r="C1989" s="40" t="inlineStr">
        <is>
          <t>进港</t>
        </is>
      </c>
      <c r="D1989" s="24" t="inlineStr">
        <is>
          <t>金属矿石</t>
        </is>
      </c>
      <c r="E1989" s="24" t="inlineStr">
        <is>
          <t>国内沿海</t>
        </is>
      </c>
      <c r="F1989" s="24" t="inlineStr">
        <is>
          <t>02号泊位</t>
        </is>
      </c>
      <c r="G1989" s="25" t="n">
        <v>17641</v>
      </c>
      <c r="H1989" s="41" t="n">
        <v>9.74</v>
      </c>
      <c r="I1989" s="41" t="n">
        <v>1.61</v>
      </c>
      <c r="J1989" s="41" t="n">
        <v>11.38</v>
      </c>
      <c r="K1989" s="25" t="n">
        <v>0</v>
      </c>
      <c r="L1989" s="26">
        <f>IF(H1989&lt;=J1989,1,0)</f>
        <v>1</v>
      </c>
    </row>
    <row r="1990">
      <c r="A1990" s="19" t="inlineStr">
        <is>
          <t>QL-331-3</t>
        </is>
      </c>
      <c r="B1990" s="36" t="n">
        <v>45988</v>
      </c>
      <c r="C1990" s="37" t="inlineStr">
        <is>
          <t>出港</t>
        </is>
      </c>
      <c r="D1990" s="19" t="inlineStr">
        <is>
          <t>煤炭</t>
        </is>
      </c>
      <c r="E1990" s="19" t="inlineStr">
        <is>
          <t>东南亚</t>
        </is>
      </c>
      <c r="F1990" s="19" t="inlineStr">
        <is>
          <t>03号泊位</t>
        </is>
      </c>
      <c r="G1990" s="20" t="n">
        <v>14142</v>
      </c>
      <c r="H1990" s="38" t="n">
        <v>9.880000000000001</v>
      </c>
      <c r="I1990" s="38" t="n">
        <v>3.85</v>
      </c>
      <c r="J1990" s="38" t="n">
        <v>10.71</v>
      </c>
      <c r="K1990" s="20" t="n">
        <v>0</v>
      </c>
      <c r="L1990" s="26">
        <f>IF(H1990&lt;=J1990,1,0)</f>
        <v>1</v>
      </c>
    </row>
    <row r="1991">
      <c r="A1991" s="24" t="inlineStr">
        <is>
          <t>QL-331-4</t>
        </is>
      </c>
      <c r="B1991" s="39" t="n">
        <v>45988</v>
      </c>
      <c r="C1991" s="40" t="inlineStr">
        <is>
          <t>进港</t>
        </is>
      </c>
      <c r="D1991" s="24" t="inlineStr">
        <is>
          <t>粮食</t>
        </is>
      </c>
      <c r="E1991" s="24" t="inlineStr">
        <is>
          <t>东南亚</t>
        </is>
      </c>
      <c r="F1991" s="24" t="inlineStr">
        <is>
          <t>04号泊位</t>
        </is>
      </c>
      <c r="G1991" s="25" t="n">
        <v>7839</v>
      </c>
      <c r="H1991" s="41" t="n">
        <v>7.83</v>
      </c>
      <c r="I1991" s="41" t="n">
        <v>1.07</v>
      </c>
      <c r="J1991" s="41" t="n">
        <v>7.69</v>
      </c>
      <c r="K1991" s="25" t="n">
        <v>0</v>
      </c>
      <c r="L1991" s="26">
        <f>IF(H1991&lt;=J1991,1,0)</f>
        <v>0</v>
      </c>
    </row>
    <row r="1992">
      <c r="A1992" s="19" t="inlineStr">
        <is>
          <t>QL-331-5</t>
        </is>
      </c>
      <c r="B1992" s="36" t="n">
        <v>45988</v>
      </c>
      <c r="C1992" s="37" t="inlineStr">
        <is>
          <t>出港</t>
        </is>
      </c>
      <c r="D1992" s="19" t="inlineStr">
        <is>
          <t>液体散货</t>
        </is>
      </c>
      <c r="E1992" s="19" t="inlineStr">
        <is>
          <t>东亚</t>
        </is>
      </c>
      <c r="F1992" s="19" t="inlineStr">
        <is>
          <t>05号泊位</t>
        </is>
      </c>
      <c r="G1992" s="20" t="n">
        <v>10846</v>
      </c>
      <c r="H1992" s="38" t="n">
        <v>8.24</v>
      </c>
      <c r="I1992" s="38" t="n">
        <v>0.51</v>
      </c>
      <c r="J1992" s="38" t="n">
        <v>7.53</v>
      </c>
      <c r="K1992" s="20" t="n">
        <v>0</v>
      </c>
      <c r="L1992" s="26">
        <f>IF(H1992&lt;=J1992,1,0)</f>
        <v>0</v>
      </c>
    </row>
    <row r="1993">
      <c r="A1993" s="24" t="inlineStr">
        <is>
          <t>QL-331-6</t>
        </is>
      </c>
      <c r="B1993" s="39" t="n">
        <v>45988</v>
      </c>
      <c r="C1993" s="40" t="inlineStr">
        <is>
          <t>出港</t>
        </is>
      </c>
      <c r="D1993" s="24" t="inlineStr">
        <is>
          <t>件杂货</t>
        </is>
      </c>
      <c r="E1993" s="24" t="inlineStr">
        <is>
          <t>东南亚</t>
        </is>
      </c>
      <c r="F1993" s="24" t="inlineStr">
        <is>
          <t>06号泊位</t>
        </is>
      </c>
      <c r="G1993" s="25" t="n">
        <v>4112</v>
      </c>
      <c r="H1993" s="41" t="n">
        <v>6.04</v>
      </c>
      <c r="I1993" s="41" t="n">
        <v>1.43</v>
      </c>
      <c r="J1993" s="41" t="n">
        <v>6.74</v>
      </c>
      <c r="K1993" s="25" t="n">
        <v>0</v>
      </c>
      <c r="L1993" s="26">
        <f>IF(H1993&lt;=J1993,1,0)</f>
        <v>1</v>
      </c>
    </row>
    <row r="1994">
      <c r="A1994" s="19" t="inlineStr">
        <is>
          <t>QL-332-1</t>
        </is>
      </c>
      <c r="B1994" s="36" t="n">
        <v>45989</v>
      </c>
      <c r="C1994" s="37" t="inlineStr">
        <is>
          <t>进港</t>
        </is>
      </c>
      <c r="D1994" s="19" t="inlineStr">
        <is>
          <t>集装箱货物</t>
        </is>
      </c>
      <c r="E1994" s="19" t="inlineStr">
        <is>
          <t>东南亚</t>
        </is>
      </c>
      <c r="F1994" s="19" t="inlineStr">
        <is>
          <t>01号泊位</t>
        </is>
      </c>
      <c r="G1994" s="20" t="n">
        <v>9944</v>
      </c>
      <c r="H1994" s="38" t="n">
        <v>11.95</v>
      </c>
      <c r="I1994" s="38" t="n">
        <v>14.2</v>
      </c>
      <c r="J1994" s="38" t="n">
        <v>11.05</v>
      </c>
      <c r="K1994" s="20" t="n">
        <v>787</v>
      </c>
      <c r="L1994" s="26">
        <f>IF(H1994&lt;=J1994,1,0)</f>
        <v>0</v>
      </c>
    </row>
    <row r="1995">
      <c r="A1995" s="24" t="inlineStr">
        <is>
          <t>QL-332-2</t>
        </is>
      </c>
      <c r="B1995" s="39" t="n">
        <v>45989</v>
      </c>
      <c r="C1995" s="40" t="inlineStr">
        <is>
          <t>进港</t>
        </is>
      </c>
      <c r="D1995" s="24" t="inlineStr">
        <is>
          <t>金属矿石</t>
        </is>
      </c>
      <c r="E1995" s="24" t="inlineStr">
        <is>
          <t>东南亚</t>
        </is>
      </c>
      <c r="F1995" s="24" t="inlineStr">
        <is>
          <t>02号泊位</t>
        </is>
      </c>
      <c r="G1995" s="25" t="n">
        <v>19170</v>
      </c>
      <c r="H1995" s="41" t="n">
        <v>11.81</v>
      </c>
      <c r="I1995" s="41" t="n">
        <v>6.81</v>
      </c>
      <c r="J1995" s="41" t="n">
        <v>12.37</v>
      </c>
      <c r="K1995" s="25" t="n">
        <v>0</v>
      </c>
      <c r="L1995" s="26">
        <f>IF(H1995&lt;=J1995,1,0)</f>
        <v>1</v>
      </c>
    </row>
    <row r="1996">
      <c r="A1996" s="19" t="inlineStr">
        <is>
          <t>QL-332-3</t>
        </is>
      </c>
      <c r="B1996" s="36" t="n">
        <v>45989</v>
      </c>
      <c r="C1996" s="37" t="inlineStr">
        <is>
          <t>进港</t>
        </is>
      </c>
      <c r="D1996" s="19" t="inlineStr">
        <is>
          <t>煤炭</t>
        </is>
      </c>
      <c r="E1996" s="19" t="inlineStr">
        <is>
          <t>欧洲</t>
        </is>
      </c>
      <c r="F1996" s="19" t="inlineStr">
        <is>
          <t>03号泊位</t>
        </is>
      </c>
      <c r="G1996" s="20" t="n">
        <v>20687</v>
      </c>
      <c r="H1996" s="38" t="n">
        <v>14.62</v>
      </c>
      <c r="I1996" s="38" t="n">
        <v>0.45</v>
      </c>
      <c r="J1996" s="38" t="n">
        <v>15.67</v>
      </c>
      <c r="K1996" s="20" t="n">
        <v>0</v>
      </c>
      <c r="L1996" s="26">
        <f>IF(H1996&lt;=J1996,1,0)</f>
        <v>1</v>
      </c>
    </row>
    <row r="1997">
      <c r="A1997" s="24" t="inlineStr">
        <is>
          <t>QL-332-4</t>
        </is>
      </c>
      <c r="B1997" s="39" t="n">
        <v>45989</v>
      </c>
      <c r="C1997" s="40" t="inlineStr">
        <is>
          <t>进港</t>
        </is>
      </c>
      <c r="D1997" s="24" t="inlineStr">
        <is>
          <t>粮食</t>
        </is>
      </c>
      <c r="E1997" s="24" t="inlineStr">
        <is>
          <t>北美</t>
        </is>
      </c>
      <c r="F1997" s="24" t="inlineStr">
        <is>
          <t>04号泊位</t>
        </is>
      </c>
      <c r="G1997" s="25" t="n">
        <v>6476</v>
      </c>
      <c r="H1997" s="41" t="n">
        <v>5.23</v>
      </c>
      <c r="I1997" s="41" t="n">
        <v>4.88</v>
      </c>
      <c r="J1997" s="41" t="n">
        <v>6.35</v>
      </c>
      <c r="K1997" s="25" t="n">
        <v>0</v>
      </c>
      <c r="L1997" s="26">
        <f>IF(H1997&lt;=J1997,1,0)</f>
        <v>1</v>
      </c>
    </row>
    <row r="1998">
      <c r="A1998" s="19" t="inlineStr">
        <is>
          <t>QL-332-5</t>
        </is>
      </c>
      <c r="B1998" s="36" t="n">
        <v>45989</v>
      </c>
      <c r="C1998" s="37" t="inlineStr">
        <is>
          <t>进港</t>
        </is>
      </c>
      <c r="D1998" s="19" t="inlineStr">
        <is>
          <t>液体散货</t>
        </is>
      </c>
      <c r="E1998" s="19" t="inlineStr">
        <is>
          <t>东亚</t>
        </is>
      </c>
      <c r="F1998" s="19" t="inlineStr">
        <is>
          <t>05号泊位</t>
        </is>
      </c>
      <c r="G1998" s="20" t="n">
        <v>12964</v>
      </c>
      <c r="H1998" s="38" t="n">
        <v>7.6</v>
      </c>
      <c r="I1998" s="38" t="n">
        <v>0.72</v>
      </c>
      <c r="J1998" s="38" t="n">
        <v>9</v>
      </c>
      <c r="K1998" s="20" t="n">
        <v>0</v>
      </c>
      <c r="L1998" s="26">
        <f>IF(H1998&lt;=J1998,1,0)</f>
        <v>1</v>
      </c>
    </row>
    <row r="1999">
      <c r="A1999" s="24" t="inlineStr">
        <is>
          <t>QL-332-6</t>
        </is>
      </c>
      <c r="B1999" s="39" t="n">
        <v>45989</v>
      </c>
      <c r="C1999" s="40" t="inlineStr">
        <is>
          <t>进港</t>
        </is>
      </c>
      <c r="D1999" s="24" t="inlineStr">
        <is>
          <t>件杂货</t>
        </is>
      </c>
      <c r="E1999" s="24" t="inlineStr">
        <is>
          <t>欧洲</t>
        </is>
      </c>
      <c r="F1999" s="24" t="inlineStr">
        <is>
          <t>06号泊位</t>
        </is>
      </c>
      <c r="G1999" s="25" t="n">
        <v>4697</v>
      </c>
      <c r="H1999" s="41" t="n">
        <v>7.48</v>
      </c>
      <c r="I1999" s="41" t="n">
        <v>0.49</v>
      </c>
      <c r="J1999" s="41" t="n">
        <v>7.7</v>
      </c>
      <c r="K1999" s="25" t="n">
        <v>0</v>
      </c>
      <c r="L1999" s="26">
        <f>IF(H1999&lt;=J1999,1,0)</f>
        <v>1</v>
      </c>
    </row>
    <row r="2000">
      <c r="A2000" s="19" t="inlineStr">
        <is>
          <t>QL-333-1</t>
        </is>
      </c>
      <c r="B2000" s="36" t="n">
        <v>45990</v>
      </c>
      <c r="C2000" s="37" t="inlineStr">
        <is>
          <t>进港</t>
        </is>
      </c>
      <c r="D2000" s="19" t="inlineStr">
        <is>
          <t>集装箱货物</t>
        </is>
      </c>
      <c r="E2000" s="19" t="inlineStr">
        <is>
          <t>国内沿海</t>
        </is>
      </c>
      <c r="F2000" s="19" t="inlineStr">
        <is>
          <t>01号泊位</t>
        </is>
      </c>
      <c r="G2000" s="20" t="n">
        <v>8260</v>
      </c>
      <c r="H2000" s="38" t="n">
        <v>9.859999999999999</v>
      </c>
      <c r="I2000" s="38" t="n">
        <v>0.87</v>
      </c>
      <c r="J2000" s="38" t="n">
        <v>9.18</v>
      </c>
      <c r="K2000" s="20" t="n">
        <v>677</v>
      </c>
      <c r="L2000" s="26">
        <f>IF(H2000&lt;=J2000,1,0)</f>
        <v>0</v>
      </c>
    </row>
    <row r="2001">
      <c r="A2001" s="24" t="inlineStr">
        <is>
          <t>QL-333-2</t>
        </is>
      </c>
      <c r="B2001" s="39" t="n">
        <v>45990</v>
      </c>
      <c r="C2001" s="40" t="inlineStr">
        <is>
          <t>进港</t>
        </is>
      </c>
      <c r="D2001" s="24" t="inlineStr">
        <is>
          <t>金属矿石</t>
        </is>
      </c>
      <c r="E2001" s="24" t="inlineStr">
        <is>
          <t>国内沿海</t>
        </is>
      </c>
      <c r="F2001" s="24" t="inlineStr">
        <is>
          <t>02号泊位</t>
        </is>
      </c>
      <c r="G2001" s="25" t="n">
        <v>16941</v>
      </c>
      <c r="H2001" s="41" t="n">
        <v>9.199999999999999</v>
      </c>
      <c r="I2001" s="41" t="n">
        <v>4.33</v>
      </c>
      <c r="J2001" s="41" t="n">
        <v>10.93</v>
      </c>
      <c r="K2001" s="25" t="n">
        <v>0</v>
      </c>
      <c r="L2001" s="26">
        <f>IF(H2001&lt;=J2001,1,0)</f>
        <v>1</v>
      </c>
    </row>
    <row r="2002">
      <c r="A2002" s="19" t="inlineStr">
        <is>
          <t>QL-333-3</t>
        </is>
      </c>
      <c r="B2002" s="36" t="n">
        <v>45990</v>
      </c>
      <c r="C2002" s="37" t="inlineStr">
        <is>
          <t>进港</t>
        </is>
      </c>
      <c r="D2002" s="19" t="inlineStr">
        <is>
          <t>煤炭</t>
        </is>
      </c>
      <c r="E2002" s="19" t="inlineStr">
        <is>
          <t>国内沿海</t>
        </is>
      </c>
      <c r="F2002" s="19" t="inlineStr">
        <is>
          <t>03号泊位</t>
        </is>
      </c>
      <c r="G2002" s="20" t="n">
        <v>16209</v>
      </c>
      <c r="H2002" s="38" t="n">
        <v>12.56</v>
      </c>
      <c r="I2002" s="38" t="n">
        <v>4.69</v>
      </c>
      <c r="J2002" s="38" t="n">
        <v>12.28</v>
      </c>
      <c r="K2002" s="20" t="n">
        <v>0</v>
      </c>
      <c r="L2002" s="26">
        <f>IF(H2002&lt;=J2002,1,0)</f>
        <v>0</v>
      </c>
    </row>
    <row r="2003">
      <c r="A2003" s="24" t="inlineStr">
        <is>
          <t>QL-333-4</t>
        </is>
      </c>
      <c r="B2003" s="39" t="n">
        <v>45990</v>
      </c>
      <c r="C2003" s="40" t="inlineStr">
        <is>
          <t>进港</t>
        </is>
      </c>
      <c r="D2003" s="24" t="inlineStr">
        <is>
          <t>粮食</t>
        </is>
      </c>
      <c r="E2003" s="24" t="inlineStr">
        <is>
          <t>北美</t>
        </is>
      </c>
      <c r="F2003" s="24" t="inlineStr">
        <is>
          <t>04号泊位</t>
        </is>
      </c>
      <c r="G2003" s="25" t="n">
        <v>7279</v>
      </c>
      <c r="H2003" s="41" t="n">
        <v>7.37</v>
      </c>
      <c r="I2003" s="41" t="n">
        <v>1.12</v>
      </c>
      <c r="J2003" s="41" t="n">
        <v>7.14</v>
      </c>
      <c r="K2003" s="25" t="n">
        <v>0</v>
      </c>
      <c r="L2003" s="26">
        <f>IF(H2003&lt;=J2003,1,0)</f>
        <v>0</v>
      </c>
    </row>
    <row r="2004">
      <c r="A2004" s="19" t="inlineStr">
        <is>
          <t>QL-333-5</t>
        </is>
      </c>
      <c r="B2004" s="36" t="n">
        <v>45990</v>
      </c>
      <c r="C2004" s="37" t="inlineStr">
        <is>
          <t>进港</t>
        </is>
      </c>
      <c r="D2004" s="19" t="inlineStr">
        <is>
          <t>液体散货</t>
        </is>
      </c>
      <c r="E2004" s="19" t="inlineStr">
        <is>
          <t>欧洲</t>
        </is>
      </c>
      <c r="F2004" s="19" t="inlineStr">
        <is>
          <t>05号泊位</t>
        </is>
      </c>
      <c r="G2004" s="20" t="n">
        <v>7741</v>
      </c>
      <c r="H2004" s="38" t="n">
        <v>4.56</v>
      </c>
      <c r="I2004" s="38" t="n">
        <v>0.36</v>
      </c>
      <c r="J2004" s="38" t="n">
        <v>5.38</v>
      </c>
      <c r="K2004" s="20" t="n">
        <v>0</v>
      </c>
      <c r="L2004" s="26">
        <f>IF(H2004&lt;=J2004,1,0)</f>
        <v>1</v>
      </c>
    </row>
    <row r="2005">
      <c r="A2005" s="24" t="inlineStr">
        <is>
          <t>QL-333-6</t>
        </is>
      </c>
      <c r="B2005" s="39" t="n">
        <v>45990</v>
      </c>
      <c r="C2005" s="40" t="inlineStr">
        <is>
          <t>出港</t>
        </is>
      </c>
      <c r="D2005" s="24" t="inlineStr">
        <is>
          <t>件杂货</t>
        </is>
      </c>
      <c r="E2005" s="24" t="inlineStr">
        <is>
          <t>东南亚</t>
        </is>
      </c>
      <c r="F2005" s="24" t="inlineStr">
        <is>
          <t>06号泊位</t>
        </is>
      </c>
      <c r="G2005" s="25" t="n">
        <v>3301</v>
      </c>
      <c r="H2005" s="41" t="n">
        <v>4.88</v>
      </c>
      <c r="I2005" s="41" t="n">
        <v>0.82</v>
      </c>
      <c r="J2005" s="41" t="n">
        <v>5.41</v>
      </c>
      <c r="K2005" s="25" t="n">
        <v>0</v>
      </c>
      <c r="L2005" s="26">
        <f>IF(H2005&lt;=J2005,1,0)</f>
        <v>1</v>
      </c>
    </row>
    <row r="2006">
      <c r="A2006" s="19" t="inlineStr">
        <is>
          <t>QL-334-1</t>
        </is>
      </c>
      <c r="B2006" s="36" t="n">
        <v>45991</v>
      </c>
      <c r="C2006" s="37" t="inlineStr">
        <is>
          <t>进港</t>
        </is>
      </c>
      <c r="D2006" s="19" t="inlineStr">
        <is>
          <t>集装箱货物</t>
        </is>
      </c>
      <c r="E2006" s="19" t="inlineStr">
        <is>
          <t>欧洲</t>
        </is>
      </c>
      <c r="F2006" s="19" t="inlineStr">
        <is>
          <t>01号泊位</t>
        </is>
      </c>
      <c r="G2006" s="20" t="n">
        <v>6216</v>
      </c>
      <c r="H2006" s="38" t="n">
        <v>6.46</v>
      </c>
      <c r="I2006" s="38" t="n">
        <v>3.25</v>
      </c>
      <c r="J2006" s="38" t="n">
        <v>6.91</v>
      </c>
      <c r="K2006" s="20" t="n">
        <v>464</v>
      </c>
      <c r="L2006" s="26">
        <f>IF(H2006&lt;=J2006,1,0)</f>
        <v>1</v>
      </c>
    </row>
    <row r="2007">
      <c r="A2007" s="24" t="inlineStr">
        <is>
          <t>QL-334-2</t>
        </is>
      </c>
      <c r="B2007" s="39" t="n">
        <v>45991</v>
      </c>
      <c r="C2007" s="40" t="inlineStr">
        <is>
          <t>进港</t>
        </is>
      </c>
      <c r="D2007" s="24" t="inlineStr">
        <is>
          <t>金属矿石</t>
        </is>
      </c>
      <c r="E2007" s="24" t="inlineStr">
        <is>
          <t>东亚</t>
        </is>
      </c>
      <c r="F2007" s="24" t="inlineStr">
        <is>
          <t>02号泊位</t>
        </is>
      </c>
      <c r="G2007" s="25" t="n">
        <v>21666</v>
      </c>
      <c r="H2007" s="41" t="n">
        <v>11.5</v>
      </c>
      <c r="I2007" s="41" t="n">
        <v>1.56</v>
      </c>
      <c r="J2007" s="41" t="n">
        <v>13.98</v>
      </c>
      <c r="K2007" s="25" t="n">
        <v>0</v>
      </c>
      <c r="L2007" s="26">
        <f>IF(H2007&lt;=J2007,1,0)</f>
        <v>1</v>
      </c>
    </row>
    <row r="2008">
      <c r="A2008" s="19" t="inlineStr">
        <is>
          <t>QL-334-3</t>
        </is>
      </c>
      <c r="B2008" s="36" t="n">
        <v>45991</v>
      </c>
      <c r="C2008" s="37" t="inlineStr">
        <is>
          <t>出港</t>
        </is>
      </c>
      <c r="D2008" s="19" t="inlineStr">
        <is>
          <t>煤炭</t>
        </is>
      </c>
      <c r="E2008" s="19" t="inlineStr">
        <is>
          <t>东亚</t>
        </is>
      </c>
      <c r="F2008" s="19" t="inlineStr">
        <is>
          <t>03号泊位</t>
        </is>
      </c>
      <c r="G2008" s="20" t="n">
        <v>10178</v>
      </c>
      <c r="H2008" s="38" t="n">
        <v>7.88</v>
      </c>
      <c r="I2008" s="38" t="n">
        <v>0.57</v>
      </c>
      <c r="J2008" s="38" t="n">
        <v>7.71</v>
      </c>
      <c r="K2008" s="20" t="n">
        <v>0</v>
      </c>
      <c r="L2008" s="26">
        <f>IF(H2008&lt;=J2008,1,0)</f>
        <v>0</v>
      </c>
    </row>
    <row r="2009">
      <c r="A2009" s="24" t="inlineStr">
        <is>
          <t>QL-334-4</t>
        </is>
      </c>
      <c r="B2009" s="39" t="n">
        <v>45991</v>
      </c>
      <c r="C2009" s="40" t="inlineStr">
        <is>
          <t>进港</t>
        </is>
      </c>
      <c r="D2009" s="24" t="inlineStr">
        <is>
          <t>粮食</t>
        </is>
      </c>
      <c r="E2009" s="24" t="inlineStr">
        <is>
          <t>东亚</t>
        </is>
      </c>
      <c r="F2009" s="24" t="inlineStr">
        <is>
          <t>04号泊位</t>
        </is>
      </c>
      <c r="G2009" s="25" t="n">
        <v>5167</v>
      </c>
      <c r="H2009" s="41" t="n">
        <v>4.99</v>
      </c>
      <c r="I2009" s="41" t="n">
        <v>2.03</v>
      </c>
      <c r="J2009" s="41" t="n">
        <v>5.07</v>
      </c>
      <c r="K2009" s="25" t="n">
        <v>0</v>
      </c>
      <c r="L2009" s="26">
        <f>IF(H2009&lt;=J2009,1,0)</f>
        <v>1</v>
      </c>
    </row>
    <row r="2010">
      <c r="A2010" s="19" t="inlineStr">
        <is>
          <t>QL-334-5</t>
        </is>
      </c>
      <c r="B2010" s="36" t="n">
        <v>45991</v>
      </c>
      <c r="C2010" s="37" t="inlineStr">
        <is>
          <t>进港</t>
        </is>
      </c>
      <c r="D2010" s="19" t="inlineStr">
        <is>
          <t>液体散货</t>
        </is>
      </c>
      <c r="E2010" s="19" t="inlineStr">
        <is>
          <t>东亚</t>
        </is>
      </c>
      <c r="F2010" s="19" t="inlineStr">
        <is>
          <t>05号泊位</t>
        </is>
      </c>
      <c r="G2010" s="20" t="n">
        <v>11300</v>
      </c>
      <c r="H2010" s="38" t="n">
        <v>7.84</v>
      </c>
      <c r="I2010" s="38" t="n">
        <v>2.91</v>
      </c>
      <c r="J2010" s="38" t="n">
        <v>7.85</v>
      </c>
      <c r="K2010" s="20" t="n">
        <v>0</v>
      </c>
      <c r="L2010" s="26">
        <f>IF(H2010&lt;=J2010,1,0)</f>
        <v>1</v>
      </c>
    </row>
    <row r="2011">
      <c r="A2011" s="24" t="inlineStr">
        <is>
          <t>QL-334-6</t>
        </is>
      </c>
      <c r="B2011" s="39" t="n">
        <v>45991</v>
      </c>
      <c r="C2011" s="40" t="inlineStr">
        <is>
          <t>进港</t>
        </is>
      </c>
      <c r="D2011" s="24" t="inlineStr">
        <is>
          <t>件杂货</t>
        </is>
      </c>
      <c r="E2011" s="24" t="inlineStr">
        <is>
          <t>北美</t>
        </is>
      </c>
      <c r="F2011" s="24" t="inlineStr">
        <is>
          <t>06号泊位</t>
        </is>
      </c>
      <c r="G2011" s="25" t="n">
        <v>4519</v>
      </c>
      <c r="H2011" s="41" t="n">
        <v>8.01</v>
      </c>
      <c r="I2011" s="41" t="n">
        <v>3.55</v>
      </c>
      <c r="J2011" s="41" t="n">
        <v>7.41</v>
      </c>
      <c r="K2011" s="25" t="n">
        <v>0</v>
      </c>
      <c r="L2011" s="26">
        <f>IF(H2011&lt;=J2011,1,0)</f>
        <v>0</v>
      </c>
    </row>
    <row r="2012">
      <c r="A2012" s="19" t="inlineStr">
        <is>
          <t>QL-335-1</t>
        </is>
      </c>
      <c r="B2012" s="36" t="n">
        <v>45992</v>
      </c>
      <c r="C2012" s="37" t="inlineStr">
        <is>
          <t>进港</t>
        </is>
      </c>
      <c r="D2012" s="19" t="inlineStr">
        <is>
          <t>集装箱货物</t>
        </is>
      </c>
      <c r="E2012" s="19" t="inlineStr">
        <is>
          <t>东南亚</t>
        </is>
      </c>
      <c r="F2012" s="19" t="inlineStr">
        <is>
          <t>01号泊位</t>
        </is>
      </c>
      <c r="G2012" s="20" t="n">
        <v>7706</v>
      </c>
      <c r="H2012" s="38" t="n">
        <v>7.6</v>
      </c>
      <c r="I2012" s="38" t="n">
        <v>1.42</v>
      </c>
      <c r="J2012" s="38" t="n">
        <v>8.56</v>
      </c>
      <c r="K2012" s="20" t="n">
        <v>542</v>
      </c>
      <c r="L2012" s="26">
        <f>IF(H2012&lt;=J2012,1,0)</f>
        <v>1</v>
      </c>
    </row>
    <row r="2013">
      <c r="A2013" s="24" t="inlineStr">
        <is>
          <t>QL-335-2</t>
        </is>
      </c>
      <c r="B2013" s="39" t="n">
        <v>45992</v>
      </c>
      <c r="C2013" s="40" t="inlineStr">
        <is>
          <t>进港</t>
        </is>
      </c>
      <c r="D2013" s="24" t="inlineStr">
        <is>
          <t>金属矿石</t>
        </is>
      </c>
      <c r="E2013" s="24" t="inlineStr">
        <is>
          <t>北美</t>
        </is>
      </c>
      <c r="F2013" s="24" t="inlineStr">
        <is>
          <t>02号泊位</t>
        </is>
      </c>
      <c r="G2013" s="25" t="n">
        <v>22924</v>
      </c>
      <c r="H2013" s="41" t="n">
        <v>13.44</v>
      </c>
      <c r="I2013" s="41" t="n">
        <v>0.3</v>
      </c>
      <c r="J2013" s="41" t="n">
        <v>14.79</v>
      </c>
      <c r="K2013" s="25" t="n">
        <v>0</v>
      </c>
      <c r="L2013" s="26">
        <f>IF(H2013&lt;=J2013,1,0)</f>
        <v>1</v>
      </c>
    </row>
    <row r="2014">
      <c r="A2014" s="19" t="inlineStr">
        <is>
          <t>QL-335-3</t>
        </is>
      </c>
      <c r="B2014" s="36" t="n">
        <v>45992</v>
      </c>
      <c r="C2014" s="37" t="inlineStr">
        <is>
          <t>进港</t>
        </is>
      </c>
      <c r="D2014" s="19" t="inlineStr">
        <is>
          <t>煤炭</t>
        </is>
      </c>
      <c r="E2014" s="19" t="inlineStr">
        <is>
          <t>欧洲</t>
        </is>
      </c>
      <c r="F2014" s="19" t="inlineStr">
        <is>
          <t>03号泊位</t>
        </is>
      </c>
      <c r="G2014" s="20" t="n">
        <v>10469</v>
      </c>
      <c r="H2014" s="38" t="n">
        <v>8.49</v>
      </c>
      <c r="I2014" s="38" t="n">
        <v>4.4</v>
      </c>
      <c r="J2014" s="38" t="n">
        <v>7.93</v>
      </c>
      <c r="K2014" s="20" t="n">
        <v>0</v>
      </c>
      <c r="L2014" s="26">
        <f>IF(H2014&lt;=J2014,1,0)</f>
        <v>0</v>
      </c>
    </row>
    <row r="2015">
      <c r="A2015" s="24" t="inlineStr">
        <is>
          <t>QL-335-4</t>
        </is>
      </c>
      <c r="B2015" s="39" t="n">
        <v>45992</v>
      </c>
      <c r="C2015" s="40" t="inlineStr">
        <is>
          <t>进港</t>
        </is>
      </c>
      <c r="D2015" s="24" t="inlineStr">
        <is>
          <t>粮食</t>
        </is>
      </c>
      <c r="E2015" s="24" t="inlineStr">
        <is>
          <t>北美</t>
        </is>
      </c>
      <c r="F2015" s="24" t="inlineStr">
        <is>
          <t>04号泊位</t>
        </is>
      </c>
      <c r="G2015" s="25" t="n">
        <v>6521</v>
      </c>
      <c r="H2015" s="41" t="n">
        <v>5.54</v>
      </c>
      <c r="I2015" s="41" t="n">
        <v>1.99</v>
      </c>
      <c r="J2015" s="41" t="n">
        <v>6.39</v>
      </c>
      <c r="K2015" s="25" t="n">
        <v>0</v>
      </c>
      <c r="L2015" s="26">
        <f>IF(H2015&lt;=J2015,1,0)</f>
        <v>1</v>
      </c>
    </row>
    <row r="2016">
      <c r="A2016" s="19" t="inlineStr">
        <is>
          <t>QL-335-5</t>
        </is>
      </c>
      <c r="B2016" s="36" t="n">
        <v>45992</v>
      </c>
      <c r="C2016" s="37" t="inlineStr">
        <is>
          <t>出港</t>
        </is>
      </c>
      <c r="D2016" s="19" t="inlineStr">
        <is>
          <t>液体散货</t>
        </is>
      </c>
      <c r="E2016" s="19" t="inlineStr">
        <is>
          <t>东亚</t>
        </is>
      </c>
      <c r="F2016" s="19" t="inlineStr">
        <is>
          <t>05号泊位</t>
        </is>
      </c>
      <c r="G2016" s="20" t="n">
        <v>12381</v>
      </c>
      <c r="H2016" s="38" t="n">
        <v>7.6</v>
      </c>
      <c r="I2016" s="38" t="n">
        <v>3.15</v>
      </c>
      <c r="J2016" s="38" t="n">
        <v>8.6</v>
      </c>
      <c r="K2016" s="20" t="n">
        <v>0</v>
      </c>
      <c r="L2016" s="26">
        <f>IF(H2016&lt;=J2016,1,0)</f>
        <v>1</v>
      </c>
    </row>
    <row r="2017">
      <c r="A2017" s="24" t="inlineStr">
        <is>
          <t>QL-335-6</t>
        </is>
      </c>
      <c r="B2017" s="39" t="n">
        <v>45992</v>
      </c>
      <c r="C2017" s="40" t="inlineStr">
        <is>
          <t>出港</t>
        </is>
      </c>
      <c r="D2017" s="24" t="inlineStr">
        <is>
          <t>件杂货</t>
        </is>
      </c>
      <c r="E2017" s="24" t="inlineStr">
        <is>
          <t>欧洲</t>
        </is>
      </c>
      <c r="F2017" s="24" t="inlineStr">
        <is>
          <t>06号泊位</t>
        </is>
      </c>
      <c r="G2017" s="25" t="n">
        <v>3183</v>
      </c>
      <c r="H2017" s="41" t="n">
        <v>5.7</v>
      </c>
      <c r="I2017" s="41" t="n">
        <v>4.11</v>
      </c>
      <c r="J2017" s="41" t="n">
        <v>5.22</v>
      </c>
      <c r="K2017" s="25" t="n">
        <v>0</v>
      </c>
      <c r="L2017" s="26">
        <f>IF(H2017&lt;=J2017,1,0)</f>
        <v>0</v>
      </c>
    </row>
    <row r="2018">
      <c r="A2018" s="19" t="inlineStr">
        <is>
          <t>QL-336-1</t>
        </is>
      </c>
      <c r="B2018" s="36" t="n">
        <v>45993</v>
      </c>
      <c r="C2018" s="37" t="inlineStr">
        <is>
          <t>出港</t>
        </is>
      </c>
      <c r="D2018" s="19" t="inlineStr">
        <is>
          <t>集装箱货物</t>
        </is>
      </c>
      <c r="E2018" s="19" t="inlineStr">
        <is>
          <t>东亚</t>
        </is>
      </c>
      <c r="F2018" s="19" t="inlineStr">
        <is>
          <t>01号泊位</t>
        </is>
      </c>
      <c r="G2018" s="20" t="n">
        <v>13342</v>
      </c>
      <c r="H2018" s="38" t="n">
        <v>16.04</v>
      </c>
      <c r="I2018" s="38" t="n">
        <v>1.94</v>
      </c>
      <c r="J2018" s="38" t="n">
        <v>14.82</v>
      </c>
      <c r="K2018" s="20" t="n">
        <v>1036</v>
      </c>
      <c r="L2018" s="26">
        <f>IF(H2018&lt;=J2018,1,0)</f>
        <v>0</v>
      </c>
    </row>
    <row r="2019">
      <c r="A2019" s="24" t="inlineStr">
        <is>
          <t>QL-336-2</t>
        </is>
      </c>
      <c r="B2019" s="39" t="n">
        <v>45993</v>
      </c>
      <c r="C2019" s="40" t="inlineStr">
        <is>
          <t>进港</t>
        </is>
      </c>
      <c r="D2019" s="24" t="inlineStr">
        <is>
          <t>金属矿石</t>
        </is>
      </c>
      <c r="E2019" s="24" t="inlineStr">
        <is>
          <t>国内沿海</t>
        </is>
      </c>
      <c r="F2019" s="24" t="inlineStr">
        <is>
          <t>02号泊位</t>
        </is>
      </c>
      <c r="G2019" s="25" t="n">
        <v>17169</v>
      </c>
      <c r="H2019" s="41" t="n">
        <v>12.75</v>
      </c>
      <c r="I2019" s="41" t="n">
        <v>2.76</v>
      </c>
      <c r="J2019" s="41" t="n">
        <v>11.08</v>
      </c>
      <c r="K2019" s="25" t="n">
        <v>0</v>
      </c>
      <c r="L2019" s="26">
        <f>IF(H2019&lt;=J2019,1,0)</f>
        <v>0</v>
      </c>
    </row>
    <row r="2020">
      <c r="A2020" s="19" t="inlineStr">
        <is>
          <t>QL-336-3</t>
        </is>
      </c>
      <c r="B2020" s="36" t="n">
        <v>45993</v>
      </c>
      <c r="C2020" s="37" t="inlineStr">
        <is>
          <t>进港</t>
        </is>
      </c>
      <c r="D2020" s="19" t="inlineStr">
        <is>
          <t>煤炭</t>
        </is>
      </c>
      <c r="E2020" s="19" t="inlineStr">
        <is>
          <t>国内沿海</t>
        </is>
      </c>
      <c r="F2020" s="19" t="inlineStr">
        <is>
          <t>03号泊位</t>
        </is>
      </c>
      <c r="G2020" s="20" t="n">
        <v>8085</v>
      </c>
      <c r="H2020" s="38" t="n">
        <v>6.26</v>
      </c>
      <c r="I2020" s="38" t="n">
        <v>1.83</v>
      </c>
      <c r="J2020" s="38" t="n">
        <v>6.12</v>
      </c>
      <c r="K2020" s="20" t="n">
        <v>0</v>
      </c>
      <c r="L2020" s="26">
        <f>IF(H2020&lt;=J2020,1,0)</f>
        <v>0</v>
      </c>
    </row>
    <row r="2021">
      <c r="A2021" s="24" t="inlineStr">
        <is>
          <t>QL-336-4</t>
        </is>
      </c>
      <c r="B2021" s="39" t="n">
        <v>45993</v>
      </c>
      <c r="C2021" s="40" t="inlineStr">
        <is>
          <t>进港</t>
        </is>
      </c>
      <c r="D2021" s="24" t="inlineStr">
        <is>
          <t>粮食</t>
        </is>
      </c>
      <c r="E2021" s="24" t="inlineStr">
        <is>
          <t>东南亚</t>
        </is>
      </c>
      <c r="F2021" s="24" t="inlineStr">
        <is>
          <t>04号泊位</t>
        </is>
      </c>
      <c r="G2021" s="25" t="n">
        <v>8754</v>
      </c>
      <c r="H2021" s="41" t="n">
        <v>9.52</v>
      </c>
      <c r="I2021" s="41" t="n">
        <v>1.69</v>
      </c>
      <c r="J2021" s="41" t="n">
        <v>8.58</v>
      </c>
      <c r="K2021" s="25" t="n">
        <v>0</v>
      </c>
      <c r="L2021" s="26">
        <f>IF(H2021&lt;=J2021,1,0)</f>
        <v>0</v>
      </c>
    </row>
    <row r="2022">
      <c r="A2022" s="19" t="inlineStr">
        <is>
          <t>QL-336-5</t>
        </is>
      </c>
      <c r="B2022" s="36" t="n">
        <v>45993</v>
      </c>
      <c r="C2022" s="37" t="inlineStr">
        <is>
          <t>进港</t>
        </is>
      </c>
      <c r="D2022" s="19" t="inlineStr">
        <is>
          <t>液体散货</t>
        </is>
      </c>
      <c r="E2022" s="19" t="inlineStr">
        <is>
          <t>东亚</t>
        </is>
      </c>
      <c r="F2022" s="19" t="inlineStr">
        <is>
          <t>05号泊位</t>
        </is>
      </c>
      <c r="G2022" s="20" t="n">
        <v>9631</v>
      </c>
      <c r="H2022" s="38" t="n">
        <v>5.86</v>
      </c>
      <c r="I2022" s="38" t="n">
        <v>4.03</v>
      </c>
      <c r="J2022" s="38" t="n">
        <v>6.69</v>
      </c>
      <c r="K2022" s="20" t="n">
        <v>0</v>
      </c>
      <c r="L2022" s="26">
        <f>IF(H2022&lt;=J2022,1,0)</f>
        <v>1</v>
      </c>
    </row>
    <row r="2023">
      <c r="A2023" s="24" t="inlineStr">
        <is>
          <t>QL-336-6</t>
        </is>
      </c>
      <c r="B2023" s="39" t="n">
        <v>45993</v>
      </c>
      <c r="C2023" s="40" t="inlineStr">
        <is>
          <t>进港</t>
        </is>
      </c>
      <c r="D2023" s="24" t="inlineStr">
        <is>
          <t>件杂货</t>
        </is>
      </c>
      <c r="E2023" s="24" t="inlineStr">
        <is>
          <t>欧洲</t>
        </is>
      </c>
      <c r="F2023" s="24" t="inlineStr">
        <is>
          <t>06号泊位</t>
        </is>
      </c>
      <c r="G2023" s="25" t="n">
        <v>4785</v>
      </c>
      <c r="H2023" s="41" t="n">
        <v>7.83</v>
      </c>
      <c r="I2023" s="41" t="n">
        <v>3.41</v>
      </c>
      <c r="J2023" s="41" t="n">
        <v>7.84</v>
      </c>
      <c r="K2023" s="25" t="n">
        <v>0</v>
      </c>
      <c r="L2023" s="26">
        <f>IF(H2023&lt;=J2023,1,0)</f>
        <v>1</v>
      </c>
    </row>
    <row r="2024">
      <c r="A2024" s="19" t="inlineStr">
        <is>
          <t>QL-337-1</t>
        </is>
      </c>
      <c r="B2024" s="36" t="n">
        <v>45994</v>
      </c>
      <c r="C2024" s="37" t="inlineStr">
        <is>
          <t>出港</t>
        </is>
      </c>
      <c r="D2024" s="19" t="inlineStr">
        <is>
          <t>集装箱货物</t>
        </is>
      </c>
      <c r="E2024" s="19" t="inlineStr">
        <is>
          <t>东亚</t>
        </is>
      </c>
      <c r="F2024" s="19" t="inlineStr">
        <is>
          <t>01号泊位</t>
        </is>
      </c>
      <c r="G2024" s="20" t="n">
        <v>7342</v>
      </c>
      <c r="H2024" s="38" t="n">
        <v>7.16</v>
      </c>
      <c r="I2024" s="38" t="n">
        <v>2.77</v>
      </c>
      <c r="J2024" s="38" t="n">
        <v>8.16</v>
      </c>
      <c r="K2024" s="20" t="n">
        <v>454</v>
      </c>
      <c r="L2024" s="26">
        <f>IF(H2024&lt;=J2024,1,0)</f>
        <v>1</v>
      </c>
    </row>
    <row r="2025">
      <c r="A2025" s="24" t="inlineStr">
        <is>
          <t>QL-337-2</t>
        </is>
      </c>
      <c r="B2025" s="39" t="n">
        <v>45994</v>
      </c>
      <c r="C2025" s="40" t="inlineStr">
        <is>
          <t>进港</t>
        </is>
      </c>
      <c r="D2025" s="24" t="inlineStr">
        <is>
          <t>金属矿石</t>
        </is>
      </c>
      <c r="E2025" s="24" t="inlineStr">
        <is>
          <t>东亚</t>
        </is>
      </c>
      <c r="F2025" s="24" t="inlineStr">
        <is>
          <t>02号泊位</t>
        </is>
      </c>
      <c r="G2025" s="25" t="n">
        <v>14743</v>
      </c>
      <c r="H2025" s="41" t="n">
        <v>8.199999999999999</v>
      </c>
      <c r="I2025" s="41" t="n">
        <v>2.6</v>
      </c>
      <c r="J2025" s="41" t="n">
        <v>9.51</v>
      </c>
      <c r="K2025" s="25" t="n">
        <v>0</v>
      </c>
      <c r="L2025" s="26">
        <f>IF(H2025&lt;=J2025,1,0)</f>
        <v>1</v>
      </c>
    </row>
    <row r="2026">
      <c r="A2026" s="19" t="inlineStr">
        <is>
          <t>QL-337-3</t>
        </is>
      </c>
      <c r="B2026" s="36" t="n">
        <v>45994</v>
      </c>
      <c r="C2026" s="37" t="inlineStr">
        <is>
          <t>出港</t>
        </is>
      </c>
      <c r="D2026" s="19" t="inlineStr">
        <is>
          <t>煤炭</t>
        </is>
      </c>
      <c r="E2026" s="19" t="inlineStr">
        <is>
          <t>东南亚</t>
        </is>
      </c>
      <c r="F2026" s="19" t="inlineStr">
        <is>
          <t>03号泊位</t>
        </is>
      </c>
      <c r="G2026" s="20" t="n">
        <v>12159</v>
      </c>
      <c r="H2026" s="38" t="n">
        <v>8.390000000000001</v>
      </c>
      <c r="I2026" s="38" t="n">
        <v>0.99</v>
      </c>
      <c r="J2026" s="38" t="n">
        <v>9.210000000000001</v>
      </c>
      <c r="K2026" s="20" t="n">
        <v>0</v>
      </c>
      <c r="L2026" s="26">
        <f>IF(H2026&lt;=J2026,1,0)</f>
        <v>1</v>
      </c>
    </row>
    <row r="2027">
      <c r="A2027" s="24" t="inlineStr">
        <is>
          <t>QL-337-4</t>
        </is>
      </c>
      <c r="B2027" s="39" t="n">
        <v>45994</v>
      </c>
      <c r="C2027" s="40" t="inlineStr">
        <is>
          <t>进港</t>
        </is>
      </c>
      <c r="D2027" s="24" t="inlineStr">
        <is>
          <t>粮食</t>
        </is>
      </c>
      <c r="E2027" s="24" t="inlineStr">
        <is>
          <t>东南亚</t>
        </is>
      </c>
      <c r="F2027" s="24" t="inlineStr">
        <is>
          <t>04号泊位</t>
        </is>
      </c>
      <c r="G2027" s="25" t="n">
        <v>6487</v>
      </c>
      <c r="H2027" s="41" t="n">
        <v>5.34</v>
      </c>
      <c r="I2027" s="41" t="n">
        <v>3.61</v>
      </c>
      <c r="J2027" s="41" t="n">
        <v>6.36</v>
      </c>
      <c r="K2027" s="25" t="n">
        <v>0</v>
      </c>
      <c r="L2027" s="26">
        <f>IF(H2027&lt;=J2027,1,0)</f>
        <v>1</v>
      </c>
    </row>
    <row r="2028">
      <c r="A2028" s="19" t="inlineStr">
        <is>
          <t>QL-337-5</t>
        </is>
      </c>
      <c r="B2028" s="36" t="n">
        <v>45994</v>
      </c>
      <c r="C2028" s="37" t="inlineStr">
        <is>
          <t>进港</t>
        </is>
      </c>
      <c r="D2028" s="19" t="inlineStr">
        <is>
          <t>液体散货</t>
        </is>
      </c>
      <c r="E2028" s="19" t="inlineStr">
        <is>
          <t>欧洲</t>
        </is>
      </c>
      <c r="F2028" s="19" t="inlineStr">
        <is>
          <t>05号泊位</t>
        </is>
      </c>
      <c r="G2028" s="20" t="n">
        <v>11508</v>
      </c>
      <c r="H2028" s="38" t="n">
        <v>9.109999999999999</v>
      </c>
      <c r="I2028" s="38" t="n">
        <v>2.61</v>
      </c>
      <c r="J2028" s="38" t="n">
        <v>7.99</v>
      </c>
      <c r="K2028" s="20" t="n">
        <v>0</v>
      </c>
      <c r="L2028" s="26">
        <f>IF(H2028&lt;=J2028,1,0)</f>
        <v>0</v>
      </c>
    </row>
    <row r="2029">
      <c r="A2029" s="24" t="inlineStr">
        <is>
          <t>QL-337-6</t>
        </is>
      </c>
      <c r="B2029" s="39" t="n">
        <v>45994</v>
      </c>
      <c r="C2029" s="40" t="inlineStr">
        <is>
          <t>出港</t>
        </is>
      </c>
      <c r="D2029" s="24" t="inlineStr">
        <is>
          <t>件杂货</t>
        </is>
      </c>
      <c r="E2029" s="24" t="inlineStr">
        <is>
          <t>国内沿海</t>
        </is>
      </c>
      <c r="F2029" s="24" t="inlineStr">
        <is>
          <t>06号泊位</t>
        </is>
      </c>
      <c r="G2029" s="25" t="n">
        <v>5190</v>
      </c>
      <c r="H2029" s="41" t="n">
        <v>8.699999999999999</v>
      </c>
      <c r="I2029" s="41" t="n">
        <v>3.33</v>
      </c>
      <c r="J2029" s="41" t="n">
        <v>8.51</v>
      </c>
      <c r="K2029" s="25" t="n">
        <v>0</v>
      </c>
      <c r="L2029" s="26">
        <f>IF(H2029&lt;=J2029,1,0)</f>
        <v>0</v>
      </c>
    </row>
    <row r="2030">
      <c r="A2030" s="19" t="inlineStr">
        <is>
          <t>QL-338-1</t>
        </is>
      </c>
      <c r="B2030" s="36" t="n">
        <v>45995</v>
      </c>
      <c r="C2030" s="37" t="inlineStr">
        <is>
          <t>进港</t>
        </is>
      </c>
      <c r="D2030" s="19" t="inlineStr">
        <is>
          <t>集装箱货物</t>
        </is>
      </c>
      <c r="E2030" s="19" t="inlineStr">
        <is>
          <t>国内沿海</t>
        </is>
      </c>
      <c r="F2030" s="19" t="inlineStr">
        <is>
          <t>01号泊位</t>
        </is>
      </c>
      <c r="G2030" s="20" t="n">
        <v>5919</v>
      </c>
      <c r="H2030" s="38" t="n">
        <v>7.63</v>
      </c>
      <c r="I2030" s="38" t="n">
        <v>0.49</v>
      </c>
      <c r="J2030" s="38" t="n">
        <v>6.58</v>
      </c>
      <c r="K2030" s="20" t="n">
        <v>421</v>
      </c>
      <c r="L2030" s="26">
        <f>IF(H2030&lt;=J2030,1,0)</f>
        <v>0</v>
      </c>
    </row>
    <row r="2031">
      <c r="A2031" s="24" t="inlineStr">
        <is>
          <t>QL-338-2</t>
        </is>
      </c>
      <c r="B2031" s="39" t="n">
        <v>45995</v>
      </c>
      <c r="C2031" s="40" t="inlineStr">
        <is>
          <t>进港</t>
        </is>
      </c>
      <c r="D2031" s="24" t="inlineStr">
        <is>
          <t>金属矿石</t>
        </is>
      </c>
      <c r="E2031" s="24" t="inlineStr">
        <is>
          <t>北美</t>
        </is>
      </c>
      <c r="F2031" s="24" t="inlineStr">
        <is>
          <t>02号泊位</t>
        </is>
      </c>
      <c r="G2031" s="25" t="n">
        <v>17325</v>
      </c>
      <c r="H2031" s="41" t="n">
        <v>11.91</v>
      </c>
      <c r="I2031" s="41" t="n">
        <v>6.31</v>
      </c>
      <c r="J2031" s="41" t="n">
        <v>11.18</v>
      </c>
      <c r="K2031" s="25" t="n">
        <v>0</v>
      </c>
      <c r="L2031" s="26">
        <f>IF(H2031&lt;=J2031,1,0)</f>
        <v>0</v>
      </c>
    </row>
    <row r="2032">
      <c r="A2032" s="19" t="inlineStr">
        <is>
          <t>QL-338-3</t>
        </is>
      </c>
      <c r="B2032" s="36" t="n">
        <v>45995</v>
      </c>
      <c r="C2032" s="37" t="inlineStr">
        <is>
          <t>进港</t>
        </is>
      </c>
      <c r="D2032" s="19" t="inlineStr">
        <is>
          <t>煤炭</t>
        </is>
      </c>
      <c r="E2032" s="19" t="inlineStr">
        <is>
          <t>东南亚</t>
        </is>
      </c>
      <c r="F2032" s="19" t="inlineStr">
        <is>
          <t>03号泊位</t>
        </is>
      </c>
      <c r="G2032" s="20" t="n">
        <v>12988</v>
      </c>
      <c r="H2032" s="38" t="n">
        <v>8.23</v>
      </c>
      <c r="I2032" s="38" t="n">
        <v>1.4</v>
      </c>
      <c r="J2032" s="38" t="n">
        <v>9.84</v>
      </c>
      <c r="K2032" s="20" t="n">
        <v>0</v>
      </c>
      <c r="L2032" s="26">
        <f>IF(H2032&lt;=J2032,1,0)</f>
        <v>1</v>
      </c>
    </row>
    <row r="2033">
      <c r="A2033" s="24" t="inlineStr">
        <is>
          <t>QL-338-4</t>
        </is>
      </c>
      <c r="B2033" s="39" t="n">
        <v>45995</v>
      </c>
      <c r="C2033" s="40" t="inlineStr">
        <is>
          <t>进港</t>
        </is>
      </c>
      <c r="D2033" s="24" t="inlineStr">
        <is>
          <t>粮食</t>
        </is>
      </c>
      <c r="E2033" s="24" t="inlineStr">
        <is>
          <t>东亚</t>
        </is>
      </c>
      <c r="F2033" s="24" t="inlineStr">
        <is>
          <t>04号泊位</t>
        </is>
      </c>
      <c r="G2033" s="25" t="n">
        <v>5007</v>
      </c>
      <c r="H2033" s="41" t="n">
        <v>5.15</v>
      </c>
      <c r="I2033" s="41" t="n">
        <v>3.98</v>
      </c>
      <c r="J2033" s="41" t="n">
        <v>4.91</v>
      </c>
      <c r="K2033" s="25" t="n">
        <v>0</v>
      </c>
      <c r="L2033" s="26">
        <f>IF(H2033&lt;=J2033,1,0)</f>
        <v>0</v>
      </c>
    </row>
    <row r="2034">
      <c r="A2034" s="19" t="inlineStr">
        <is>
          <t>QL-338-5</t>
        </is>
      </c>
      <c r="B2034" s="36" t="n">
        <v>45995</v>
      </c>
      <c r="C2034" s="37" t="inlineStr">
        <is>
          <t>出港</t>
        </is>
      </c>
      <c r="D2034" s="19" t="inlineStr">
        <is>
          <t>液体散货</t>
        </is>
      </c>
      <c r="E2034" s="19" t="inlineStr">
        <is>
          <t>东南亚</t>
        </is>
      </c>
      <c r="F2034" s="19" t="inlineStr">
        <is>
          <t>05号泊位</t>
        </is>
      </c>
      <c r="G2034" s="20" t="n">
        <v>9873</v>
      </c>
      <c r="H2034" s="38" t="n">
        <v>7.51</v>
      </c>
      <c r="I2034" s="38" t="n">
        <v>0.39</v>
      </c>
      <c r="J2034" s="38" t="n">
        <v>6.86</v>
      </c>
      <c r="K2034" s="20" t="n">
        <v>0</v>
      </c>
      <c r="L2034" s="26">
        <f>IF(H2034&lt;=J2034,1,0)</f>
        <v>0</v>
      </c>
    </row>
    <row r="2035">
      <c r="A2035" s="24" t="inlineStr">
        <is>
          <t>QL-338-6</t>
        </is>
      </c>
      <c r="B2035" s="39" t="n">
        <v>45995</v>
      </c>
      <c r="C2035" s="40" t="inlineStr">
        <is>
          <t>出港</t>
        </is>
      </c>
      <c r="D2035" s="24" t="inlineStr">
        <is>
          <t>件杂货</t>
        </is>
      </c>
      <c r="E2035" s="24" t="inlineStr">
        <is>
          <t>东亚</t>
        </is>
      </c>
      <c r="F2035" s="24" t="inlineStr">
        <is>
          <t>06号泊位</t>
        </is>
      </c>
      <c r="G2035" s="25" t="n">
        <v>5555</v>
      </c>
      <c r="H2035" s="41" t="n">
        <v>10.2</v>
      </c>
      <c r="I2035" s="41" t="n">
        <v>1.41</v>
      </c>
      <c r="J2035" s="41" t="n">
        <v>9.109999999999999</v>
      </c>
      <c r="K2035" s="25" t="n">
        <v>0</v>
      </c>
      <c r="L2035" s="26">
        <f>IF(H2035&lt;=J2035,1,0)</f>
        <v>0</v>
      </c>
    </row>
    <row r="2036">
      <c r="A2036" s="19" t="inlineStr">
        <is>
          <t>QL-339-1</t>
        </is>
      </c>
      <c r="B2036" s="36" t="n">
        <v>45996</v>
      </c>
      <c r="C2036" s="37" t="inlineStr">
        <is>
          <t>出港</t>
        </is>
      </c>
      <c r="D2036" s="19" t="inlineStr">
        <is>
          <t>集装箱货物</t>
        </is>
      </c>
      <c r="E2036" s="19" t="inlineStr">
        <is>
          <t>东南亚</t>
        </is>
      </c>
      <c r="F2036" s="19" t="inlineStr">
        <is>
          <t>01号泊位</t>
        </is>
      </c>
      <c r="G2036" s="20" t="n">
        <v>8681</v>
      </c>
      <c r="H2036" s="38" t="n">
        <v>8.58</v>
      </c>
      <c r="I2036" s="38" t="n">
        <v>1.88</v>
      </c>
      <c r="J2036" s="38" t="n">
        <v>9.65</v>
      </c>
      <c r="K2036" s="20" t="n">
        <v>534</v>
      </c>
      <c r="L2036" s="26">
        <f>IF(H2036&lt;=J2036,1,0)</f>
        <v>1</v>
      </c>
    </row>
    <row r="2037">
      <c r="A2037" s="24" t="inlineStr">
        <is>
          <t>QL-339-2</t>
        </is>
      </c>
      <c r="B2037" s="39" t="n">
        <v>45996</v>
      </c>
      <c r="C2037" s="40" t="inlineStr">
        <is>
          <t>进港</t>
        </is>
      </c>
      <c r="D2037" s="24" t="inlineStr">
        <is>
          <t>金属矿石</t>
        </is>
      </c>
      <c r="E2037" s="24" t="inlineStr">
        <is>
          <t>国内沿海</t>
        </is>
      </c>
      <c r="F2037" s="24" t="inlineStr">
        <is>
          <t>02号泊位</t>
        </is>
      </c>
      <c r="G2037" s="25" t="n">
        <v>18133</v>
      </c>
      <c r="H2037" s="41" t="n">
        <v>12.89</v>
      </c>
      <c r="I2037" s="41" t="n">
        <v>2.05</v>
      </c>
      <c r="J2037" s="41" t="n">
        <v>11.7</v>
      </c>
      <c r="K2037" s="25" t="n">
        <v>0</v>
      </c>
      <c r="L2037" s="26">
        <f>IF(H2037&lt;=J2037,1,0)</f>
        <v>0</v>
      </c>
    </row>
    <row r="2038">
      <c r="A2038" s="19" t="inlineStr">
        <is>
          <t>QL-339-3</t>
        </is>
      </c>
      <c r="B2038" s="36" t="n">
        <v>45996</v>
      </c>
      <c r="C2038" s="37" t="inlineStr">
        <is>
          <t>进港</t>
        </is>
      </c>
      <c r="D2038" s="19" t="inlineStr">
        <is>
          <t>煤炭</t>
        </is>
      </c>
      <c r="E2038" s="19" t="inlineStr">
        <is>
          <t>东南亚</t>
        </is>
      </c>
      <c r="F2038" s="19" t="inlineStr">
        <is>
          <t>03号泊位</t>
        </is>
      </c>
      <c r="G2038" s="20" t="n">
        <v>19065</v>
      </c>
      <c r="H2038" s="38" t="n">
        <v>15.61</v>
      </c>
      <c r="I2038" s="38" t="n">
        <v>3.55</v>
      </c>
      <c r="J2038" s="38" t="n">
        <v>14.44</v>
      </c>
      <c r="K2038" s="20" t="n">
        <v>0</v>
      </c>
      <c r="L2038" s="26">
        <f>IF(H2038&lt;=J2038,1,0)</f>
        <v>0</v>
      </c>
    </row>
    <row r="2039">
      <c r="A2039" s="24" t="inlineStr">
        <is>
          <t>QL-339-4</t>
        </is>
      </c>
      <c r="B2039" s="39" t="n">
        <v>45996</v>
      </c>
      <c r="C2039" s="40" t="inlineStr">
        <is>
          <t>进港</t>
        </is>
      </c>
      <c r="D2039" s="24" t="inlineStr">
        <is>
          <t>粮食</t>
        </is>
      </c>
      <c r="E2039" s="24" t="inlineStr">
        <is>
          <t>东南亚</t>
        </is>
      </c>
      <c r="F2039" s="24" t="inlineStr">
        <is>
          <t>04号泊位</t>
        </is>
      </c>
      <c r="G2039" s="25" t="n">
        <v>8138</v>
      </c>
      <c r="H2039" s="41" t="n">
        <v>9.18</v>
      </c>
      <c r="I2039" s="41" t="n">
        <v>0.9399999999999999</v>
      </c>
      <c r="J2039" s="41" t="n">
        <v>7.98</v>
      </c>
      <c r="K2039" s="25" t="n">
        <v>0</v>
      </c>
      <c r="L2039" s="26">
        <f>IF(H2039&lt;=J2039,1,0)</f>
        <v>0</v>
      </c>
    </row>
    <row r="2040">
      <c r="A2040" s="19" t="inlineStr">
        <is>
          <t>QL-339-5</t>
        </is>
      </c>
      <c r="B2040" s="36" t="n">
        <v>45996</v>
      </c>
      <c r="C2040" s="37" t="inlineStr">
        <is>
          <t>进港</t>
        </is>
      </c>
      <c r="D2040" s="19" t="inlineStr">
        <is>
          <t>液体散货</t>
        </is>
      </c>
      <c r="E2040" s="19" t="inlineStr">
        <is>
          <t>东亚</t>
        </is>
      </c>
      <c r="F2040" s="19" t="inlineStr">
        <is>
          <t>05号泊位</t>
        </is>
      </c>
      <c r="G2040" s="20" t="n">
        <v>9101</v>
      </c>
      <c r="H2040" s="38" t="n">
        <v>5.54</v>
      </c>
      <c r="I2040" s="38" t="n">
        <v>1.71</v>
      </c>
      <c r="J2040" s="38" t="n">
        <v>6.32</v>
      </c>
      <c r="K2040" s="20" t="n">
        <v>0</v>
      </c>
      <c r="L2040" s="26">
        <f>IF(H2040&lt;=J2040,1,0)</f>
        <v>1</v>
      </c>
    </row>
    <row r="2041">
      <c r="A2041" s="24" t="inlineStr">
        <is>
          <t>QL-339-6</t>
        </is>
      </c>
      <c r="B2041" s="39" t="n">
        <v>45996</v>
      </c>
      <c r="C2041" s="40" t="inlineStr">
        <is>
          <t>进港</t>
        </is>
      </c>
      <c r="D2041" s="24" t="inlineStr">
        <is>
          <t>件杂货</t>
        </is>
      </c>
      <c r="E2041" s="24" t="inlineStr">
        <is>
          <t>欧洲</t>
        </is>
      </c>
      <c r="F2041" s="24" t="inlineStr">
        <is>
          <t>06号泊位</t>
        </is>
      </c>
      <c r="G2041" s="25" t="n">
        <v>7464</v>
      </c>
      <c r="H2041" s="41" t="n">
        <v>12.02</v>
      </c>
      <c r="I2041" s="41" t="n">
        <v>3.64</v>
      </c>
      <c r="J2041" s="41" t="n">
        <v>12.24</v>
      </c>
      <c r="K2041" s="25" t="n">
        <v>0</v>
      </c>
      <c r="L2041" s="26">
        <f>IF(H2041&lt;=J2041,1,0)</f>
        <v>1</v>
      </c>
    </row>
    <row r="2042">
      <c r="A2042" s="19" t="inlineStr">
        <is>
          <t>QL-340-1</t>
        </is>
      </c>
      <c r="B2042" s="36" t="n">
        <v>45997</v>
      </c>
      <c r="C2042" s="37" t="inlineStr">
        <is>
          <t>出港</t>
        </is>
      </c>
      <c r="D2042" s="19" t="inlineStr">
        <is>
          <t>集装箱货物</t>
        </is>
      </c>
      <c r="E2042" s="19" t="inlineStr">
        <is>
          <t>东南亚</t>
        </is>
      </c>
      <c r="F2042" s="19" t="inlineStr">
        <is>
          <t>01号泊位</t>
        </is>
      </c>
      <c r="G2042" s="20" t="n">
        <v>7185</v>
      </c>
      <c r="H2042" s="38" t="n">
        <v>9.26</v>
      </c>
      <c r="I2042" s="38" t="n">
        <v>3.81</v>
      </c>
      <c r="J2042" s="38" t="n">
        <v>7.98</v>
      </c>
      <c r="K2042" s="20" t="n">
        <v>423</v>
      </c>
      <c r="L2042" s="26">
        <f>IF(H2042&lt;=J2042,1,0)</f>
        <v>0</v>
      </c>
    </row>
    <row r="2043">
      <c r="A2043" s="24" t="inlineStr">
        <is>
          <t>QL-340-2</t>
        </is>
      </c>
      <c r="B2043" s="39" t="n">
        <v>45997</v>
      </c>
      <c r="C2043" s="40" t="inlineStr">
        <is>
          <t>进港</t>
        </is>
      </c>
      <c r="D2043" s="24" t="inlineStr">
        <is>
          <t>金属矿石</t>
        </is>
      </c>
      <c r="E2043" s="24" t="inlineStr">
        <is>
          <t>欧洲</t>
        </is>
      </c>
      <c r="F2043" s="24" t="inlineStr">
        <is>
          <t>02号泊位</t>
        </is>
      </c>
      <c r="G2043" s="25" t="n">
        <v>19049</v>
      </c>
      <c r="H2043" s="41" t="n">
        <v>10.85</v>
      </c>
      <c r="I2043" s="41" t="n">
        <v>1.52</v>
      </c>
      <c r="J2043" s="41" t="n">
        <v>12.29</v>
      </c>
      <c r="K2043" s="25" t="n">
        <v>0</v>
      </c>
      <c r="L2043" s="26">
        <f>IF(H2043&lt;=J2043,1,0)</f>
        <v>1</v>
      </c>
    </row>
    <row r="2044">
      <c r="A2044" s="19" t="inlineStr">
        <is>
          <t>QL-340-3</t>
        </is>
      </c>
      <c r="B2044" s="36" t="n">
        <v>45997</v>
      </c>
      <c r="C2044" s="37" t="inlineStr">
        <is>
          <t>出港</t>
        </is>
      </c>
      <c r="D2044" s="19" t="inlineStr">
        <is>
          <t>煤炭</t>
        </is>
      </c>
      <c r="E2044" s="19" t="inlineStr">
        <is>
          <t>东亚</t>
        </is>
      </c>
      <c r="F2044" s="19" t="inlineStr">
        <is>
          <t>03号泊位</t>
        </is>
      </c>
      <c r="G2044" s="20" t="n">
        <v>14587</v>
      </c>
      <c r="H2044" s="38" t="n">
        <v>9.48</v>
      </c>
      <c r="I2044" s="38" t="n">
        <v>2.42</v>
      </c>
      <c r="J2044" s="38" t="n">
        <v>11.05</v>
      </c>
      <c r="K2044" s="20" t="n">
        <v>0</v>
      </c>
      <c r="L2044" s="26">
        <f>IF(H2044&lt;=J2044,1,0)</f>
        <v>1</v>
      </c>
    </row>
    <row r="2045">
      <c r="A2045" s="24" t="inlineStr">
        <is>
          <t>QL-340-4</t>
        </is>
      </c>
      <c r="B2045" s="39" t="n">
        <v>45997</v>
      </c>
      <c r="C2045" s="40" t="inlineStr">
        <is>
          <t>进港</t>
        </is>
      </c>
      <c r="D2045" s="24" t="inlineStr">
        <is>
          <t>粮食</t>
        </is>
      </c>
      <c r="E2045" s="24" t="inlineStr">
        <is>
          <t>国内沿海</t>
        </is>
      </c>
      <c r="F2045" s="24" t="inlineStr">
        <is>
          <t>04号泊位</t>
        </is>
      </c>
      <c r="G2045" s="25" t="n">
        <v>7342</v>
      </c>
      <c r="H2045" s="41" t="n">
        <v>6.21</v>
      </c>
      <c r="I2045" s="41" t="n">
        <v>4.56</v>
      </c>
      <c r="J2045" s="41" t="n">
        <v>7.2</v>
      </c>
      <c r="K2045" s="25" t="n">
        <v>0</v>
      </c>
      <c r="L2045" s="26">
        <f>IF(H2045&lt;=J2045,1,0)</f>
        <v>1</v>
      </c>
    </row>
    <row r="2046">
      <c r="A2046" s="19" t="inlineStr">
        <is>
          <t>QL-340-5</t>
        </is>
      </c>
      <c r="B2046" s="36" t="n">
        <v>45997</v>
      </c>
      <c r="C2046" s="37" t="inlineStr">
        <is>
          <t>进港</t>
        </is>
      </c>
      <c r="D2046" s="19" t="inlineStr">
        <is>
          <t>液体散货</t>
        </is>
      </c>
      <c r="E2046" s="19" t="inlineStr">
        <is>
          <t>东亚</t>
        </is>
      </c>
      <c r="F2046" s="19" t="inlineStr">
        <is>
          <t>05号泊位</t>
        </is>
      </c>
      <c r="G2046" s="20" t="n">
        <v>12318</v>
      </c>
      <c r="H2046" s="38" t="n">
        <v>9.18</v>
      </c>
      <c r="I2046" s="38" t="n">
        <v>0.98</v>
      </c>
      <c r="J2046" s="38" t="n">
        <v>8.550000000000001</v>
      </c>
      <c r="K2046" s="20" t="n">
        <v>0</v>
      </c>
      <c r="L2046" s="26">
        <f>IF(H2046&lt;=J2046,1,0)</f>
        <v>0</v>
      </c>
    </row>
    <row r="2047">
      <c r="A2047" s="24" t="inlineStr">
        <is>
          <t>QL-340-6</t>
        </is>
      </c>
      <c r="B2047" s="39" t="n">
        <v>45997</v>
      </c>
      <c r="C2047" s="40" t="inlineStr">
        <is>
          <t>出港</t>
        </is>
      </c>
      <c r="D2047" s="24" t="inlineStr">
        <is>
          <t>件杂货</t>
        </is>
      </c>
      <c r="E2047" s="24" t="inlineStr">
        <is>
          <t>东亚</t>
        </is>
      </c>
      <c r="F2047" s="24" t="inlineStr">
        <is>
          <t>06号泊位</t>
        </is>
      </c>
      <c r="G2047" s="25" t="n">
        <v>5822</v>
      </c>
      <c r="H2047" s="41" t="n">
        <v>9.4</v>
      </c>
      <c r="I2047" s="41" t="n">
        <v>2.33</v>
      </c>
      <c r="J2047" s="41" t="n">
        <v>9.539999999999999</v>
      </c>
      <c r="K2047" s="25" t="n">
        <v>0</v>
      </c>
      <c r="L2047" s="26">
        <f>IF(H2047&lt;=J2047,1,0)</f>
        <v>1</v>
      </c>
    </row>
    <row r="2048">
      <c r="A2048" s="19" t="inlineStr">
        <is>
          <t>QL-341-1</t>
        </is>
      </c>
      <c r="B2048" s="36" t="n">
        <v>45998</v>
      </c>
      <c r="C2048" s="37" t="inlineStr">
        <is>
          <t>出港</t>
        </is>
      </c>
      <c r="D2048" s="19" t="inlineStr">
        <is>
          <t>集装箱货物</t>
        </is>
      </c>
      <c r="E2048" s="19" t="inlineStr">
        <is>
          <t>东南亚</t>
        </is>
      </c>
      <c r="F2048" s="19" t="inlineStr">
        <is>
          <t>01号泊位</t>
        </is>
      </c>
      <c r="G2048" s="20" t="n">
        <v>9904</v>
      </c>
      <c r="H2048" s="38" t="n">
        <v>9.42</v>
      </c>
      <c r="I2048" s="38" t="n">
        <v>2.89</v>
      </c>
      <c r="J2048" s="38" t="n">
        <v>11</v>
      </c>
      <c r="K2048" s="20" t="n">
        <v>715</v>
      </c>
      <c r="L2048" s="26">
        <f>IF(H2048&lt;=J2048,1,0)</f>
        <v>1</v>
      </c>
    </row>
    <row r="2049">
      <c r="A2049" s="24" t="inlineStr">
        <is>
          <t>QL-341-2</t>
        </is>
      </c>
      <c r="B2049" s="39" t="n">
        <v>45998</v>
      </c>
      <c r="C2049" s="40" t="inlineStr">
        <is>
          <t>进港</t>
        </is>
      </c>
      <c r="D2049" s="24" t="inlineStr">
        <is>
          <t>金属矿石</t>
        </is>
      </c>
      <c r="E2049" s="24" t="inlineStr">
        <is>
          <t>东亚</t>
        </is>
      </c>
      <c r="F2049" s="24" t="inlineStr">
        <is>
          <t>02号泊位</t>
        </is>
      </c>
      <c r="G2049" s="25" t="n">
        <v>15352</v>
      </c>
      <c r="H2049" s="41" t="n">
        <v>9.56</v>
      </c>
      <c r="I2049" s="41" t="n">
        <v>0.77</v>
      </c>
      <c r="J2049" s="41" t="n">
        <v>9.9</v>
      </c>
      <c r="K2049" s="25" t="n">
        <v>0</v>
      </c>
      <c r="L2049" s="26">
        <f>IF(H2049&lt;=J2049,1,0)</f>
        <v>1</v>
      </c>
    </row>
    <row r="2050">
      <c r="A2050" s="19" t="inlineStr">
        <is>
          <t>QL-341-3</t>
        </is>
      </c>
      <c r="B2050" s="36" t="n">
        <v>45998</v>
      </c>
      <c r="C2050" s="37" t="inlineStr">
        <is>
          <t>进港</t>
        </is>
      </c>
      <c r="D2050" s="19" t="inlineStr">
        <is>
          <t>煤炭</t>
        </is>
      </c>
      <c r="E2050" s="19" t="inlineStr">
        <is>
          <t>东南亚</t>
        </is>
      </c>
      <c r="F2050" s="19" t="inlineStr">
        <is>
          <t>03号泊位</t>
        </is>
      </c>
      <c r="G2050" s="20" t="n">
        <v>12905</v>
      </c>
      <c r="H2050" s="38" t="n">
        <v>9.84</v>
      </c>
      <c r="I2050" s="38" t="n">
        <v>1.35</v>
      </c>
      <c r="J2050" s="38" t="n">
        <v>9.779999999999999</v>
      </c>
      <c r="K2050" s="20" t="n">
        <v>0</v>
      </c>
      <c r="L2050" s="26">
        <f>IF(H2050&lt;=J2050,1,0)</f>
        <v>0</v>
      </c>
    </row>
    <row r="2051">
      <c r="A2051" s="24" t="inlineStr">
        <is>
          <t>QL-341-4</t>
        </is>
      </c>
      <c r="B2051" s="39" t="n">
        <v>45998</v>
      </c>
      <c r="C2051" s="40" t="inlineStr">
        <is>
          <t>进港</t>
        </is>
      </c>
      <c r="D2051" s="24" t="inlineStr">
        <is>
          <t>粮食</t>
        </is>
      </c>
      <c r="E2051" s="24" t="inlineStr">
        <is>
          <t>东亚</t>
        </is>
      </c>
      <c r="F2051" s="24" t="inlineStr">
        <is>
          <t>04号泊位</t>
        </is>
      </c>
      <c r="G2051" s="25" t="n">
        <v>8711</v>
      </c>
      <c r="H2051" s="41" t="n">
        <v>8.74</v>
      </c>
      <c r="I2051" s="41" t="n">
        <v>0.48</v>
      </c>
      <c r="J2051" s="41" t="n">
        <v>8.539999999999999</v>
      </c>
      <c r="K2051" s="25" t="n">
        <v>0</v>
      </c>
      <c r="L2051" s="26">
        <f>IF(H2051&lt;=J2051,1,0)</f>
        <v>0</v>
      </c>
    </row>
    <row r="2052">
      <c r="A2052" s="19" t="inlineStr">
        <is>
          <t>QL-341-5</t>
        </is>
      </c>
      <c r="B2052" s="36" t="n">
        <v>45998</v>
      </c>
      <c r="C2052" s="37" t="inlineStr">
        <is>
          <t>进港</t>
        </is>
      </c>
      <c r="D2052" s="19" t="inlineStr">
        <is>
          <t>液体散货</t>
        </is>
      </c>
      <c r="E2052" s="19" t="inlineStr">
        <is>
          <t>东南亚</t>
        </is>
      </c>
      <c r="F2052" s="19" t="inlineStr">
        <is>
          <t>05号泊位</t>
        </is>
      </c>
      <c r="G2052" s="20" t="n">
        <v>13230</v>
      </c>
      <c r="H2052" s="38" t="n">
        <v>7.56</v>
      </c>
      <c r="I2052" s="38" t="n">
        <v>5.78</v>
      </c>
      <c r="J2052" s="38" t="n">
        <v>9.19</v>
      </c>
      <c r="K2052" s="20" t="n">
        <v>0</v>
      </c>
      <c r="L2052" s="26">
        <f>IF(H2052&lt;=J2052,1,0)</f>
        <v>1</v>
      </c>
    </row>
    <row r="2053">
      <c r="A2053" s="24" t="inlineStr">
        <is>
          <t>QL-341-6</t>
        </is>
      </c>
      <c r="B2053" s="39" t="n">
        <v>45998</v>
      </c>
      <c r="C2053" s="40" t="inlineStr">
        <is>
          <t>出港</t>
        </is>
      </c>
      <c r="D2053" s="24" t="inlineStr">
        <is>
          <t>件杂货</t>
        </is>
      </c>
      <c r="E2053" s="24" t="inlineStr">
        <is>
          <t>欧洲</t>
        </is>
      </c>
      <c r="F2053" s="24" t="inlineStr">
        <is>
          <t>06号泊位</t>
        </is>
      </c>
      <c r="G2053" s="25" t="n">
        <v>6063</v>
      </c>
      <c r="H2053" s="41" t="n">
        <v>8.85</v>
      </c>
      <c r="I2053" s="41" t="n">
        <v>0.64</v>
      </c>
      <c r="J2053" s="41" t="n">
        <v>9.94</v>
      </c>
      <c r="K2053" s="25" t="n">
        <v>0</v>
      </c>
      <c r="L2053" s="26">
        <f>IF(H2053&lt;=J2053,1,0)</f>
        <v>1</v>
      </c>
    </row>
    <row r="2054">
      <c r="A2054" s="19" t="inlineStr">
        <is>
          <t>QL-342-1</t>
        </is>
      </c>
      <c r="B2054" s="36" t="n">
        <v>45999</v>
      </c>
      <c r="C2054" s="37" t="inlineStr">
        <is>
          <t>进港</t>
        </is>
      </c>
      <c r="D2054" s="19" t="inlineStr">
        <is>
          <t>集装箱货物</t>
        </is>
      </c>
      <c r="E2054" s="19" t="inlineStr">
        <is>
          <t>东南亚</t>
        </is>
      </c>
      <c r="F2054" s="19" t="inlineStr">
        <is>
          <t>01号泊位</t>
        </is>
      </c>
      <c r="G2054" s="20" t="n">
        <v>10125</v>
      </c>
      <c r="H2054" s="38" t="n">
        <v>12.03</v>
      </c>
      <c r="I2054" s="38" t="n">
        <v>2.37</v>
      </c>
      <c r="J2054" s="38" t="n">
        <v>11.25</v>
      </c>
      <c r="K2054" s="20" t="n">
        <v>713</v>
      </c>
      <c r="L2054" s="26">
        <f>IF(H2054&lt;=J2054,1,0)</f>
        <v>0</v>
      </c>
    </row>
    <row r="2055">
      <c r="A2055" s="24" t="inlineStr">
        <is>
          <t>QL-342-2</t>
        </is>
      </c>
      <c r="B2055" s="39" t="n">
        <v>45999</v>
      </c>
      <c r="C2055" s="40" t="inlineStr">
        <is>
          <t>进港</t>
        </is>
      </c>
      <c r="D2055" s="24" t="inlineStr">
        <is>
          <t>金属矿石</t>
        </is>
      </c>
      <c r="E2055" s="24" t="inlineStr">
        <is>
          <t>东亚</t>
        </is>
      </c>
      <c r="F2055" s="24" t="inlineStr">
        <is>
          <t>02号泊位</t>
        </is>
      </c>
      <c r="G2055" s="25" t="n">
        <v>17052</v>
      </c>
      <c r="H2055" s="41" t="n">
        <v>11.43</v>
      </c>
      <c r="I2055" s="41" t="n">
        <v>6.17</v>
      </c>
      <c r="J2055" s="41" t="n">
        <v>11</v>
      </c>
      <c r="K2055" s="25" t="n">
        <v>0</v>
      </c>
      <c r="L2055" s="26">
        <f>IF(H2055&lt;=J2055,1,0)</f>
        <v>0</v>
      </c>
    </row>
    <row r="2056">
      <c r="A2056" s="19" t="inlineStr">
        <is>
          <t>QL-342-3</t>
        </is>
      </c>
      <c r="B2056" s="36" t="n">
        <v>45999</v>
      </c>
      <c r="C2056" s="37" t="inlineStr">
        <is>
          <t>出港</t>
        </is>
      </c>
      <c r="D2056" s="19" t="inlineStr">
        <is>
          <t>煤炭</t>
        </is>
      </c>
      <c r="E2056" s="19" t="inlineStr">
        <is>
          <t>北美</t>
        </is>
      </c>
      <c r="F2056" s="19" t="inlineStr">
        <is>
          <t>03号泊位</t>
        </is>
      </c>
      <c r="G2056" s="20" t="n">
        <v>11592</v>
      </c>
      <c r="H2056" s="38" t="n">
        <v>8.869999999999999</v>
      </c>
      <c r="I2056" s="38" t="n">
        <v>0.84</v>
      </c>
      <c r="J2056" s="38" t="n">
        <v>8.779999999999999</v>
      </c>
      <c r="K2056" s="20" t="n">
        <v>0</v>
      </c>
      <c r="L2056" s="26">
        <f>IF(H2056&lt;=J2056,1,0)</f>
        <v>0</v>
      </c>
    </row>
    <row r="2057">
      <c r="A2057" s="24" t="inlineStr">
        <is>
          <t>QL-342-4</t>
        </is>
      </c>
      <c r="B2057" s="39" t="n">
        <v>45999</v>
      </c>
      <c r="C2057" s="40" t="inlineStr">
        <is>
          <t>进港</t>
        </is>
      </c>
      <c r="D2057" s="24" t="inlineStr">
        <is>
          <t>粮食</t>
        </is>
      </c>
      <c r="E2057" s="24" t="inlineStr">
        <is>
          <t>北美</t>
        </is>
      </c>
      <c r="F2057" s="24" t="inlineStr">
        <is>
          <t>04号泊位</t>
        </is>
      </c>
      <c r="G2057" s="25" t="n">
        <v>8621</v>
      </c>
      <c r="H2057" s="41" t="n">
        <v>7.59</v>
      </c>
      <c r="I2057" s="41" t="n">
        <v>1.59</v>
      </c>
      <c r="J2057" s="41" t="n">
        <v>8.449999999999999</v>
      </c>
      <c r="K2057" s="25" t="n">
        <v>0</v>
      </c>
      <c r="L2057" s="26">
        <f>IF(H2057&lt;=J2057,1,0)</f>
        <v>1</v>
      </c>
    </row>
    <row r="2058">
      <c r="A2058" s="19" t="inlineStr">
        <is>
          <t>QL-342-5</t>
        </is>
      </c>
      <c r="B2058" s="36" t="n">
        <v>45999</v>
      </c>
      <c r="C2058" s="37" t="inlineStr">
        <is>
          <t>出港</t>
        </is>
      </c>
      <c r="D2058" s="19" t="inlineStr">
        <is>
          <t>液体散货</t>
        </is>
      </c>
      <c r="E2058" s="19" t="inlineStr">
        <is>
          <t>东亚</t>
        </is>
      </c>
      <c r="F2058" s="19" t="inlineStr">
        <is>
          <t>05号泊位</t>
        </is>
      </c>
      <c r="G2058" s="20" t="n">
        <v>14902</v>
      </c>
      <c r="H2058" s="38" t="n">
        <v>11.6</v>
      </c>
      <c r="I2058" s="38" t="n">
        <v>4.88</v>
      </c>
      <c r="J2058" s="38" t="n">
        <v>10.35</v>
      </c>
      <c r="K2058" s="20" t="n">
        <v>0</v>
      </c>
      <c r="L2058" s="26">
        <f>IF(H2058&lt;=J2058,1,0)</f>
        <v>0</v>
      </c>
    </row>
    <row r="2059">
      <c r="A2059" s="24" t="inlineStr">
        <is>
          <t>QL-342-6</t>
        </is>
      </c>
      <c r="B2059" s="39" t="n">
        <v>45999</v>
      </c>
      <c r="C2059" s="40" t="inlineStr">
        <is>
          <t>出港</t>
        </is>
      </c>
      <c r="D2059" s="24" t="inlineStr">
        <is>
          <t>件杂货</t>
        </is>
      </c>
      <c r="E2059" s="24" t="inlineStr">
        <is>
          <t>欧洲</t>
        </is>
      </c>
      <c r="F2059" s="24" t="inlineStr">
        <is>
          <t>06号泊位</t>
        </is>
      </c>
      <c r="G2059" s="25" t="n">
        <v>6732</v>
      </c>
      <c r="H2059" s="41" t="n">
        <v>12.35</v>
      </c>
      <c r="I2059" s="41" t="n">
        <v>1.64</v>
      </c>
      <c r="J2059" s="41" t="n">
        <v>11.04</v>
      </c>
      <c r="K2059" s="25" t="n">
        <v>0</v>
      </c>
      <c r="L2059" s="26">
        <f>IF(H2059&lt;=J2059,1,0)</f>
        <v>0</v>
      </c>
    </row>
    <row r="2060">
      <c r="A2060" s="19" t="inlineStr">
        <is>
          <t>QL-343-1</t>
        </is>
      </c>
      <c r="B2060" s="36" t="n">
        <v>46000</v>
      </c>
      <c r="C2060" s="37" t="inlineStr">
        <is>
          <t>出港</t>
        </is>
      </c>
      <c r="D2060" s="19" t="inlineStr">
        <is>
          <t>集装箱货物</t>
        </is>
      </c>
      <c r="E2060" s="19" t="inlineStr">
        <is>
          <t>东亚</t>
        </is>
      </c>
      <c r="F2060" s="19" t="inlineStr">
        <is>
          <t>01号泊位</t>
        </is>
      </c>
      <c r="G2060" s="20" t="n">
        <v>10338</v>
      </c>
      <c r="H2060" s="38" t="n">
        <v>13.01</v>
      </c>
      <c r="I2060" s="38" t="n">
        <v>1.65</v>
      </c>
      <c r="J2060" s="38" t="n">
        <v>11.49</v>
      </c>
      <c r="K2060" s="20" t="n">
        <v>827</v>
      </c>
      <c r="L2060" s="26">
        <f>IF(H2060&lt;=J2060,1,0)</f>
        <v>0</v>
      </c>
    </row>
    <row r="2061">
      <c r="A2061" s="24" t="inlineStr">
        <is>
          <t>QL-343-2</t>
        </is>
      </c>
      <c r="B2061" s="39" t="n">
        <v>46000</v>
      </c>
      <c r="C2061" s="40" t="inlineStr">
        <is>
          <t>进港</t>
        </is>
      </c>
      <c r="D2061" s="24" t="inlineStr">
        <is>
          <t>金属矿石</t>
        </is>
      </c>
      <c r="E2061" s="24" t="inlineStr">
        <is>
          <t>东南亚</t>
        </is>
      </c>
      <c r="F2061" s="24" t="inlineStr">
        <is>
          <t>02号泊位</t>
        </is>
      </c>
      <c r="G2061" s="25" t="n">
        <v>24082</v>
      </c>
      <c r="H2061" s="41" t="n">
        <v>14.89</v>
      </c>
      <c r="I2061" s="41" t="n">
        <v>1.71</v>
      </c>
      <c r="J2061" s="41" t="n">
        <v>15.54</v>
      </c>
      <c r="K2061" s="25" t="n">
        <v>0</v>
      </c>
      <c r="L2061" s="26">
        <f>IF(H2061&lt;=J2061,1,0)</f>
        <v>1</v>
      </c>
    </row>
    <row r="2062">
      <c r="A2062" s="19" t="inlineStr">
        <is>
          <t>QL-343-3</t>
        </is>
      </c>
      <c r="B2062" s="36" t="n">
        <v>46000</v>
      </c>
      <c r="C2062" s="37" t="inlineStr">
        <is>
          <t>进港</t>
        </is>
      </c>
      <c r="D2062" s="19" t="inlineStr">
        <is>
          <t>煤炭</t>
        </is>
      </c>
      <c r="E2062" s="19" t="inlineStr">
        <is>
          <t>东南亚</t>
        </is>
      </c>
      <c r="F2062" s="19" t="inlineStr">
        <is>
          <t>03号泊位</t>
        </is>
      </c>
      <c r="G2062" s="20" t="n">
        <v>12340</v>
      </c>
      <c r="H2062" s="38" t="n">
        <v>8.970000000000001</v>
      </c>
      <c r="I2062" s="38" t="n">
        <v>1.9</v>
      </c>
      <c r="J2062" s="38" t="n">
        <v>9.35</v>
      </c>
      <c r="K2062" s="20" t="n">
        <v>0</v>
      </c>
      <c r="L2062" s="26">
        <f>IF(H2062&lt;=J2062,1,0)</f>
        <v>1</v>
      </c>
    </row>
    <row r="2063">
      <c r="A2063" s="24" t="inlineStr">
        <is>
          <t>QL-343-4</t>
        </is>
      </c>
      <c r="B2063" s="39" t="n">
        <v>46000</v>
      </c>
      <c r="C2063" s="40" t="inlineStr">
        <is>
          <t>进港</t>
        </is>
      </c>
      <c r="D2063" s="24" t="inlineStr">
        <is>
          <t>粮食</t>
        </is>
      </c>
      <c r="E2063" s="24" t="inlineStr">
        <is>
          <t>国内沿海</t>
        </is>
      </c>
      <c r="F2063" s="24" t="inlineStr">
        <is>
          <t>04号泊位</t>
        </is>
      </c>
      <c r="G2063" s="25" t="n">
        <v>9861</v>
      </c>
      <c r="H2063" s="41" t="n">
        <v>8.25</v>
      </c>
      <c r="I2063" s="41" t="n">
        <v>1.93</v>
      </c>
      <c r="J2063" s="41" t="n">
        <v>9.67</v>
      </c>
      <c r="K2063" s="25" t="n">
        <v>0</v>
      </c>
      <c r="L2063" s="26">
        <f>IF(H2063&lt;=J2063,1,0)</f>
        <v>1</v>
      </c>
    </row>
    <row r="2064">
      <c r="A2064" s="19" t="inlineStr">
        <is>
          <t>QL-343-5</t>
        </is>
      </c>
      <c r="B2064" s="36" t="n">
        <v>46000</v>
      </c>
      <c r="C2064" s="37" t="inlineStr">
        <is>
          <t>出港</t>
        </is>
      </c>
      <c r="D2064" s="19" t="inlineStr">
        <is>
          <t>液体散货</t>
        </is>
      </c>
      <c r="E2064" s="19" t="inlineStr">
        <is>
          <t>东亚</t>
        </is>
      </c>
      <c r="F2064" s="19" t="inlineStr">
        <is>
          <t>05号泊位</t>
        </is>
      </c>
      <c r="G2064" s="20" t="n">
        <v>12150</v>
      </c>
      <c r="H2064" s="38" t="n">
        <v>7.07</v>
      </c>
      <c r="I2064" s="38" t="n">
        <v>2.81</v>
      </c>
      <c r="J2064" s="38" t="n">
        <v>8.44</v>
      </c>
      <c r="K2064" s="20" t="n">
        <v>0</v>
      </c>
      <c r="L2064" s="26">
        <f>IF(H2064&lt;=J2064,1,0)</f>
        <v>1</v>
      </c>
    </row>
    <row r="2065">
      <c r="A2065" s="24" t="inlineStr">
        <is>
          <t>QL-343-6</t>
        </is>
      </c>
      <c r="B2065" s="39" t="n">
        <v>46000</v>
      </c>
      <c r="C2065" s="40" t="inlineStr">
        <is>
          <t>进港</t>
        </is>
      </c>
      <c r="D2065" s="24" t="inlineStr">
        <is>
          <t>件杂货</t>
        </is>
      </c>
      <c r="E2065" s="24" t="inlineStr">
        <is>
          <t>东亚</t>
        </is>
      </c>
      <c r="F2065" s="24" t="inlineStr">
        <is>
          <t>06号泊位</t>
        </is>
      </c>
      <c r="G2065" s="25" t="n">
        <v>3719</v>
      </c>
      <c r="H2065" s="41" t="n">
        <v>5.17</v>
      </c>
      <c r="I2065" s="41" t="n">
        <v>0.46</v>
      </c>
      <c r="J2065" s="41" t="n">
        <v>6.1</v>
      </c>
      <c r="K2065" s="25" t="n">
        <v>0</v>
      </c>
      <c r="L2065" s="26">
        <f>IF(H2065&lt;=J2065,1,0)</f>
        <v>1</v>
      </c>
    </row>
    <row r="2066">
      <c r="A2066" s="19" t="inlineStr">
        <is>
          <t>QL-344-1</t>
        </is>
      </c>
      <c r="B2066" s="36" t="n">
        <v>46001</v>
      </c>
      <c r="C2066" s="37" t="inlineStr">
        <is>
          <t>出港</t>
        </is>
      </c>
      <c r="D2066" s="19" t="inlineStr">
        <is>
          <t>集装箱货物</t>
        </is>
      </c>
      <c r="E2066" s="19" t="inlineStr">
        <is>
          <t>东南亚</t>
        </is>
      </c>
      <c r="F2066" s="19" t="inlineStr">
        <is>
          <t>01号泊位</t>
        </is>
      </c>
      <c r="G2066" s="20" t="n">
        <v>8343</v>
      </c>
      <c r="H2066" s="38" t="n">
        <v>9.9</v>
      </c>
      <c r="I2066" s="38" t="n">
        <v>4.83</v>
      </c>
      <c r="J2066" s="38" t="n">
        <v>9.27</v>
      </c>
      <c r="K2066" s="20" t="n">
        <v>575</v>
      </c>
      <c r="L2066" s="26">
        <f>IF(H2066&lt;=J2066,1,0)</f>
        <v>0</v>
      </c>
    </row>
    <row r="2067">
      <c r="A2067" s="24" t="inlineStr">
        <is>
          <t>QL-344-2</t>
        </is>
      </c>
      <c r="B2067" s="39" t="n">
        <v>46001</v>
      </c>
      <c r="C2067" s="40" t="inlineStr">
        <is>
          <t>进港</t>
        </is>
      </c>
      <c r="D2067" s="24" t="inlineStr">
        <is>
          <t>金属矿石</t>
        </is>
      </c>
      <c r="E2067" s="24" t="inlineStr">
        <is>
          <t>东亚</t>
        </is>
      </c>
      <c r="F2067" s="24" t="inlineStr">
        <is>
          <t>02号泊位</t>
        </is>
      </c>
      <c r="G2067" s="25" t="n">
        <v>25667</v>
      </c>
      <c r="H2067" s="41" t="n">
        <v>16.75</v>
      </c>
      <c r="I2067" s="41" t="n">
        <v>2.6</v>
      </c>
      <c r="J2067" s="41" t="n">
        <v>16.56</v>
      </c>
      <c r="K2067" s="25" t="n">
        <v>0</v>
      </c>
      <c r="L2067" s="26">
        <f>IF(H2067&lt;=J2067,1,0)</f>
        <v>0</v>
      </c>
    </row>
    <row r="2068">
      <c r="A2068" s="19" t="inlineStr">
        <is>
          <t>QL-344-3</t>
        </is>
      </c>
      <c r="B2068" s="36" t="n">
        <v>46001</v>
      </c>
      <c r="C2068" s="37" t="inlineStr">
        <is>
          <t>进港</t>
        </is>
      </c>
      <c r="D2068" s="19" t="inlineStr">
        <is>
          <t>煤炭</t>
        </is>
      </c>
      <c r="E2068" s="19" t="inlineStr">
        <is>
          <t>东亚</t>
        </is>
      </c>
      <c r="F2068" s="19" t="inlineStr">
        <is>
          <t>03号泊位</t>
        </is>
      </c>
      <c r="G2068" s="20" t="n">
        <v>13273</v>
      </c>
      <c r="H2068" s="38" t="n">
        <v>8.279999999999999</v>
      </c>
      <c r="I2068" s="38" t="n">
        <v>2.86</v>
      </c>
      <c r="J2068" s="38" t="n">
        <v>10.06</v>
      </c>
      <c r="K2068" s="20" t="n">
        <v>0</v>
      </c>
      <c r="L2068" s="26">
        <f>IF(H2068&lt;=J2068,1,0)</f>
        <v>1</v>
      </c>
    </row>
    <row r="2069">
      <c r="A2069" s="24" t="inlineStr">
        <is>
          <t>QL-344-4</t>
        </is>
      </c>
      <c r="B2069" s="39" t="n">
        <v>46001</v>
      </c>
      <c r="C2069" s="40" t="inlineStr">
        <is>
          <t>出港</t>
        </is>
      </c>
      <c r="D2069" s="24" t="inlineStr">
        <is>
          <t>粮食</t>
        </is>
      </c>
      <c r="E2069" s="24" t="inlineStr">
        <is>
          <t>欧洲</t>
        </is>
      </c>
      <c r="F2069" s="24" t="inlineStr">
        <is>
          <t>04号泊位</t>
        </is>
      </c>
      <c r="G2069" s="25" t="n">
        <v>11988</v>
      </c>
      <c r="H2069" s="41" t="n">
        <v>10.93</v>
      </c>
      <c r="I2069" s="41" t="n">
        <v>2.77</v>
      </c>
      <c r="J2069" s="41" t="n">
        <v>11.75</v>
      </c>
      <c r="K2069" s="25" t="n">
        <v>0</v>
      </c>
      <c r="L2069" s="26">
        <f>IF(H2069&lt;=J2069,1,0)</f>
        <v>1</v>
      </c>
    </row>
    <row r="2070">
      <c r="A2070" s="19" t="inlineStr">
        <is>
          <t>QL-344-5</t>
        </is>
      </c>
      <c r="B2070" s="36" t="n">
        <v>46001</v>
      </c>
      <c r="C2070" s="37" t="inlineStr">
        <is>
          <t>出港</t>
        </is>
      </c>
      <c r="D2070" s="19" t="inlineStr">
        <is>
          <t>液体散货</t>
        </is>
      </c>
      <c r="E2070" s="19" t="inlineStr">
        <is>
          <t>国内沿海</t>
        </is>
      </c>
      <c r="F2070" s="19" t="inlineStr">
        <is>
          <t>05号泊位</t>
        </is>
      </c>
      <c r="G2070" s="20" t="n">
        <v>11538</v>
      </c>
      <c r="H2070" s="38" t="n">
        <v>9.23</v>
      </c>
      <c r="I2070" s="38" t="n">
        <v>2.4</v>
      </c>
      <c r="J2070" s="38" t="n">
        <v>8.01</v>
      </c>
      <c r="K2070" s="20" t="n">
        <v>0</v>
      </c>
      <c r="L2070" s="26">
        <f>IF(H2070&lt;=J2070,1,0)</f>
        <v>0</v>
      </c>
    </row>
    <row r="2071">
      <c r="A2071" s="24" t="inlineStr">
        <is>
          <t>QL-344-6</t>
        </is>
      </c>
      <c r="B2071" s="39" t="n">
        <v>46001</v>
      </c>
      <c r="C2071" s="40" t="inlineStr">
        <is>
          <t>进港</t>
        </is>
      </c>
      <c r="D2071" s="24" t="inlineStr">
        <is>
          <t>件杂货</t>
        </is>
      </c>
      <c r="E2071" s="24" t="inlineStr">
        <is>
          <t>东南亚</t>
        </is>
      </c>
      <c r="F2071" s="24" t="inlineStr">
        <is>
          <t>06号泊位</t>
        </is>
      </c>
      <c r="G2071" s="25" t="n">
        <v>6902</v>
      </c>
      <c r="H2071" s="41" t="n">
        <v>9.970000000000001</v>
      </c>
      <c r="I2071" s="41" t="n">
        <v>6.3</v>
      </c>
      <c r="J2071" s="41" t="n">
        <v>11.31</v>
      </c>
      <c r="K2071" s="25" t="n">
        <v>0</v>
      </c>
      <c r="L2071" s="26">
        <f>IF(H2071&lt;=J2071,1,0)</f>
        <v>1</v>
      </c>
    </row>
    <row r="2072">
      <c r="A2072" s="19" t="inlineStr">
        <is>
          <t>QL-345-1</t>
        </is>
      </c>
      <c r="B2072" s="36" t="n">
        <v>46002</v>
      </c>
      <c r="C2072" s="37" t="inlineStr">
        <is>
          <t>进港</t>
        </is>
      </c>
      <c r="D2072" s="19" t="inlineStr">
        <is>
          <t>集装箱货物</t>
        </is>
      </c>
      <c r="E2072" s="19" t="inlineStr">
        <is>
          <t>国内沿海</t>
        </is>
      </c>
      <c r="F2072" s="19" t="inlineStr">
        <is>
          <t>01号泊位</t>
        </is>
      </c>
      <c r="G2072" s="20" t="n">
        <v>10234</v>
      </c>
      <c r="H2072" s="38" t="n">
        <v>13.01</v>
      </c>
      <c r="I2072" s="38" t="n">
        <v>1.51</v>
      </c>
      <c r="J2072" s="38" t="n">
        <v>11.37</v>
      </c>
      <c r="K2072" s="20" t="n">
        <v>771</v>
      </c>
      <c r="L2072" s="26">
        <f>IF(H2072&lt;=J2072,1,0)</f>
        <v>0</v>
      </c>
    </row>
    <row r="2073">
      <c r="A2073" s="24" t="inlineStr">
        <is>
          <t>QL-345-2</t>
        </is>
      </c>
      <c r="B2073" s="39" t="n">
        <v>46002</v>
      </c>
      <c r="C2073" s="40" t="inlineStr">
        <is>
          <t>进港</t>
        </is>
      </c>
      <c r="D2073" s="24" t="inlineStr">
        <is>
          <t>金属矿石</t>
        </is>
      </c>
      <c r="E2073" s="24" t="inlineStr">
        <is>
          <t>北美</t>
        </is>
      </c>
      <c r="F2073" s="24" t="inlineStr">
        <is>
          <t>02号泊位</t>
        </is>
      </c>
      <c r="G2073" s="25" t="n">
        <v>10285</v>
      </c>
      <c r="H2073" s="41" t="n">
        <v>5.89</v>
      </c>
      <c r="I2073" s="41" t="n">
        <v>4.74</v>
      </c>
      <c r="J2073" s="41" t="n">
        <v>6.64</v>
      </c>
      <c r="K2073" s="25" t="n">
        <v>0</v>
      </c>
      <c r="L2073" s="26">
        <f>IF(H2073&lt;=J2073,1,0)</f>
        <v>1</v>
      </c>
    </row>
    <row r="2074">
      <c r="A2074" s="19" t="inlineStr">
        <is>
          <t>QL-345-3</t>
        </is>
      </c>
      <c r="B2074" s="36" t="n">
        <v>46002</v>
      </c>
      <c r="C2074" s="37" t="inlineStr">
        <is>
          <t>进港</t>
        </is>
      </c>
      <c r="D2074" s="19" t="inlineStr">
        <is>
          <t>煤炭</t>
        </is>
      </c>
      <c r="E2074" s="19" t="inlineStr">
        <is>
          <t>欧洲</t>
        </is>
      </c>
      <c r="F2074" s="19" t="inlineStr">
        <is>
          <t>03号泊位</t>
        </is>
      </c>
      <c r="G2074" s="20" t="n">
        <v>21387</v>
      </c>
      <c r="H2074" s="38" t="n">
        <v>18.55</v>
      </c>
      <c r="I2074" s="38" t="n">
        <v>0.58</v>
      </c>
      <c r="J2074" s="38" t="n">
        <v>16.2</v>
      </c>
      <c r="K2074" s="20" t="n">
        <v>0</v>
      </c>
      <c r="L2074" s="26">
        <f>IF(H2074&lt;=J2074,1,0)</f>
        <v>0</v>
      </c>
    </row>
    <row r="2075">
      <c r="A2075" s="24" t="inlineStr">
        <is>
          <t>QL-345-4</t>
        </is>
      </c>
      <c r="B2075" s="39" t="n">
        <v>46002</v>
      </c>
      <c r="C2075" s="40" t="inlineStr">
        <is>
          <t>进港</t>
        </is>
      </c>
      <c r="D2075" s="24" t="inlineStr">
        <is>
          <t>粮食</t>
        </is>
      </c>
      <c r="E2075" s="24" t="inlineStr">
        <is>
          <t>东南亚</t>
        </is>
      </c>
      <c r="F2075" s="24" t="inlineStr">
        <is>
          <t>04号泊位</t>
        </is>
      </c>
      <c r="G2075" s="25" t="n">
        <v>7950</v>
      </c>
      <c r="H2075" s="41" t="n">
        <v>8.48</v>
      </c>
      <c r="I2075" s="41" t="n">
        <v>0.95</v>
      </c>
      <c r="J2075" s="41" t="n">
        <v>7.79</v>
      </c>
      <c r="K2075" s="25" t="n">
        <v>0</v>
      </c>
      <c r="L2075" s="26">
        <f>IF(H2075&lt;=J2075,1,0)</f>
        <v>0</v>
      </c>
    </row>
    <row r="2076">
      <c r="A2076" s="19" t="inlineStr">
        <is>
          <t>QL-345-5</t>
        </is>
      </c>
      <c r="B2076" s="36" t="n">
        <v>46002</v>
      </c>
      <c r="C2076" s="37" t="inlineStr">
        <is>
          <t>出港</t>
        </is>
      </c>
      <c r="D2076" s="19" t="inlineStr">
        <is>
          <t>液体散货</t>
        </is>
      </c>
      <c r="E2076" s="19" t="inlineStr">
        <is>
          <t>国内沿海</t>
        </is>
      </c>
      <c r="F2076" s="19" t="inlineStr">
        <is>
          <t>05号泊位</t>
        </is>
      </c>
      <c r="G2076" s="20" t="n">
        <v>8144</v>
      </c>
      <c r="H2076" s="38" t="n">
        <v>5.85</v>
      </c>
      <c r="I2076" s="38" t="n">
        <v>2.98</v>
      </c>
      <c r="J2076" s="38" t="n">
        <v>5.66</v>
      </c>
      <c r="K2076" s="20" t="n">
        <v>0</v>
      </c>
      <c r="L2076" s="26">
        <f>IF(H2076&lt;=J2076,1,0)</f>
        <v>0</v>
      </c>
    </row>
    <row r="2077">
      <c r="A2077" s="24" t="inlineStr">
        <is>
          <t>QL-345-6</t>
        </is>
      </c>
      <c r="B2077" s="39" t="n">
        <v>46002</v>
      </c>
      <c r="C2077" s="40" t="inlineStr">
        <is>
          <t>出港</t>
        </is>
      </c>
      <c r="D2077" s="24" t="inlineStr">
        <is>
          <t>件杂货</t>
        </is>
      </c>
      <c r="E2077" s="24" t="inlineStr">
        <is>
          <t>国内沿海</t>
        </is>
      </c>
      <c r="F2077" s="24" t="inlineStr">
        <is>
          <t>06号泊位</t>
        </is>
      </c>
      <c r="G2077" s="25" t="n">
        <v>4000</v>
      </c>
      <c r="H2077" s="41" t="n">
        <v>6.3</v>
      </c>
      <c r="I2077" s="41" t="n">
        <v>4.94</v>
      </c>
      <c r="J2077" s="41" t="n">
        <v>6.56</v>
      </c>
      <c r="K2077" s="25" t="n">
        <v>0</v>
      </c>
      <c r="L2077" s="26">
        <f>IF(H2077&lt;=J2077,1,0)</f>
        <v>1</v>
      </c>
    </row>
    <row r="2078">
      <c r="A2078" s="19" t="inlineStr">
        <is>
          <t>QL-346-1</t>
        </is>
      </c>
      <c r="B2078" s="36" t="n">
        <v>46003</v>
      </c>
      <c r="C2078" s="37" t="inlineStr">
        <is>
          <t>出港</t>
        </is>
      </c>
      <c r="D2078" s="19" t="inlineStr">
        <is>
          <t>集装箱货物</t>
        </is>
      </c>
      <c r="E2078" s="19" t="inlineStr">
        <is>
          <t>北美</t>
        </is>
      </c>
      <c r="F2078" s="19" t="inlineStr">
        <is>
          <t>01号泊位</t>
        </is>
      </c>
      <c r="G2078" s="20" t="n">
        <v>8124</v>
      </c>
      <c r="H2078" s="38" t="n">
        <v>9.25</v>
      </c>
      <c r="I2078" s="38" t="n">
        <v>0.76</v>
      </c>
      <c r="J2078" s="38" t="n">
        <v>9.029999999999999</v>
      </c>
      <c r="K2078" s="20" t="n">
        <v>647</v>
      </c>
      <c r="L2078" s="26">
        <f>IF(H2078&lt;=J2078,1,0)</f>
        <v>0</v>
      </c>
    </row>
    <row r="2079">
      <c r="A2079" s="24" t="inlineStr">
        <is>
          <t>QL-346-2</t>
        </is>
      </c>
      <c r="B2079" s="39" t="n">
        <v>46003</v>
      </c>
      <c r="C2079" s="40" t="inlineStr">
        <is>
          <t>进港</t>
        </is>
      </c>
      <c r="D2079" s="24" t="inlineStr">
        <is>
          <t>金属矿石</t>
        </is>
      </c>
      <c r="E2079" s="24" t="inlineStr">
        <is>
          <t>欧洲</t>
        </is>
      </c>
      <c r="F2079" s="24" t="inlineStr">
        <is>
          <t>02号泊位</t>
        </is>
      </c>
      <c r="G2079" s="25" t="n">
        <v>18659</v>
      </c>
      <c r="H2079" s="41" t="n">
        <v>12.86</v>
      </c>
      <c r="I2079" s="41" t="n">
        <v>0.45</v>
      </c>
      <c r="J2079" s="41" t="n">
        <v>12.04</v>
      </c>
      <c r="K2079" s="25" t="n">
        <v>0</v>
      </c>
      <c r="L2079" s="26">
        <f>IF(H2079&lt;=J2079,1,0)</f>
        <v>0</v>
      </c>
    </row>
    <row r="2080">
      <c r="A2080" s="19" t="inlineStr">
        <is>
          <t>QL-346-3</t>
        </is>
      </c>
      <c r="B2080" s="36" t="n">
        <v>46003</v>
      </c>
      <c r="C2080" s="37" t="inlineStr">
        <is>
          <t>进港</t>
        </is>
      </c>
      <c r="D2080" s="19" t="inlineStr">
        <is>
          <t>煤炭</t>
        </is>
      </c>
      <c r="E2080" s="19" t="inlineStr">
        <is>
          <t>东南亚</t>
        </is>
      </c>
      <c r="F2080" s="19" t="inlineStr">
        <is>
          <t>03号泊位</t>
        </is>
      </c>
      <c r="G2080" s="20" t="n">
        <v>13099</v>
      </c>
      <c r="H2080" s="38" t="n">
        <v>9.66</v>
      </c>
      <c r="I2080" s="38" t="n">
        <v>1.48</v>
      </c>
      <c r="J2080" s="38" t="n">
        <v>9.92</v>
      </c>
      <c r="K2080" s="20" t="n">
        <v>0</v>
      </c>
      <c r="L2080" s="26">
        <f>IF(H2080&lt;=J2080,1,0)</f>
        <v>1</v>
      </c>
    </row>
    <row r="2081">
      <c r="A2081" s="24" t="inlineStr">
        <is>
          <t>QL-346-4</t>
        </is>
      </c>
      <c r="B2081" s="39" t="n">
        <v>46003</v>
      </c>
      <c r="C2081" s="40" t="inlineStr">
        <is>
          <t>出港</t>
        </is>
      </c>
      <c r="D2081" s="24" t="inlineStr">
        <is>
          <t>粮食</t>
        </is>
      </c>
      <c r="E2081" s="24" t="inlineStr">
        <is>
          <t>东亚</t>
        </is>
      </c>
      <c r="F2081" s="24" t="inlineStr">
        <is>
          <t>04号泊位</t>
        </is>
      </c>
      <c r="G2081" s="25" t="n">
        <v>7255</v>
      </c>
      <c r="H2081" s="41" t="n">
        <v>6.9</v>
      </c>
      <c r="I2081" s="41" t="n">
        <v>1.81</v>
      </c>
      <c r="J2081" s="41" t="n">
        <v>7.11</v>
      </c>
      <c r="K2081" s="25" t="n">
        <v>0</v>
      </c>
      <c r="L2081" s="26">
        <f>IF(H2081&lt;=J2081,1,0)</f>
        <v>1</v>
      </c>
    </row>
    <row r="2082">
      <c r="A2082" s="19" t="inlineStr">
        <is>
          <t>QL-346-5</t>
        </is>
      </c>
      <c r="B2082" s="36" t="n">
        <v>46003</v>
      </c>
      <c r="C2082" s="37" t="inlineStr">
        <is>
          <t>出港</t>
        </is>
      </c>
      <c r="D2082" s="19" t="inlineStr">
        <is>
          <t>液体散货</t>
        </is>
      </c>
      <c r="E2082" s="19" t="inlineStr">
        <is>
          <t>东南亚</t>
        </is>
      </c>
      <c r="F2082" s="19" t="inlineStr">
        <is>
          <t>05号泊位</t>
        </is>
      </c>
      <c r="G2082" s="20" t="n">
        <v>15177</v>
      </c>
      <c r="H2082" s="38" t="n">
        <v>9.15</v>
      </c>
      <c r="I2082" s="38" t="n">
        <v>1.41</v>
      </c>
      <c r="J2082" s="38" t="n">
        <v>10.54</v>
      </c>
      <c r="K2082" s="20" t="n">
        <v>0</v>
      </c>
      <c r="L2082" s="26">
        <f>IF(H2082&lt;=J2082,1,0)</f>
        <v>1</v>
      </c>
    </row>
    <row r="2083">
      <c r="A2083" s="24" t="inlineStr">
        <is>
          <t>QL-346-6</t>
        </is>
      </c>
      <c r="B2083" s="39" t="n">
        <v>46003</v>
      </c>
      <c r="C2083" s="40" t="inlineStr">
        <is>
          <t>出港</t>
        </is>
      </c>
      <c r="D2083" s="24" t="inlineStr">
        <is>
          <t>件杂货</t>
        </is>
      </c>
      <c r="E2083" s="24" t="inlineStr">
        <is>
          <t>东亚</t>
        </is>
      </c>
      <c r="F2083" s="24" t="inlineStr">
        <is>
          <t>06号泊位</t>
        </is>
      </c>
      <c r="G2083" s="25" t="n">
        <v>3817</v>
      </c>
      <c r="H2083" s="41" t="n">
        <v>5.59</v>
      </c>
      <c r="I2083" s="41" t="n">
        <v>1.92</v>
      </c>
      <c r="J2083" s="41" t="n">
        <v>6.26</v>
      </c>
      <c r="K2083" s="25" t="n">
        <v>0</v>
      </c>
      <c r="L2083" s="26">
        <f>IF(H2083&lt;=J2083,1,0)</f>
        <v>1</v>
      </c>
    </row>
    <row r="2084">
      <c r="A2084" s="19" t="inlineStr">
        <is>
          <t>QL-347-1</t>
        </is>
      </c>
      <c r="B2084" s="36" t="n">
        <v>46004</v>
      </c>
      <c r="C2084" s="37" t="inlineStr">
        <is>
          <t>进港</t>
        </is>
      </c>
      <c r="D2084" s="19" t="inlineStr">
        <is>
          <t>集装箱货物</t>
        </is>
      </c>
      <c r="E2084" s="19" t="inlineStr">
        <is>
          <t>东亚</t>
        </is>
      </c>
      <c r="F2084" s="19" t="inlineStr">
        <is>
          <t>01号泊位</t>
        </is>
      </c>
      <c r="G2084" s="20" t="n">
        <v>6047</v>
      </c>
      <c r="H2084" s="38" t="n">
        <v>6.76</v>
      </c>
      <c r="I2084" s="38" t="n">
        <v>2.82</v>
      </c>
      <c r="J2084" s="38" t="n">
        <v>6.72</v>
      </c>
      <c r="K2084" s="20" t="n">
        <v>366</v>
      </c>
      <c r="L2084" s="26">
        <f>IF(H2084&lt;=J2084,1,0)</f>
        <v>0</v>
      </c>
    </row>
    <row r="2085">
      <c r="A2085" s="24" t="inlineStr">
        <is>
          <t>QL-347-2</t>
        </is>
      </c>
      <c r="B2085" s="39" t="n">
        <v>46004</v>
      </c>
      <c r="C2085" s="40" t="inlineStr">
        <is>
          <t>进港</t>
        </is>
      </c>
      <c r="D2085" s="24" t="inlineStr">
        <is>
          <t>金属矿石</t>
        </is>
      </c>
      <c r="E2085" s="24" t="inlineStr">
        <is>
          <t>东亚</t>
        </is>
      </c>
      <c r="F2085" s="24" t="inlineStr">
        <is>
          <t>02号泊位</t>
        </is>
      </c>
      <c r="G2085" s="25" t="n">
        <v>19419</v>
      </c>
      <c r="H2085" s="41" t="n">
        <v>12.43</v>
      </c>
      <c r="I2085" s="41" t="n">
        <v>1.8</v>
      </c>
      <c r="J2085" s="41" t="n">
        <v>12.53</v>
      </c>
      <c r="K2085" s="25" t="n">
        <v>0</v>
      </c>
      <c r="L2085" s="26">
        <f>IF(H2085&lt;=J2085,1,0)</f>
        <v>1</v>
      </c>
    </row>
    <row r="2086">
      <c r="A2086" s="19" t="inlineStr">
        <is>
          <t>QL-347-3</t>
        </is>
      </c>
      <c r="B2086" s="36" t="n">
        <v>46004</v>
      </c>
      <c r="C2086" s="37" t="inlineStr">
        <is>
          <t>出港</t>
        </is>
      </c>
      <c r="D2086" s="19" t="inlineStr">
        <is>
          <t>煤炭</t>
        </is>
      </c>
      <c r="E2086" s="19" t="inlineStr">
        <is>
          <t>东南亚</t>
        </is>
      </c>
      <c r="F2086" s="19" t="inlineStr">
        <is>
          <t>03号泊位</t>
        </is>
      </c>
      <c r="G2086" s="20" t="n">
        <v>8322</v>
      </c>
      <c r="H2086" s="38" t="n">
        <v>6.02</v>
      </c>
      <c r="I2086" s="38" t="n">
        <v>0.96</v>
      </c>
      <c r="J2086" s="38" t="n">
        <v>6.3</v>
      </c>
      <c r="K2086" s="20" t="n">
        <v>0</v>
      </c>
      <c r="L2086" s="26">
        <f>IF(H2086&lt;=J2086,1,0)</f>
        <v>1</v>
      </c>
    </row>
    <row r="2087">
      <c r="A2087" s="24" t="inlineStr">
        <is>
          <t>QL-347-4</t>
        </is>
      </c>
      <c r="B2087" s="39" t="n">
        <v>46004</v>
      </c>
      <c r="C2087" s="40" t="inlineStr">
        <is>
          <t>进港</t>
        </is>
      </c>
      <c r="D2087" s="24" t="inlineStr">
        <is>
          <t>粮食</t>
        </is>
      </c>
      <c r="E2087" s="24" t="inlineStr">
        <is>
          <t>东南亚</t>
        </is>
      </c>
      <c r="F2087" s="24" t="inlineStr">
        <is>
          <t>04号泊位</t>
        </is>
      </c>
      <c r="G2087" s="25" t="n">
        <v>9256</v>
      </c>
      <c r="H2087" s="41" t="n">
        <v>9.470000000000001</v>
      </c>
      <c r="I2087" s="41" t="n">
        <v>6.65</v>
      </c>
      <c r="J2087" s="41" t="n">
        <v>9.07</v>
      </c>
      <c r="K2087" s="25" t="n">
        <v>0</v>
      </c>
      <c r="L2087" s="26">
        <f>IF(H2087&lt;=J2087,1,0)</f>
        <v>0</v>
      </c>
    </row>
    <row r="2088">
      <c r="A2088" s="19" t="inlineStr">
        <is>
          <t>QL-347-5</t>
        </is>
      </c>
      <c r="B2088" s="36" t="n">
        <v>46004</v>
      </c>
      <c r="C2088" s="37" t="inlineStr">
        <is>
          <t>出港</t>
        </is>
      </c>
      <c r="D2088" s="19" t="inlineStr">
        <is>
          <t>液体散货</t>
        </is>
      </c>
      <c r="E2088" s="19" t="inlineStr">
        <is>
          <t>东亚</t>
        </is>
      </c>
      <c r="F2088" s="19" t="inlineStr">
        <is>
          <t>05号泊位</t>
        </is>
      </c>
      <c r="G2088" s="20" t="n">
        <v>8795</v>
      </c>
      <c r="H2088" s="38" t="n">
        <v>5.39</v>
      </c>
      <c r="I2088" s="38" t="n">
        <v>3.85</v>
      </c>
      <c r="J2088" s="38" t="n">
        <v>6.11</v>
      </c>
      <c r="K2088" s="20" t="n">
        <v>0</v>
      </c>
      <c r="L2088" s="26">
        <f>IF(H2088&lt;=J2088,1,0)</f>
        <v>1</v>
      </c>
    </row>
    <row r="2089">
      <c r="A2089" s="24" t="inlineStr">
        <is>
          <t>QL-347-6</t>
        </is>
      </c>
      <c r="B2089" s="39" t="n">
        <v>46004</v>
      </c>
      <c r="C2089" s="40" t="inlineStr">
        <is>
          <t>进港</t>
        </is>
      </c>
      <c r="D2089" s="24" t="inlineStr">
        <is>
          <t>件杂货</t>
        </is>
      </c>
      <c r="E2089" s="24" t="inlineStr">
        <is>
          <t>北美</t>
        </is>
      </c>
      <c r="F2089" s="24" t="inlineStr">
        <is>
          <t>06号泊位</t>
        </is>
      </c>
      <c r="G2089" s="25" t="n">
        <v>4862</v>
      </c>
      <c r="H2089" s="41" t="n">
        <v>8.98</v>
      </c>
      <c r="I2089" s="41" t="n">
        <v>1.19</v>
      </c>
      <c r="J2089" s="41" t="n">
        <v>7.97</v>
      </c>
      <c r="K2089" s="25" t="n">
        <v>0</v>
      </c>
      <c r="L2089" s="26">
        <f>IF(H2089&lt;=J2089,1,0)</f>
        <v>0</v>
      </c>
    </row>
    <row r="2090">
      <c r="A2090" s="19" t="inlineStr">
        <is>
          <t>QL-348-1</t>
        </is>
      </c>
      <c r="B2090" s="36" t="n">
        <v>46005</v>
      </c>
      <c r="C2090" s="37" t="inlineStr">
        <is>
          <t>进港</t>
        </is>
      </c>
      <c r="D2090" s="19" t="inlineStr">
        <is>
          <t>集装箱货物</t>
        </is>
      </c>
      <c r="E2090" s="19" t="inlineStr">
        <is>
          <t>国内沿海</t>
        </is>
      </c>
      <c r="F2090" s="19" t="inlineStr">
        <is>
          <t>01号泊位</t>
        </is>
      </c>
      <c r="G2090" s="20" t="n">
        <v>5390</v>
      </c>
      <c r="H2090" s="38" t="n">
        <v>5.53</v>
      </c>
      <c r="I2090" s="38" t="n">
        <v>2.4</v>
      </c>
      <c r="J2090" s="38" t="n">
        <v>5.99</v>
      </c>
      <c r="K2090" s="20" t="n">
        <v>441</v>
      </c>
      <c r="L2090" s="26">
        <f>IF(H2090&lt;=J2090,1,0)</f>
        <v>1</v>
      </c>
    </row>
    <row r="2091">
      <c r="A2091" s="24" t="inlineStr">
        <is>
          <t>QL-348-2</t>
        </is>
      </c>
      <c r="B2091" s="39" t="n">
        <v>46005</v>
      </c>
      <c r="C2091" s="40" t="inlineStr">
        <is>
          <t>进港</t>
        </is>
      </c>
      <c r="D2091" s="24" t="inlineStr">
        <is>
          <t>金属矿石</t>
        </is>
      </c>
      <c r="E2091" s="24" t="inlineStr">
        <is>
          <t>东亚</t>
        </is>
      </c>
      <c r="F2091" s="24" t="inlineStr">
        <is>
          <t>02号泊位</t>
        </is>
      </c>
      <c r="G2091" s="25" t="n">
        <v>23382</v>
      </c>
      <c r="H2091" s="41" t="n">
        <v>17.56</v>
      </c>
      <c r="I2091" s="41" t="n">
        <v>7.96</v>
      </c>
      <c r="J2091" s="41" t="n">
        <v>15.09</v>
      </c>
      <c r="K2091" s="25" t="n">
        <v>0</v>
      </c>
      <c r="L2091" s="26">
        <f>IF(H2091&lt;=J2091,1,0)</f>
        <v>0</v>
      </c>
    </row>
    <row r="2092">
      <c r="A2092" s="19" t="inlineStr">
        <is>
          <t>QL-348-3</t>
        </is>
      </c>
      <c r="B2092" s="36" t="n">
        <v>46005</v>
      </c>
      <c r="C2092" s="37" t="inlineStr">
        <is>
          <t>进港</t>
        </is>
      </c>
      <c r="D2092" s="19" t="inlineStr">
        <is>
          <t>煤炭</t>
        </is>
      </c>
      <c r="E2092" s="19" t="inlineStr">
        <is>
          <t>欧洲</t>
        </is>
      </c>
      <c r="F2092" s="19" t="inlineStr">
        <is>
          <t>03号泊位</t>
        </is>
      </c>
      <c r="G2092" s="20" t="n">
        <v>22021</v>
      </c>
      <c r="H2092" s="38" t="n">
        <v>14.59</v>
      </c>
      <c r="I2092" s="38" t="n">
        <v>1.2</v>
      </c>
      <c r="J2092" s="38" t="n">
        <v>16.68</v>
      </c>
      <c r="K2092" s="20" t="n">
        <v>0</v>
      </c>
      <c r="L2092" s="26">
        <f>IF(H2092&lt;=J2092,1,0)</f>
        <v>1</v>
      </c>
    </row>
    <row r="2093">
      <c r="A2093" s="24" t="inlineStr">
        <is>
          <t>QL-348-4</t>
        </is>
      </c>
      <c r="B2093" s="39" t="n">
        <v>46005</v>
      </c>
      <c r="C2093" s="40" t="inlineStr">
        <is>
          <t>进港</t>
        </is>
      </c>
      <c r="D2093" s="24" t="inlineStr">
        <is>
          <t>粮食</t>
        </is>
      </c>
      <c r="E2093" s="24" t="inlineStr">
        <is>
          <t>东亚</t>
        </is>
      </c>
      <c r="F2093" s="24" t="inlineStr">
        <is>
          <t>04号泊位</t>
        </is>
      </c>
      <c r="G2093" s="25" t="n">
        <v>7278</v>
      </c>
      <c r="H2093" s="41" t="n">
        <v>6.13</v>
      </c>
      <c r="I2093" s="41" t="n">
        <v>2.75</v>
      </c>
      <c r="J2093" s="41" t="n">
        <v>7.14</v>
      </c>
      <c r="K2093" s="25" t="n">
        <v>0</v>
      </c>
      <c r="L2093" s="26">
        <f>IF(H2093&lt;=J2093,1,0)</f>
        <v>1</v>
      </c>
    </row>
    <row r="2094">
      <c r="A2094" s="19" t="inlineStr">
        <is>
          <t>QL-348-5</t>
        </is>
      </c>
      <c r="B2094" s="36" t="n">
        <v>46005</v>
      </c>
      <c r="C2094" s="37" t="inlineStr">
        <is>
          <t>进港</t>
        </is>
      </c>
      <c r="D2094" s="19" t="inlineStr">
        <is>
          <t>液体散货</t>
        </is>
      </c>
      <c r="E2094" s="19" t="inlineStr">
        <is>
          <t>东南亚</t>
        </is>
      </c>
      <c r="F2094" s="19" t="inlineStr">
        <is>
          <t>05号泊位</t>
        </is>
      </c>
      <c r="G2094" s="20" t="n">
        <v>6246</v>
      </c>
      <c r="H2094" s="38" t="n">
        <v>4.32</v>
      </c>
      <c r="I2094" s="38" t="n">
        <v>3.53</v>
      </c>
      <c r="J2094" s="38" t="n">
        <v>4.34</v>
      </c>
      <c r="K2094" s="20" t="n">
        <v>0</v>
      </c>
      <c r="L2094" s="26">
        <f>IF(H2094&lt;=J2094,1,0)</f>
        <v>1</v>
      </c>
    </row>
    <row r="2095">
      <c r="A2095" s="24" t="inlineStr">
        <is>
          <t>QL-348-6</t>
        </is>
      </c>
      <c r="B2095" s="39" t="n">
        <v>46005</v>
      </c>
      <c r="C2095" s="40" t="inlineStr">
        <is>
          <t>进港</t>
        </is>
      </c>
      <c r="D2095" s="24" t="inlineStr">
        <is>
          <t>件杂货</t>
        </is>
      </c>
      <c r="E2095" s="24" t="inlineStr">
        <is>
          <t>东亚</t>
        </is>
      </c>
      <c r="F2095" s="24" t="inlineStr">
        <is>
          <t>06号泊位</t>
        </is>
      </c>
      <c r="G2095" s="25" t="n">
        <v>4276</v>
      </c>
      <c r="H2095" s="41" t="n">
        <v>6.08</v>
      </c>
      <c r="I2095" s="41" t="n">
        <v>0.3</v>
      </c>
      <c r="J2095" s="41" t="n">
        <v>7.01</v>
      </c>
      <c r="K2095" s="25" t="n">
        <v>0</v>
      </c>
      <c r="L2095" s="26">
        <f>IF(H2095&lt;=J2095,1,0)</f>
        <v>1</v>
      </c>
    </row>
    <row r="2096">
      <c r="A2096" s="19" t="inlineStr">
        <is>
          <t>QL-349-1</t>
        </is>
      </c>
      <c r="B2096" s="36" t="n">
        <v>46006</v>
      </c>
      <c r="C2096" s="37" t="inlineStr">
        <is>
          <t>出港</t>
        </is>
      </c>
      <c r="D2096" s="19" t="inlineStr">
        <is>
          <t>集装箱货物</t>
        </is>
      </c>
      <c r="E2096" s="19" t="inlineStr">
        <is>
          <t>国内沿海</t>
        </is>
      </c>
      <c r="F2096" s="19" t="inlineStr">
        <is>
          <t>01号泊位</t>
        </is>
      </c>
      <c r="G2096" s="20" t="n">
        <v>6118</v>
      </c>
      <c r="H2096" s="38" t="n">
        <v>8.109999999999999</v>
      </c>
      <c r="I2096" s="38" t="n">
        <v>1.4</v>
      </c>
      <c r="J2096" s="38" t="n">
        <v>6.8</v>
      </c>
      <c r="K2096" s="20" t="n">
        <v>404</v>
      </c>
      <c r="L2096" s="26">
        <f>IF(H2096&lt;=J2096,1,0)</f>
        <v>0</v>
      </c>
    </row>
    <row r="2097">
      <c r="A2097" s="24" t="inlineStr">
        <is>
          <t>QL-349-2</t>
        </is>
      </c>
      <c r="B2097" s="39" t="n">
        <v>46006</v>
      </c>
      <c r="C2097" s="40" t="inlineStr">
        <is>
          <t>进港</t>
        </is>
      </c>
      <c r="D2097" s="24" t="inlineStr">
        <is>
          <t>金属矿石</t>
        </is>
      </c>
      <c r="E2097" s="24" t="inlineStr">
        <is>
          <t>北美</t>
        </is>
      </c>
      <c r="F2097" s="24" t="inlineStr">
        <is>
          <t>02号泊位</t>
        </is>
      </c>
      <c r="G2097" s="25" t="n">
        <v>10830</v>
      </c>
      <c r="H2097" s="41" t="n">
        <v>8.01</v>
      </c>
      <c r="I2097" s="41" t="n">
        <v>2.18</v>
      </c>
      <c r="J2097" s="41" t="n">
        <v>6.99</v>
      </c>
      <c r="K2097" s="25" t="n">
        <v>0</v>
      </c>
      <c r="L2097" s="26">
        <f>IF(H2097&lt;=J2097,1,0)</f>
        <v>0</v>
      </c>
    </row>
    <row r="2098">
      <c r="A2098" s="19" t="inlineStr">
        <is>
          <t>QL-349-3</t>
        </is>
      </c>
      <c r="B2098" s="36" t="n">
        <v>46006</v>
      </c>
      <c r="C2098" s="37" t="inlineStr">
        <is>
          <t>出港</t>
        </is>
      </c>
      <c r="D2098" s="19" t="inlineStr">
        <is>
          <t>煤炭</t>
        </is>
      </c>
      <c r="E2098" s="19" t="inlineStr">
        <is>
          <t>东亚</t>
        </is>
      </c>
      <c r="F2098" s="19" t="inlineStr">
        <is>
          <t>03号泊位</t>
        </is>
      </c>
      <c r="G2098" s="20" t="n">
        <v>12780</v>
      </c>
      <c r="H2098" s="38" t="n">
        <v>10.5</v>
      </c>
      <c r="I2098" s="38" t="n">
        <v>2.54</v>
      </c>
      <c r="J2098" s="38" t="n">
        <v>9.68</v>
      </c>
      <c r="K2098" s="20" t="n">
        <v>0</v>
      </c>
      <c r="L2098" s="26">
        <f>IF(H2098&lt;=J2098,1,0)</f>
        <v>0</v>
      </c>
    </row>
    <row r="2099">
      <c r="A2099" s="24" t="inlineStr">
        <is>
          <t>QL-349-4</t>
        </is>
      </c>
      <c r="B2099" s="39" t="n">
        <v>46006</v>
      </c>
      <c r="C2099" s="40" t="inlineStr">
        <is>
          <t>进港</t>
        </is>
      </c>
      <c r="D2099" s="24" t="inlineStr">
        <is>
          <t>粮食</t>
        </is>
      </c>
      <c r="E2099" s="24" t="inlineStr">
        <is>
          <t>欧洲</t>
        </is>
      </c>
      <c r="F2099" s="24" t="inlineStr">
        <is>
          <t>04号泊位</t>
        </is>
      </c>
      <c r="G2099" s="25" t="n">
        <v>4823</v>
      </c>
      <c r="H2099" s="41" t="n">
        <v>3.95</v>
      </c>
      <c r="I2099" s="41" t="n">
        <v>5.91</v>
      </c>
      <c r="J2099" s="41" t="n">
        <v>4.73</v>
      </c>
      <c r="K2099" s="25" t="n">
        <v>0</v>
      </c>
      <c r="L2099" s="26">
        <f>IF(H2099&lt;=J2099,1,0)</f>
        <v>1</v>
      </c>
    </row>
    <row r="2100">
      <c r="A2100" s="19" t="inlineStr">
        <is>
          <t>QL-349-5</t>
        </is>
      </c>
      <c r="B2100" s="36" t="n">
        <v>46006</v>
      </c>
      <c r="C2100" s="37" t="inlineStr">
        <is>
          <t>进港</t>
        </is>
      </c>
      <c r="D2100" s="19" t="inlineStr">
        <is>
          <t>液体散货</t>
        </is>
      </c>
      <c r="E2100" s="19" t="inlineStr">
        <is>
          <t>欧洲</t>
        </is>
      </c>
      <c r="F2100" s="19" t="inlineStr">
        <is>
          <t>05号泊位</t>
        </is>
      </c>
      <c r="G2100" s="20" t="n">
        <v>11543</v>
      </c>
      <c r="H2100" s="38" t="n">
        <v>7.36</v>
      </c>
      <c r="I2100" s="38" t="n">
        <v>0.61</v>
      </c>
      <c r="J2100" s="38" t="n">
        <v>8.02</v>
      </c>
      <c r="K2100" s="20" t="n">
        <v>0</v>
      </c>
      <c r="L2100" s="26">
        <f>IF(H2100&lt;=J2100,1,0)</f>
        <v>1</v>
      </c>
    </row>
    <row r="2101">
      <c r="A2101" s="24" t="inlineStr">
        <is>
          <t>QL-349-6</t>
        </is>
      </c>
      <c r="B2101" s="39" t="n">
        <v>46006</v>
      </c>
      <c r="C2101" s="40" t="inlineStr">
        <is>
          <t>进港</t>
        </is>
      </c>
      <c r="D2101" s="24" t="inlineStr">
        <is>
          <t>件杂货</t>
        </is>
      </c>
      <c r="E2101" s="24" t="inlineStr">
        <is>
          <t>东南亚</t>
        </is>
      </c>
      <c r="F2101" s="24" t="inlineStr">
        <is>
          <t>06号泊位</t>
        </is>
      </c>
      <c r="G2101" s="25" t="n">
        <v>7708</v>
      </c>
      <c r="H2101" s="41" t="n">
        <v>13.74</v>
      </c>
      <c r="I2101" s="41" t="n">
        <v>0.53</v>
      </c>
      <c r="J2101" s="41" t="n">
        <v>12.64</v>
      </c>
      <c r="K2101" s="25" t="n">
        <v>0</v>
      </c>
      <c r="L2101" s="26">
        <f>IF(H2101&lt;=J2101,1,0)</f>
        <v>0</v>
      </c>
    </row>
    <row r="2102">
      <c r="A2102" s="19" t="inlineStr">
        <is>
          <t>QL-350-1</t>
        </is>
      </c>
      <c r="B2102" s="36" t="n">
        <v>46007</v>
      </c>
      <c r="C2102" s="37" t="inlineStr">
        <is>
          <t>出港</t>
        </is>
      </c>
      <c r="D2102" s="19" t="inlineStr">
        <is>
          <t>集装箱货物</t>
        </is>
      </c>
      <c r="E2102" s="19" t="inlineStr">
        <is>
          <t>东南亚</t>
        </is>
      </c>
      <c r="F2102" s="19" t="inlineStr">
        <is>
          <t>01号泊位</t>
        </is>
      </c>
      <c r="G2102" s="20" t="n">
        <v>7013</v>
      </c>
      <c r="H2102" s="38" t="n">
        <v>9.300000000000001</v>
      </c>
      <c r="I2102" s="38" t="n">
        <v>4.07</v>
      </c>
      <c r="J2102" s="38" t="n">
        <v>7.79</v>
      </c>
      <c r="K2102" s="20" t="n">
        <v>495</v>
      </c>
      <c r="L2102" s="26">
        <f>IF(H2102&lt;=J2102,1,0)</f>
        <v>0</v>
      </c>
    </row>
    <row r="2103">
      <c r="A2103" s="24" t="inlineStr">
        <is>
          <t>QL-350-2</t>
        </is>
      </c>
      <c r="B2103" s="39" t="n">
        <v>46007</v>
      </c>
      <c r="C2103" s="40" t="inlineStr">
        <is>
          <t>进港</t>
        </is>
      </c>
      <c r="D2103" s="24" t="inlineStr">
        <is>
          <t>金属矿石</t>
        </is>
      </c>
      <c r="E2103" s="24" t="inlineStr">
        <is>
          <t>欧洲</t>
        </is>
      </c>
      <c r="F2103" s="24" t="inlineStr">
        <is>
          <t>02号泊位</t>
        </is>
      </c>
      <c r="G2103" s="25" t="n">
        <v>17872</v>
      </c>
      <c r="H2103" s="41" t="n">
        <v>11.31</v>
      </c>
      <c r="I2103" s="41" t="n">
        <v>3.06</v>
      </c>
      <c r="J2103" s="41" t="n">
        <v>11.53</v>
      </c>
      <c r="K2103" s="25" t="n">
        <v>0</v>
      </c>
      <c r="L2103" s="26">
        <f>IF(H2103&lt;=J2103,1,0)</f>
        <v>1</v>
      </c>
    </row>
    <row r="2104">
      <c r="A2104" s="19" t="inlineStr">
        <is>
          <t>QL-350-3</t>
        </is>
      </c>
      <c r="B2104" s="36" t="n">
        <v>46007</v>
      </c>
      <c r="C2104" s="37" t="inlineStr">
        <is>
          <t>进港</t>
        </is>
      </c>
      <c r="D2104" s="19" t="inlineStr">
        <is>
          <t>煤炭</t>
        </is>
      </c>
      <c r="E2104" s="19" t="inlineStr">
        <is>
          <t>东南亚</t>
        </is>
      </c>
      <c r="F2104" s="19" t="inlineStr">
        <is>
          <t>03号泊位</t>
        </is>
      </c>
      <c r="G2104" s="20" t="n">
        <v>8918</v>
      </c>
      <c r="H2104" s="38" t="n">
        <v>7.28</v>
      </c>
      <c r="I2104" s="38" t="n">
        <v>0.3</v>
      </c>
      <c r="J2104" s="38" t="n">
        <v>6.76</v>
      </c>
      <c r="K2104" s="20" t="n">
        <v>0</v>
      </c>
      <c r="L2104" s="26">
        <f>IF(H2104&lt;=J2104,1,0)</f>
        <v>0</v>
      </c>
    </row>
    <row r="2105">
      <c r="A2105" s="24" t="inlineStr">
        <is>
          <t>QL-350-4</t>
        </is>
      </c>
      <c r="B2105" s="39" t="n">
        <v>46007</v>
      </c>
      <c r="C2105" s="40" t="inlineStr">
        <is>
          <t>出港</t>
        </is>
      </c>
      <c r="D2105" s="24" t="inlineStr">
        <is>
          <t>粮食</t>
        </is>
      </c>
      <c r="E2105" s="24" t="inlineStr">
        <is>
          <t>东南亚</t>
        </is>
      </c>
      <c r="F2105" s="24" t="inlineStr">
        <is>
          <t>04号泊位</t>
        </is>
      </c>
      <c r="G2105" s="25" t="n">
        <v>8127</v>
      </c>
      <c r="H2105" s="41" t="n">
        <v>8.039999999999999</v>
      </c>
      <c r="I2105" s="41" t="n">
        <v>1.61</v>
      </c>
      <c r="J2105" s="41" t="n">
        <v>7.97</v>
      </c>
      <c r="K2105" s="25" t="n">
        <v>0</v>
      </c>
      <c r="L2105" s="26">
        <f>IF(H2105&lt;=J2105,1,0)</f>
        <v>0</v>
      </c>
    </row>
    <row r="2106">
      <c r="A2106" s="19" t="inlineStr">
        <is>
          <t>QL-350-5</t>
        </is>
      </c>
      <c r="B2106" s="36" t="n">
        <v>46007</v>
      </c>
      <c r="C2106" s="37" t="inlineStr">
        <is>
          <t>出港</t>
        </is>
      </c>
      <c r="D2106" s="19" t="inlineStr">
        <is>
          <t>液体散货</t>
        </is>
      </c>
      <c r="E2106" s="19" t="inlineStr">
        <is>
          <t>北美</t>
        </is>
      </c>
      <c r="F2106" s="19" t="inlineStr">
        <is>
          <t>05号泊位</t>
        </is>
      </c>
      <c r="G2106" s="20" t="n">
        <v>8554</v>
      </c>
      <c r="H2106" s="38" t="n">
        <v>5.76</v>
      </c>
      <c r="I2106" s="38" t="n">
        <v>1.23</v>
      </c>
      <c r="J2106" s="38" t="n">
        <v>5.94</v>
      </c>
      <c r="K2106" s="20" t="n">
        <v>0</v>
      </c>
      <c r="L2106" s="26">
        <f>IF(H2106&lt;=J2106,1,0)</f>
        <v>1</v>
      </c>
    </row>
    <row r="2107">
      <c r="A2107" s="24" t="inlineStr">
        <is>
          <t>QL-350-6</t>
        </is>
      </c>
      <c r="B2107" s="39" t="n">
        <v>46007</v>
      </c>
      <c r="C2107" s="40" t="inlineStr">
        <is>
          <t>进港</t>
        </is>
      </c>
      <c r="D2107" s="24" t="inlineStr">
        <is>
          <t>件杂货</t>
        </is>
      </c>
      <c r="E2107" s="24" t="inlineStr">
        <is>
          <t>东亚</t>
        </is>
      </c>
      <c r="F2107" s="24" t="inlineStr">
        <is>
          <t>06号泊位</t>
        </is>
      </c>
      <c r="G2107" s="25" t="n">
        <v>4412</v>
      </c>
      <c r="H2107" s="41" t="n">
        <v>7.54</v>
      </c>
      <c r="I2107" s="41" t="n">
        <v>1.87</v>
      </c>
      <c r="J2107" s="41" t="n">
        <v>7.23</v>
      </c>
      <c r="K2107" s="25" t="n">
        <v>0</v>
      </c>
      <c r="L2107" s="26">
        <f>IF(H2107&lt;=J2107,1,0)</f>
        <v>0</v>
      </c>
    </row>
    <row r="2108">
      <c r="A2108" s="19" t="inlineStr">
        <is>
          <t>QL-351-1</t>
        </is>
      </c>
      <c r="B2108" s="36" t="n">
        <v>46008</v>
      </c>
      <c r="C2108" s="37" t="inlineStr">
        <is>
          <t>出港</t>
        </is>
      </c>
      <c r="D2108" s="19" t="inlineStr">
        <is>
          <t>集装箱货物</t>
        </is>
      </c>
      <c r="E2108" s="19" t="inlineStr">
        <is>
          <t>国内沿海</t>
        </is>
      </c>
      <c r="F2108" s="19" t="inlineStr">
        <is>
          <t>01号泊位</t>
        </is>
      </c>
      <c r="G2108" s="20" t="n">
        <v>7508</v>
      </c>
      <c r="H2108" s="38" t="n">
        <v>8.42</v>
      </c>
      <c r="I2108" s="38" t="n">
        <v>5.19</v>
      </c>
      <c r="J2108" s="38" t="n">
        <v>8.34</v>
      </c>
      <c r="K2108" s="20" t="n">
        <v>542</v>
      </c>
      <c r="L2108" s="26">
        <f>IF(H2108&lt;=J2108,1,0)</f>
        <v>0</v>
      </c>
    </row>
    <row r="2109">
      <c r="A2109" s="24" t="inlineStr">
        <is>
          <t>QL-351-2</t>
        </is>
      </c>
      <c r="B2109" s="39" t="n">
        <v>46008</v>
      </c>
      <c r="C2109" s="40" t="inlineStr">
        <is>
          <t>进港</t>
        </is>
      </c>
      <c r="D2109" s="24" t="inlineStr">
        <is>
          <t>金属矿石</t>
        </is>
      </c>
      <c r="E2109" s="24" t="inlineStr">
        <is>
          <t>东南亚</t>
        </is>
      </c>
      <c r="F2109" s="24" t="inlineStr">
        <is>
          <t>02号泊位</t>
        </is>
      </c>
      <c r="G2109" s="25" t="n">
        <v>26340</v>
      </c>
      <c r="H2109" s="41" t="n">
        <v>18.4</v>
      </c>
      <c r="I2109" s="41" t="n">
        <v>5.9</v>
      </c>
      <c r="J2109" s="41" t="n">
        <v>16.99</v>
      </c>
      <c r="K2109" s="25" t="n">
        <v>0</v>
      </c>
      <c r="L2109" s="26">
        <f>IF(H2109&lt;=J2109,1,0)</f>
        <v>0</v>
      </c>
    </row>
    <row r="2110">
      <c r="A2110" s="19" t="inlineStr">
        <is>
          <t>QL-351-3</t>
        </is>
      </c>
      <c r="B2110" s="36" t="n">
        <v>46008</v>
      </c>
      <c r="C2110" s="37" t="inlineStr">
        <is>
          <t>出港</t>
        </is>
      </c>
      <c r="D2110" s="19" t="inlineStr">
        <is>
          <t>煤炭</t>
        </is>
      </c>
      <c r="E2110" s="19" t="inlineStr">
        <is>
          <t>国内沿海</t>
        </is>
      </c>
      <c r="F2110" s="19" t="inlineStr">
        <is>
          <t>03号泊位</t>
        </is>
      </c>
      <c r="G2110" s="20" t="n">
        <v>8507</v>
      </c>
      <c r="H2110" s="38" t="n">
        <v>5.54</v>
      </c>
      <c r="I2110" s="38" t="n">
        <v>4.13</v>
      </c>
      <c r="J2110" s="38" t="n">
        <v>6.44</v>
      </c>
      <c r="K2110" s="20" t="n">
        <v>0</v>
      </c>
      <c r="L2110" s="26">
        <f>IF(H2110&lt;=J2110,1,0)</f>
        <v>1</v>
      </c>
    </row>
    <row r="2111">
      <c r="A2111" s="24" t="inlineStr">
        <is>
          <t>QL-351-4</t>
        </is>
      </c>
      <c r="B2111" s="39" t="n">
        <v>46008</v>
      </c>
      <c r="C2111" s="40" t="inlineStr">
        <is>
          <t>进港</t>
        </is>
      </c>
      <c r="D2111" s="24" t="inlineStr">
        <is>
          <t>粮食</t>
        </is>
      </c>
      <c r="E2111" s="24" t="inlineStr">
        <is>
          <t>国内沿海</t>
        </is>
      </c>
      <c r="F2111" s="24" t="inlineStr">
        <is>
          <t>04号泊位</t>
        </is>
      </c>
      <c r="G2111" s="25" t="n">
        <v>11019</v>
      </c>
      <c r="H2111" s="41" t="n">
        <v>10.15</v>
      </c>
      <c r="I2111" s="41" t="n">
        <v>1.89</v>
      </c>
      <c r="J2111" s="41" t="n">
        <v>10.8</v>
      </c>
      <c r="K2111" s="25" t="n">
        <v>0</v>
      </c>
      <c r="L2111" s="26">
        <f>IF(H2111&lt;=J2111,1,0)</f>
        <v>1</v>
      </c>
    </row>
    <row r="2112">
      <c r="A2112" s="19" t="inlineStr">
        <is>
          <t>QL-351-5</t>
        </is>
      </c>
      <c r="B2112" s="36" t="n">
        <v>46008</v>
      </c>
      <c r="C2112" s="37" t="inlineStr">
        <is>
          <t>进港</t>
        </is>
      </c>
      <c r="D2112" s="19" t="inlineStr">
        <is>
          <t>液体散货</t>
        </is>
      </c>
      <c r="E2112" s="19" t="inlineStr">
        <is>
          <t>欧洲</t>
        </is>
      </c>
      <c r="F2112" s="19" t="inlineStr">
        <is>
          <t>05号泊位</t>
        </is>
      </c>
      <c r="G2112" s="20" t="n">
        <v>9916</v>
      </c>
      <c r="H2112" s="38" t="n">
        <v>7.15</v>
      </c>
      <c r="I2112" s="38" t="n">
        <v>1.06</v>
      </c>
      <c r="J2112" s="38" t="n">
        <v>6.89</v>
      </c>
      <c r="K2112" s="20" t="n">
        <v>0</v>
      </c>
      <c r="L2112" s="26">
        <f>IF(H2112&lt;=J2112,1,0)</f>
        <v>0</v>
      </c>
    </row>
    <row r="2113">
      <c r="A2113" s="24" t="inlineStr">
        <is>
          <t>QL-351-6</t>
        </is>
      </c>
      <c r="B2113" s="39" t="n">
        <v>46008</v>
      </c>
      <c r="C2113" s="40" t="inlineStr">
        <is>
          <t>出港</t>
        </is>
      </c>
      <c r="D2113" s="24" t="inlineStr">
        <is>
          <t>件杂货</t>
        </is>
      </c>
      <c r="E2113" s="24" t="inlineStr">
        <is>
          <t>东南亚</t>
        </is>
      </c>
      <c r="F2113" s="24" t="inlineStr">
        <is>
          <t>06号泊位</t>
        </is>
      </c>
      <c r="G2113" s="25" t="n">
        <v>5414</v>
      </c>
      <c r="H2113" s="41" t="n">
        <v>9.25</v>
      </c>
      <c r="I2113" s="41" t="n">
        <v>2.72</v>
      </c>
      <c r="J2113" s="41" t="n">
        <v>8.880000000000001</v>
      </c>
      <c r="K2113" s="25" t="n">
        <v>0</v>
      </c>
      <c r="L2113" s="26">
        <f>IF(H2113&lt;=J2113,1,0)</f>
        <v>0</v>
      </c>
    </row>
    <row r="2114">
      <c r="A2114" s="19" t="inlineStr">
        <is>
          <t>QL-352-1</t>
        </is>
      </c>
      <c r="B2114" s="36" t="n">
        <v>46009</v>
      </c>
      <c r="C2114" s="37" t="inlineStr">
        <is>
          <t>进港</t>
        </is>
      </c>
      <c r="D2114" s="19" t="inlineStr">
        <is>
          <t>集装箱货物</t>
        </is>
      </c>
      <c r="E2114" s="19" t="inlineStr">
        <is>
          <t>北美</t>
        </is>
      </c>
      <c r="F2114" s="19" t="inlineStr">
        <is>
          <t>01号泊位</t>
        </is>
      </c>
      <c r="G2114" s="20" t="n">
        <v>5772</v>
      </c>
      <c r="H2114" s="38" t="n">
        <v>7.46</v>
      </c>
      <c r="I2114" s="38" t="n">
        <v>1.48</v>
      </c>
      <c r="J2114" s="38" t="n">
        <v>6.41</v>
      </c>
      <c r="K2114" s="20" t="n">
        <v>359</v>
      </c>
      <c r="L2114" s="26">
        <f>IF(H2114&lt;=J2114,1,0)</f>
        <v>0</v>
      </c>
    </row>
    <row r="2115">
      <c r="A2115" s="24" t="inlineStr">
        <is>
          <t>QL-352-2</t>
        </is>
      </c>
      <c r="B2115" s="39" t="n">
        <v>46009</v>
      </c>
      <c r="C2115" s="40" t="inlineStr">
        <is>
          <t>进港</t>
        </is>
      </c>
      <c r="D2115" s="24" t="inlineStr">
        <is>
          <t>金属矿石</t>
        </is>
      </c>
      <c r="E2115" s="24" t="inlineStr">
        <is>
          <t>东亚</t>
        </is>
      </c>
      <c r="F2115" s="24" t="inlineStr">
        <is>
          <t>02号泊位</t>
        </is>
      </c>
      <c r="G2115" s="25" t="n">
        <v>14355</v>
      </c>
      <c r="H2115" s="41" t="n">
        <v>10.3</v>
      </c>
      <c r="I2115" s="41" t="n">
        <v>4.64</v>
      </c>
      <c r="J2115" s="41" t="n">
        <v>9.26</v>
      </c>
      <c r="K2115" s="25" t="n">
        <v>0</v>
      </c>
      <c r="L2115" s="26">
        <f>IF(H2115&lt;=J2115,1,0)</f>
        <v>0</v>
      </c>
    </row>
    <row r="2116">
      <c r="A2116" s="19" t="inlineStr">
        <is>
          <t>QL-352-3</t>
        </is>
      </c>
      <c r="B2116" s="36" t="n">
        <v>46009</v>
      </c>
      <c r="C2116" s="37" t="inlineStr">
        <is>
          <t>进港</t>
        </is>
      </c>
      <c r="D2116" s="19" t="inlineStr">
        <is>
          <t>煤炭</t>
        </is>
      </c>
      <c r="E2116" s="19" t="inlineStr">
        <is>
          <t>东南亚</t>
        </is>
      </c>
      <c r="F2116" s="19" t="inlineStr">
        <is>
          <t>03号泊位</t>
        </is>
      </c>
      <c r="G2116" s="20" t="n">
        <v>14199</v>
      </c>
      <c r="H2116" s="38" t="n">
        <v>11.4</v>
      </c>
      <c r="I2116" s="38" t="n">
        <v>4.61</v>
      </c>
      <c r="J2116" s="38" t="n">
        <v>10.76</v>
      </c>
      <c r="K2116" s="20" t="n">
        <v>0</v>
      </c>
      <c r="L2116" s="26">
        <f>IF(H2116&lt;=J2116,1,0)</f>
        <v>0</v>
      </c>
    </row>
    <row r="2117">
      <c r="A2117" s="24" t="inlineStr">
        <is>
          <t>QL-352-4</t>
        </is>
      </c>
      <c r="B2117" s="39" t="n">
        <v>46009</v>
      </c>
      <c r="C2117" s="40" t="inlineStr">
        <is>
          <t>出港</t>
        </is>
      </c>
      <c r="D2117" s="24" t="inlineStr">
        <is>
          <t>粮食</t>
        </is>
      </c>
      <c r="E2117" s="24" t="inlineStr">
        <is>
          <t>北美</t>
        </is>
      </c>
      <c r="F2117" s="24" t="inlineStr">
        <is>
          <t>04号泊位</t>
        </is>
      </c>
      <c r="G2117" s="25" t="n">
        <v>10095</v>
      </c>
      <c r="H2117" s="41" t="n">
        <v>9.02</v>
      </c>
      <c r="I2117" s="41" t="n">
        <v>7.03</v>
      </c>
      <c r="J2117" s="41" t="n">
        <v>9.9</v>
      </c>
      <c r="K2117" s="25" t="n">
        <v>0</v>
      </c>
      <c r="L2117" s="26">
        <f>IF(H2117&lt;=J2117,1,0)</f>
        <v>1</v>
      </c>
    </row>
    <row r="2118">
      <c r="A2118" s="19" t="inlineStr">
        <is>
          <t>QL-352-5</t>
        </is>
      </c>
      <c r="B2118" s="36" t="n">
        <v>46009</v>
      </c>
      <c r="C2118" s="37" t="inlineStr">
        <is>
          <t>出港</t>
        </is>
      </c>
      <c r="D2118" s="19" t="inlineStr">
        <is>
          <t>液体散货</t>
        </is>
      </c>
      <c r="E2118" s="19" t="inlineStr">
        <is>
          <t>国内沿海</t>
        </is>
      </c>
      <c r="F2118" s="19" t="inlineStr">
        <is>
          <t>05号泊位</t>
        </is>
      </c>
      <c r="G2118" s="20" t="n">
        <v>8186</v>
      </c>
      <c r="H2118" s="38" t="n">
        <v>5.71</v>
      </c>
      <c r="I2118" s="38" t="n">
        <v>0.73</v>
      </c>
      <c r="J2118" s="38" t="n">
        <v>5.68</v>
      </c>
      <c r="K2118" s="20" t="n">
        <v>0</v>
      </c>
      <c r="L2118" s="26">
        <f>IF(H2118&lt;=J2118,1,0)</f>
        <v>0</v>
      </c>
    </row>
    <row r="2119">
      <c r="A2119" s="24" t="inlineStr">
        <is>
          <t>QL-352-6</t>
        </is>
      </c>
      <c r="B2119" s="39" t="n">
        <v>46009</v>
      </c>
      <c r="C2119" s="40" t="inlineStr">
        <is>
          <t>出港</t>
        </is>
      </c>
      <c r="D2119" s="24" t="inlineStr">
        <is>
          <t>件杂货</t>
        </is>
      </c>
      <c r="E2119" s="24" t="inlineStr">
        <is>
          <t>东亚</t>
        </is>
      </c>
      <c r="F2119" s="24" t="inlineStr">
        <is>
          <t>06号泊位</t>
        </is>
      </c>
      <c r="G2119" s="25" t="n">
        <v>4591</v>
      </c>
      <c r="H2119" s="41" t="n">
        <v>7.17</v>
      </c>
      <c r="I2119" s="41" t="n">
        <v>3.47</v>
      </c>
      <c r="J2119" s="41" t="n">
        <v>7.53</v>
      </c>
      <c r="K2119" s="25" t="n">
        <v>0</v>
      </c>
      <c r="L2119" s="26">
        <f>IF(H2119&lt;=J2119,1,0)</f>
        <v>1</v>
      </c>
    </row>
    <row r="2120">
      <c r="A2120" s="19" t="inlineStr">
        <is>
          <t>QL-353-1</t>
        </is>
      </c>
      <c r="B2120" s="36" t="n">
        <v>46010</v>
      </c>
      <c r="C2120" s="37" t="inlineStr">
        <is>
          <t>进港</t>
        </is>
      </c>
      <c r="D2120" s="19" t="inlineStr">
        <is>
          <t>集装箱货物</t>
        </is>
      </c>
      <c r="E2120" s="19" t="inlineStr">
        <is>
          <t>国内沿海</t>
        </is>
      </c>
      <c r="F2120" s="19" t="inlineStr">
        <is>
          <t>01号泊位</t>
        </is>
      </c>
      <c r="G2120" s="20" t="n">
        <v>14156</v>
      </c>
      <c r="H2120" s="38" t="n">
        <v>15.92</v>
      </c>
      <c r="I2120" s="38" t="n">
        <v>1.59</v>
      </c>
      <c r="J2120" s="38" t="n">
        <v>15.73</v>
      </c>
      <c r="K2120" s="20" t="n">
        <v>1040</v>
      </c>
      <c r="L2120" s="26">
        <f>IF(H2120&lt;=J2120,1,0)</f>
        <v>0</v>
      </c>
    </row>
    <row r="2121">
      <c r="A2121" s="24" t="inlineStr">
        <is>
          <t>QL-353-2</t>
        </is>
      </c>
      <c r="B2121" s="39" t="n">
        <v>46010</v>
      </c>
      <c r="C2121" s="40" t="inlineStr">
        <is>
          <t>进港</t>
        </is>
      </c>
      <c r="D2121" s="24" t="inlineStr">
        <is>
          <t>金属矿石</t>
        </is>
      </c>
      <c r="E2121" s="24" t="inlineStr">
        <is>
          <t>东亚</t>
        </is>
      </c>
      <c r="F2121" s="24" t="inlineStr">
        <is>
          <t>02号泊位</t>
        </is>
      </c>
      <c r="G2121" s="25" t="n">
        <v>21312</v>
      </c>
      <c r="H2121" s="41" t="n">
        <v>12.39</v>
      </c>
      <c r="I2121" s="41" t="n">
        <v>2.2</v>
      </c>
      <c r="J2121" s="41" t="n">
        <v>13.75</v>
      </c>
      <c r="K2121" s="25" t="n">
        <v>0</v>
      </c>
      <c r="L2121" s="26">
        <f>IF(H2121&lt;=J2121,1,0)</f>
        <v>1</v>
      </c>
    </row>
    <row r="2122">
      <c r="A2122" s="19" t="inlineStr">
        <is>
          <t>QL-353-3</t>
        </is>
      </c>
      <c r="B2122" s="36" t="n">
        <v>46010</v>
      </c>
      <c r="C2122" s="37" t="inlineStr">
        <is>
          <t>出港</t>
        </is>
      </c>
      <c r="D2122" s="19" t="inlineStr">
        <is>
          <t>煤炭</t>
        </is>
      </c>
      <c r="E2122" s="19" t="inlineStr">
        <is>
          <t>北美</t>
        </is>
      </c>
      <c r="F2122" s="19" t="inlineStr">
        <is>
          <t>03号泊位</t>
        </is>
      </c>
      <c r="G2122" s="20" t="n">
        <v>8757</v>
      </c>
      <c r="H2122" s="38" t="n">
        <v>5.42</v>
      </c>
      <c r="I2122" s="38" t="n">
        <v>2.32</v>
      </c>
      <c r="J2122" s="38" t="n">
        <v>6.63</v>
      </c>
      <c r="K2122" s="20" t="n">
        <v>0</v>
      </c>
      <c r="L2122" s="26">
        <f>IF(H2122&lt;=J2122,1,0)</f>
        <v>1</v>
      </c>
    </row>
    <row r="2123">
      <c r="A2123" s="24" t="inlineStr">
        <is>
          <t>QL-353-4</t>
        </is>
      </c>
      <c r="B2123" s="39" t="n">
        <v>46010</v>
      </c>
      <c r="C2123" s="40" t="inlineStr">
        <is>
          <t>出港</t>
        </is>
      </c>
      <c r="D2123" s="24" t="inlineStr">
        <is>
          <t>粮食</t>
        </is>
      </c>
      <c r="E2123" s="24" t="inlineStr">
        <is>
          <t>东南亚</t>
        </is>
      </c>
      <c r="F2123" s="24" t="inlineStr">
        <is>
          <t>04号泊位</t>
        </is>
      </c>
      <c r="G2123" s="25" t="n">
        <v>7833</v>
      </c>
      <c r="H2123" s="41" t="n">
        <v>7</v>
      </c>
      <c r="I2123" s="41" t="n">
        <v>1.56</v>
      </c>
      <c r="J2123" s="41" t="n">
        <v>7.68</v>
      </c>
      <c r="K2123" s="25" t="n">
        <v>0</v>
      </c>
      <c r="L2123" s="26">
        <f>IF(H2123&lt;=J2123,1,0)</f>
        <v>1</v>
      </c>
    </row>
    <row r="2124">
      <c r="A2124" s="19" t="inlineStr">
        <is>
          <t>QL-353-5</t>
        </is>
      </c>
      <c r="B2124" s="36" t="n">
        <v>46010</v>
      </c>
      <c r="C2124" s="37" t="inlineStr">
        <is>
          <t>出港</t>
        </is>
      </c>
      <c r="D2124" s="19" t="inlineStr">
        <is>
          <t>液体散货</t>
        </is>
      </c>
      <c r="E2124" s="19" t="inlineStr">
        <is>
          <t>国内沿海</t>
        </is>
      </c>
      <c r="F2124" s="19" t="inlineStr">
        <is>
          <t>05号泊位</t>
        </is>
      </c>
      <c r="G2124" s="20" t="n">
        <v>15967</v>
      </c>
      <c r="H2124" s="38" t="n">
        <v>9.630000000000001</v>
      </c>
      <c r="I2124" s="38" t="n">
        <v>1.19</v>
      </c>
      <c r="J2124" s="38" t="n">
        <v>11.09</v>
      </c>
      <c r="K2124" s="20" t="n">
        <v>0</v>
      </c>
      <c r="L2124" s="26">
        <f>IF(H2124&lt;=J2124,1,0)</f>
        <v>1</v>
      </c>
    </row>
    <row r="2125">
      <c r="A2125" s="24" t="inlineStr">
        <is>
          <t>QL-353-6</t>
        </is>
      </c>
      <c r="B2125" s="39" t="n">
        <v>46010</v>
      </c>
      <c r="C2125" s="40" t="inlineStr">
        <is>
          <t>出港</t>
        </is>
      </c>
      <c r="D2125" s="24" t="inlineStr">
        <is>
          <t>件杂货</t>
        </is>
      </c>
      <c r="E2125" s="24" t="inlineStr">
        <is>
          <t>北美</t>
        </is>
      </c>
      <c r="F2125" s="24" t="inlineStr">
        <is>
          <t>06号泊位</t>
        </is>
      </c>
      <c r="G2125" s="25" t="n">
        <v>3899</v>
      </c>
      <c r="H2125" s="41" t="n">
        <v>6.22</v>
      </c>
      <c r="I2125" s="41" t="n">
        <v>2.43</v>
      </c>
      <c r="J2125" s="41" t="n">
        <v>6.39</v>
      </c>
      <c r="K2125" s="25" t="n">
        <v>0</v>
      </c>
      <c r="L2125" s="26">
        <f>IF(H2125&lt;=J2125,1,0)</f>
        <v>1</v>
      </c>
    </row>
    <row r="2126">
      <c r="A2126" s="19" t="inlineStr">
        <is>
          <t>QL-354-1</t>
        </is>
      </c>
      <c r="B2126" s="36" t="n">
        <v>46011</v>
      </c>
      <c r="C2126" s="37" t="inlineStr">
        <is>
          <t>出港</t>
        </is>
      </c>
      <c r="D2126" s="19" t="inlineStr">
        <is>
          <t>集装箱货物</t>
        </is>
      </c>
      <c r="E2126" s="19" t="inlineStr">
        <is>
          <t>东亚</t>
        </is>
      </c>
      <c r="F2126" s="19" t="inlineStr">
        <is>
          <t>01号泊位</t>
        </is>
      </c>
      <c r="G2126" s="20" t="n">
        <v>10154</v>
      </c>
      <c r="H2126" s="38" t="n">
        <v>13.06</v>
      </c>
      <c r="I2126" s="38" t="n">
        <v>0.45</v>
      </c>
      <c r="J2126" s="38" t="n">
        <v>11.28</v>
      </c>
      <c r="K2126" s="20" t="n">
        <v>828</v>
      </c>
      <c r="L2126" s="26">
        <f>IF(H2126&lt;=J2126,1,0)</f>
        <v>0</v>
      </c>
    </row>
    <row r="2127">
      <c r="A2127" s="24" t="inlineStr">
        <is>
          <t>QL-354-2</t>
        </is>
      </c>
      <c r="B2127" s="39" t="n">
        <v>46011</v>
      </c>
      <c r="C2127" s="40" t="inlineStr">
        <is>
          <t>进港</t>
        </is>
      </c>
      <c r="D2127" s="24" t="inlineStr">
        <is>
          <t>金属矿石</t>
        </is>
      </c>
      <c r="E2127" s="24" t="inlineStr">
        <is>
          <t>东南亚</t>
        </is>
      </c>
      <c r="F2127" s="24" t="inlineStr">
        <is>
          <t>02号泊位</t>
        </is>
      </c>
      <c r="G2127" s="25" t="n">
        <v>23389</v>
      </c>
      <c r="H2127" s="41" t="n">
        <v>16.31</v>
      </c>
      <c r="I2127" s="41" t="n">
        <v>4.47</v>
      </c>
      <c r="J2127" s="41" t="n">
        <v>15.09</v>
      </c>
      <c r="K2127" s="25" t="n">
        <v>0</v>
      </c>
      <c r="L2127" s="26">
        <f>IF(H2127&lt;=J2127,1,0)</f>
        <v>0</v>
      </c>
    </row>
    <row r="2128">
      <c r="A2128" s="19" t="inlineStr">
        <is>
          <t>QL-354-3</t>
        </is>
      </c>
      <c r="B2128" s="36" t="n">
        <v>46011</v>
      </c>
      <c r="C2128" s="37" t="inlineStr">
        <is>
          <t>进港</t>
        </is>
      </c>
      <c r="D2128" s="19" t="inlineStr">
        <is>
          <t>煤炭</t>
        </is>
      </c>
      <c r="E2128" s="19" t="inlineStr">
        <is>
          <t>北美</t>
        </is>
      </c>
      <c r="F2128" s="19" t="inlineStr">
        <is>
          <t>03号泊位</t>
        </is>
      </c>
      <c r="G2128" s="20" t="n">
        <v>11910</v>
      </c>
      <c r="H2128" s="38" t="n">
        <v>10.32</v>
      </c>
      <c r="I2128" s="38" t="n">
        <v>0.9</v>
      </c>
      <c r="J2128" s="38" t="n">
        <v>9.02</v>
      </c>
      <c r="K2128" s="20" t="n">
        <v>0</v>
      </c>
      <c r="L2128" s="26">
        <f>IF(H2128&lt;=J2128,1,0)</f>
        <v>0</v>
      </c>
    </row>
    <row r="2129">
      <c r="A2129" s="24" t="inlineStr">
        <is>
          <t>QL-354-4</t>
        </is>
      </c>
      <c r="B2129" s="39" t="n">
        <v>46011</v>
      </c>
      <c r="C2129" s="40" t="inlineStr">
        <is>
          <t>进港</t>
        </is>
      </c>
      <c r="D2129" s="24" t="inlineStr">
        <is>
          <t>粮食</t>
        </is>
      </c>
      <c r="E2129" s="24" t="inlineStr">
        <is>
          <t>东亚</t>
        </is>
      </c>
      <c r="F2129" s="24" t="inlineStr">
        <is>
          <t>04号泊位</t>
        </is>
      </c>
      <c r="G2129" s="25" t="n">
        <v>5815</v>
      </c>
      <c r="H2129" s="41" t="n">
        <v>6.25</v>
      </c>
      <c r="I2129" s="41" t="n">
        <v>0.54</v>
      </c>
      <c r="J2129" s="41" t="n">
        <v>5.7</v>
      </c>
      <c r="K2129" s="25" t="n">
        <v>0</v>
      </c>
      <c r="L2129" s="26">
        <f>IF(H2129&lt;=J2129,1,0)</f>
        <v>0</v>
      </c>
    </row>
    <row r="2130">
      <c r="A2130" s="19" t="inlineStr">
        <is>
          <t>QL-354-5</t>
        </is>
      </c>
      <c r="B2130" s="36" t="n">
        <v>46011</v>
      </c>
      <c r="C2130" s="37" t="inlineStr">
        <is>
          <t>进港</t>
        </is>
      </c>
      <c r="D2130" s="19" t="inlineStr">
        <is>
          <t>液体散货</t>
        </is>
      </c>
      <c r="E2130" s="19" t="inlineStr">
        <is>
          <t>东南亚</t>
        </is>
      </c>
      <c r="F2130" s="19" t="inlineStr">
        <is>
          <t>05号泊位</t>
        </is>
      </c>
      <c r="G2130" s="20" t="n">
        <v>10486</v>
      </c>
      <c r="H2130" s="38" t="n">
        <v>7.43</v>
      </c>
      <c r="I2130" s="38" t="n">
        <v>4.99</v>
      </c>
      <c r="J2130" s="38" t="n">
        <v>7.28</v>
      </c>
      <c r="K2130" s="20" t="n">
        <v>0</v>
      </c>
      <c r="L2130" s="26">
        <f>IF(H2130&lt;=J2130,1,0)</f>
        <v>0</v>
      </c>
    </row>
    <row r="2131">
      <c r="A2131" s="24" t="inlineStr">
        <is>
          <t>QL-354-6</t>
        </is>
      </c>
      <c r="B2131" s="39" t="n">
        <v>46011</v>
      </c>
      <c r="C2131" s="40" t="inlineStr">
        <is>
          <t>出港</t>
        </is>
      </c>
      <c r="D2131" s="24" t="inlineStr">
        <is>
          <t>件杂货</t>
        </is>
      </c>
      <c r="E2131" s="24" t="inlineStr">
        <is>
          <t>国内沿海</t>
        </is>
      </c>
      <c r="F2131" s="24" t="inlineStr">
        <is>
          <t>06号泊位</t>
        </is>
      </c>
      <c r="G2131" s="25" t="n">
        <v>4079</v>
      </c>
      <c r="H2131" s="41" t="n">
        <v>6.69</v>
      </c>
      <c r="I2131" s="41" t="n">
        <v>2.49</v>
      </c>
      <c r="J2131" s="41" t="n">
        <v>6.69</v>
      </c>
      <c r="K2131" s="25" t="n">
        <v>0</v>
      </c>
      <c r="L2131" s="26">
        <f>IF(H2131&lt;=J2131,1,0)</f>
        <v>1</v>
      </c>
    </row>
    <row r="2132">
      <c r="A2132" s="19" t="inlineStr">
        <is>
          <t>QL-355-1</t>
        </is>
      </c>
      <c r="B2132" s="36" t="n">
        <v>46012</v>
      </c>
      <c r="C2132" s="37" t="inlineStr">
        <is>
          <t>出港</t>
        </is>
      </c>
      <c r="D2132" s="19" t="inlineStr">
        <is>
          <t>集装箱货物</t>
        </is>
      </c>
      <c r="E2132" s="19" t="inlineStr">
        <is>
          <t>东亚</t>
        </is>
      </c>
      <c r="F2132" s="19" t="inlineStr">
        <is>
          <t>01号泊位</t>
        </is>
      </c>
      <c r="G2132" s="20" t="n">
        <v>7716</v>
      </c>
      <c r="H2132" s="38" t="n">
        <v>10.14</v>
      </c>
      <c r="I2132" s="38" t="n">
        <v>0.71</v>
      </c>
      <c r="J2132" s="38" t="n">
        <v>8.57</v>
      </c>
      <c r="K2132" s="20" t="n">
        <v>598</v>
      </c>
      <c r="L2132" s="26">
        <f>IF(H2132&lt;=J2132,1,0)</f>
        <v>0</v>
      </c>
    </row>
    <row r="2133">
      <c r="A2133" s="24" t="inlineStr">
        <is>
          <t>QL-355-2</t>
        </is>
      </c>
      <c r="B2133" s="39" t="n">
        <v>46012</v>
      </c>
      <c r="C2133" s="40" t="inlineStr">
        <is>
          <t>进港</t>
        </is>
      </c>
      <c r="D2133" s="24" t="inlineStr">
        <is>
          <t>金属矿石</t>
        </is>
      </c>
      <c r="E2133" s="24" t="inlineStr">
        <is>
          <t>国内沿海</t>
        </is>
      </c>
      <c r="F2133" s="24" t="inlineStr">
        <is>
          <t>02号泊位</t>
        </is>
      </c>
      <c r="G2133" s="25" t="n">
        <v>29402</v>
      </c>
      <c r="H2133" s="41" t="n">
        <v>17.11</v>
      </c>
      <c r="I2133" s="41" t="n">
        <v>1.89</v>
      </c>
      <c r="J2133" s="41" t="n">
        <v>18.97</v>
      </c>
      <c r="K2133" s="25" t="n">
        <v>0</v>
      </c>
      <c r="L2133" s="26">
        <f>IF(H2133&lt;=J2133,1,0)</f>
        <v>1</v>
      </c>
    </row>
    <row r="2134">
      <c r="A2134" s="19" t="inlineStr">
        <is>
          <t>QL-355-3</t>
        </is>
      </c>
      <c r="B2134" s="36" t="n">
        <v>46012</v>
      </c>
      <c r="C2134" s="37" t="inlineStr">
        <is>
          <t>进港</t>
        </is>
      </c>
      <c r="D2134" s="19" t="inlineStr">
        <is>
          <t>煤炭</t>
        </is>
      </c>
      <c r="E2134" s="19" t="inlineStr">
        <is>
          <t>东南亚</t>
        </is>
      </c>
      <c r="F2134" s="19" t="inlineStr">
        <is>
          <t>03号泊位</t>
        </is>
      </c>
      <c r="G2134" s="20" t="n">
        <v>14121</v>
      </c>
      <c r="H2134" s="38" t="n">
        <v>9.17</v>
      </c>
      <c r="I2134" s="38" t="n">
        <v>1.89</v>
      </c>
      <c r="J2134" s="38" t="n">
        <v>10.7</v>
      </c>
      <c r="K2134" s="20" t="n">
        <v>0</v>
      </c>
      <c r="L2134" s="26">
        <f>IF(H2134&lt;=J2134,1,0)</f>
        <v>1</v>
      </c>
    </row>
    <row r="2135">
      <c r="A2135" s="24" t="inlineStr">
        <is>
          <t>QL-355-4</t>
        </is>
      </c>
      <c r="B2135" s="39" t="n">
        <v>46012</v>
      </c>
      <c r="C2135" s="40" t="inlineStr">
        <is>
          <t>进港</t>
        </is>
      </c>
      <c r="D2135" s="24" t="inlineStr">
        <is>
          <t>粮食</t>
        </is>
      </c>
      <c r="E2135" s="24" t="inlineStr">
        <is>
          <t>东亚</t>
        </is>
      </c>
      <c r="F2135" s="24" t="inlineStr">
        <is>
          <t>04号泊位</t>
        </is>
      </c>
      <c r="G2135" s="25" t="n">
        <v>9062</v>
      </c>
      <c r="H2135" s="41" t="n">
        <v>9.02</v>
      </c>
      <c r="I2135" s="41" t="n">
        <v>4.13</v>
      </c>
      <c r="J2135" s="41" t="n">
        <v>8.880000000000001</v>
      </c>
      <c r="K2135" s="25" t="n">
        <v>0</v>
      </c>
      <c r="L2135" s="26">
        <f>IF(H2135&lt;=J2135,1,0)</f>
        <v>0</v>
      </c>
    </row>
    <row r="2136">
      <c r="A2136" s="19" t="inlineStr">
        <is>
          <t>QL-355-5</t>
        </is>
      </c>
      <c r="B2136" s="36" t="n">
        <v>46012</v>
      </c>
      <c r="C2136" s="37" t="inlineStr">
        <is>
          <t>进港</t>
        </is>
      </c>
      <c r="D2136" s="19" t="inlineStr">
        <is>
          <t>液体散货</t>
        </is>
      </c>
      <c r="E2136" s="19" t="inlineStr">
        <is>
          <t>东南亚</t>
        </is>
      </c>
      <c r="F2136" s="19" t="inlineStr">
        <is>
          <t>05号泊位</t>
        </is>
      </c>
      <c r="G2136" s="20" t="n">
        <v>10716</v>
      </c>
      <c r="H2136" s="38" t="n">
        <v>6.13</v>
      </c>
      <c r="I2136" s="38" t="n">
        <v>1.15</v>
      </c>
      <c r="J2136" s="38" t="n">
        <v>7.44</v>
      </c>
      <c r="K2136" s="20" t="n">
        <v>0</v>
      </c>
      <c r="L2136" s="26">
        <f>IF(H2136&lt;=J2136,1,0)</f>
        <v>1</v>
      </c>
    </row>
    <row r="2137">
      <c r="A2137" s="24" t="inlineStr">
        <is>
          <t>QL-355-6</t>
        </is>
      </c>
      <c r="B2137" s="39" t="n">
        <v>46012</v>
      </c>
      <c r="C2137" s="40" t="inlineStr">
        <is>
          <t>出港</t>
        </is>
      </c>
      <c r="D2137" s="24" t="inlineStr">
        <is>
          <t>件杂货</t>
        </is>
      </c>
      <c r="E2137" s="24" t="inlineStr">
        <is>
          <t>北美</t>
        </is>
      </c>
      <c r="F2137" s="24" t="inlineStr">
        <is>
          <t>06号泊位</t>
        </is>
      </c>
      <c r="G2137" s="25" t="n">
        <v>6052</v>
      </c>
      <c r="H2137" s="41" t="n">
        <v>10.77</v>
      </c>
      <c r="I2137" s="41" t="n">
        <v>0.95</v>
      </c>
      <c r="J2137" s="41" t="n">
        <v>9.92</v>
      </c>
      <c r="K2137" s="25" t="n">
        <v>0</v>
      </c>
      <c r="L2137" s="26">
        <f>IF(H2137&lt;=J2137,1,0)</f>
        <v>0</v>
      </c>
    </row>
    <row r="2138">
      <c r="A2138" s="19" t="inlineStr">
        <is>
          <t>QL-356-1</t>
        </is>
      </c>
      <c r="B2138" s="36" t="n">
        <v>46013</v>
      </c>
      <c r="C2138" s="37" t="inlineStr">
        <is>
          <t>进港</t>
        </is>
      </c>
      <c r="D2138" s="19" t="inlineStr">
        <is>
          <t>集装箱货物</t>
        </is>
      </c>
      <c r="E2138" s="19" t="inlineStr">
        <is>
          <t>东南亚</t>
        </is>
      </c>
      <c r="F2138" s="19" t="inlineStr">
        <is>
          <t>01号泊位</t>
        </is>
      </c>
      <c r="G2138" s="20" t="n">
        <v>10382</v>
      </c>
      <c r="H2138" s="38" t="n">
        <v>10.83</v>
      </c>
      <c r="I2138" s="38" t="n">
        <v>9.779999999999999</v>
      </c>
      <c r="J2138" s="38" t="n">
        <v>11.54</v>
      </c>
      <c r="K2138" s="20" t="n">
        <v>661</v>
      </c>
      <c r="L2138" s="26">
        <f>IF(H2138&lt;=J2138,1,0)</f>
        <v>1</v>
      </c>
    </row>
    <row r="2139">
      <c r="A2139" s="24" t="inlineStr">
        <is>
          <t>QL-356-2</t>
        </is>
      </c>
      <c r="B2139" s="39" t="n">
        <v>46013</v>
      </c>
      <c r="C2139" s="40" t="inlineStr">
        <is>
          <t>进港</t>
        </is>
      </c>
      <c r="D2139" s="24" t="inlineStr">
        <is>
          <t>金属矿石</t>
        </is>
      </c>
      <c r="E2139" s="24" t="inlineStr">
        <is>
          <t>东亚</t>
        </is>
      </c>
      <c r="F2139" s="24" t="inlineStr">
        <is>
          <t>02号泊位</t>
        </is>
      </c>
      <c r="G2139" s="25" t="n">
        <v>20258</v>
      </c>
      <c r="H2139" s="41" t="n">
        <v>13.67</v>
      </c>
      <c r="I2139" s="41" t="n">
        <v>1.13</v>
      </c>
      <c r="J2139" s="41" t="n">
        <v>13.07</v>
      </c>
      <c r="K2139" s="25" t="n">
        <v>0</v>
      </c>
      <c r="L2139" s="26">
        <f>IF(H2139&lt;=J2139,1,0)</f>
        <v>0</v>
      </c>
    </row>
    <row r="2140">
      <c r="A2140" s="19" t="inlineStr">
        <is>
          <t>QL-356-3</t>
        </is>
      </c>
      <c r="B2140" s="36" t="n">
        <v>46013</v>
      </c>
      <c r="C2140" s="37" t="inlineStr">
        <is>
          <t>进港</t>
        </is>
      </c>
      <c r="D2140" s="19" t="inlineStr">
        <is>
          <t>煤炭</t>
        </is>
      </c>
      <c r="E2140" s="19" t="inlineStr">
        <is>
          <t>东亚</t>
        </is>
      </c>
      <c r="F2140" s="19" t="inlineStr">
        <is>
          <t>03号泊位</t>
        </is>
      </c>
      <c r="G2140" s="20" t="n">
        <v>8435</v>
      </c>
      <c r="H2140" s="38" t="n">
        <v>5.51</v>
      </c>
      <c r="I2140" s="38" t="n">
        <v>3.39</v>
      </c>
      <c r="J2140" s="38" t="n">
        <v>6.39</v>
      </c>
      <c r="K2140" s="20" t="n">
        <v>0</v>
      </c>
      <c r="L2140" s="26">
        <f>IF(H2140&lt;=J2140,1,0)</f>
        <v>1</v>
      </c>
    </row>
    <row r="2141">
      <c r="A2141" s="24" t="inlineStr">
        <is>
          <t>QL-356-4</t>
        </is>
      </c>
      <c r="B2141" s="39" t="n">
        <v>46013</v>
      </c>
      <c r="C2141" s="40" t="inlineStr">
        <is>
          <t>进港</t>
        </is>
      </c>
      <c r="D2141" s="24" t="inlineStr">
        <is>
          <t>粮食</t>
        </is>
      </c>
      <c r="E2141" s="24" t="inlineStr">
        <is>
          <t>东亚</t>
        </is>
      </c>
      <c r="F2141" s="24" t="inlineStr">
        <is>
          <t>04号泊位</t>
        </is>
      </c>
      <c r="G2141" s="25" t="n">
        <v>10959</v>
      </c>
      <c r="H2141" s="41" t="n">
        <v>10.64</v>
      </c>
      <c r="I2141" s="41" t="n">
        <v>0.82</v>
      </c>
      <c r="J2141" s="41" t="n">
        <v>10.74</v>
      </c>
      <c r="K2141" s="25" t="n">
        <v>0</v>
      </c>
      <c r="L2141" s="26">
        <f>IF(H2141&lt;=J2141,1,0)</f>
        <v>1</v>
      </c>
    </row>
    <row r="2142">
      <c r="A2142" s="19" t="inlineStr">
        <is>
          <t>QL-356-5</t>
        </is>
      </c>
      <c r="B2142" s="36" t="n">
        <v>46013</v>
      </c>
      <c r="C2142" s="37" t="inlineStr">
        <is>
          <t>出港</t>
        </is>
      </c>
      <c r="D2142" s="19" t="inlineStr">
        <is>
          <t>液体散货</t>
        </is>
      </c>
      <c r="E2142" s="19" t="inlineStr">
        <is>
          <t>东亚</t>
        </is>
      </c>
      <c r="F2142" s="19" t="inlineStr">
        <is>
          <t>05号泊位</t>
        </is>
      </c>
      <c r="G2142" s="20" t="n">
        <v>12514</v>
      </c>
      <c r="H2142" s="38" t="n">
        <v>8.17</v>
      </c>
      <c r="I2142" s="38" t="n">
        <v>1.04</v>
      </c>
      <c r="J2142" s="38" t="n">
        <v>8.69</v>
      </c>
      <c r="K2142" s="20" t="n">
        <v>0</v>
      </c>
      <c r="L2142" s="26">
        <f>IF(H2142&lt;=J2142,1,0)</f>
        <v>1</v>
      </c>
    </row>
    <row r="2143">
      <c r="A2143" s="24" t="inlineStr">
        <is>
          <t>QL-356-6</t>
        </is>
      </c>
      <c r="B2143" s="39" t="n">
        <v>46013</v>
      </c>
      <c r="C2143" s="40" t="inlineStr">
        <is>
          <t>出港</t>
        </is>
      </c>
      <c r="D2143" s="24" t="inlineStr">
        <is>
          <t>件杂货</t>
        </is>
      </c>
      <c r="E2143" s="24" t="inlineStr">
        <is>
          <t>欧洲</t>
        </is>
      </c>
      <c r="F2143" s="24" t="inlineStr">
        <is>
          <t>06号泊位</t>
        </is>
      </c>
      <c r="G2143" s="25" t="n">
        <v>5592</v>
      </c>
      <c r="H2143" s="41" t="n">
        <v>10.66</v>
      </c>
      <c r="I2143" s="41" t="n">
        <v>1.25</v>
      </c>
      <c r="J2143" s="41" t="n">
        <v>9.17</v>
      </c>
      <c r="K2143" s="25" t="n">
        <v>0</v>
      </c>
      <c r="L2143" s="26">
        <f>IF(H2143&lt;=J2143,1,0)</f>
        <v>0</v>
      </c>
    </row>
    <row r="2144">
      <c r="A2144" s="19" t="inlineStr">
        <is>
          <t>QL-357-1</t>
        </is>
      </c>
      <c r="B2144" s="36" t="n">
        <v>46014</v>
      </c>
      <c r="C2144" s="37" t="inlineStr">
        <is>
          <t>出港</t>
        </is>
      </c>
      <c r="D2144" s="19" t="inlineStr">
        <is>
          <t>集装箱货物</t>
        </is>
      </c>
      <c r="E2144" s="19" t="inlineStr">
        <is>
          <t>东南亚</t>
        </is>
      </c>
      <c r="F2144" s="19" t="inlineStr">
        <is>
          <t>01号泊位</t>
        </is>
      </c>
      <c r="G2144" s="20" t="n">
        <v>10429</v>
      </c>
      <c r="H2144" s="38" t="n">
        <v>10.7</v>
      </c>
      <c r="I2144" s="38" t="n">
        <v>1.02</v>
      </c>
      <c r="J2144" s="38" t="n">
        <v>11.59</v>
      </c>
      <c r="K2144" s="20" t="n">
        <v>663</v>
      </c>
      <c r="L2144" s="26">
        <f>IF(H2144&lt;=J2144,1,0)</f>
        <v>1</v>
      </c>
    </row>
    <row r="2145">
      <c r="A2145" s="24" t="inlineStr">
        <is>
          <t>QL-357-2</t>
        </is>
      </c>
      <c r="B2145" s="39" t="n">
        <v>46014</v>
      </c>
      <c r="C2145" s="40" t="inlineStr">
        <is>
          <t>进港</t>
        </is>
      </c>
      <c r="D2145" s="24" t="inlineStr">
        <is>
          <t>金属矿石</t>
        </is>
      </c>
      <c r="E2145" s="24" t="inlineStr">
        <is>
          <t>欧洲</t>
        </is>
      </c>
      <c r="F2145" s="24" t="inlineStr">
        <is>
          <t>02号泊位</t>
        </is>
      </c>
      <c r="G2145" s="25" t="n">
        <v>21582</v>
      </c>
      <c r="H2145" s="41" t="n">
        <v>14.76</v>
      </c>
      <c r="I2145" s="41" t="n">
        <v>2.42</v>
      </c>
      <c r="J2145" s="41" t="n">
        <v>13.92</v>
      </c>
      <c r="K2145" s="25" t="n">
        <v>0</v>
      </c>
      <c r="L2145" s="26">
        <f>IF(H2145&lt;=J2145,1,0)</f>
        <v>0</v>
      </c>
    </row>
    <row r="2146">
      <c r="A2146" s="19" t="inlineStr">
        <is>
          <t>QL-357-3</t>
        </is>
      </c>
      <c r="B2146" s="36" t="n">
        <v>46014</v>
      </c>
      <c r="C2146" s="37" t="inlineStr">
        <is>
          <t>出港</t>
        </is>
      </c>
      <c r="D2146" s="19" t="inlineStr">
        <is>
          <t>煤炭</t>
        </is>
      </c>
      <c r="E2146" s="19" t="inlineStr">
        <is>
          <t>东亚</t>
        </is>
      </c>
      <c r="F2146" s="19" t="inlineStr">
        <is>
          <t>03号泊位</t>
        </is>
      </c>
      <c r="G2146" s="20" t="n">
        <v>18313</v>
      </c>
      <c r="H2146" s="38" t="n">
        <v>15.6</v>
      </c>
      <c r="I2146" s="38" t="n">
        <v>5.92</v>
      </c>
      <c r="J2146" s="38" t="n">
        <v>13.87</v>
      </c>
      <c r="K2146" s="20" t="n">
        <v>0</v>
      </c>
      <c r="L2146" s="26">
        <f>IF(H2146&lt;=J2146,1,0)</f>
        <v>0</v>
      </c>
    </row>
    <row r="2147">
      <c r="A2147" s="24" t="inlineStr">
        <is>
          <t>QL-357-4</t>
        </is>
      </c>
      <c r="B2147" s="39" t="n">
        <v>46014</v>
      </c>
      <c r="C2147" s="40" t="inlineStr">
        <is>
          <t>进港</t>
        </is>
      </c>
      <c r="D2147" s="24" t="inlineStr">
        <is>
          <t>粮食</t>
        </is>
      </c>
      <c r="E2147" s="24" t="inlineStr">
        <is>
          <t>北美</t>
        </is>
      </c>
      <c r="F2147" s="24" t="inlineStr">
        <is>
          <t>04号泊位</t>
        </is>
      </c>
      <c r="G2147" s="25" t="n">
        <v>6369</v>
      </c>
      <c r="H2147" s="41" t="n">
        <v>7.22</v>
      </c>
      <c r="I2147" s="41" t="n">
        <v>1.24</v>
      </c>
      <c r="J2147" s="41" t="n">
        <v>6.24</v>
      </c>
      <c r="K2147" s="25" t="n">
        <v>0</v>
      </c>
      <c r="L2147" s="26">
        <f>IF(H2147&lt;=J2147,1,0)</f>
        <v>0</v>
      </c>
    </row>
    <row r="2148">
      <c r="A2148" s="19" t="inlineStr">
        <is>
          <t>QL-357-5</t>
        </is>
      </c>
      <c r="B2148" s="36" t="n">
        <v>46014</v>
      </c>
      <c r="C2148" s="37" t="inlineStr">
        <is>
          <t>出港</t>
        </is>
      </c>
      <c r="D2148" s="19" t="inlineStr">
        <is>
          <t>液体散货</t>
        </is>
      </c>
      <c r="E2148" s="19" t="inlineStr">
        <is>
          <t>国内沿海</t>
        </is>
      </c>
      <c r="F2148" s="19" t="inlineStr">
        <is>
          <t>05号泊位</t>
        </is>
      </c>
      <c r="G2148" s="20" t="n">
        <v>9746</v>
      </c>
      <c r="H2148" s="38" t="n">
        <v>5.6</v>
      </c>
      <c r="I2148" s="38" t="n">
        <v>5.84</v>
      </c>
      <c r="J2148" s="38" t="n">
        <v>6.77</v>
      </c>
      <c r="K2148" s="20" t="n">
        <v>0</v>
      </c>
      <c r="L2148" s="26">
        <f>IF(H2148&lt;=J2148,1,0)</f>
        <v>1</v>
      </c>
    </row>
    <row r="2149">
      <c r="A2149" s="24" t="inlineStr">
        <is>
          <t>QL-357-6</t>
        </is>
      </c>
      <c r="B2149" s="39" t="n">
        <v>46014</v>
      </c>
      <c r="C2149" s="40" t="inlineStr">
        <is>
          <t>出港</t>
        </is>
      </c>
      <c r="D2149" s="24" t="inlineStr">
        <is>
          <t>件杂货</t>
        </is>
      </c>
      <c r="E2149" s="24" t="inlineStr">
        <is>
          <t>东南亚</t>
        </is>
      </c>
      <c r="F2149" s="24" t="inlineStr">
        <is>
          <t>06号泊位</t>
        </is>
      </c>
      <c r="G2149" s="25" t="n">
        <v>5513</v>
      </c>
      <c r="H2149" s="41" t="n">
        <v>10.36</v>
      </c>
      <c r="I2149" s="41" t="n">
        <v>1.32</v>
      </c>
      <c r="J2149" s="41" t="n">
        <v>9.039999999999999</v>
      </c>
      <c r="K2149" s="25" t="n">
        <v>0</v>
      </c>
      <c r="L2149" s="26">
        <f>IF(H2149&lt;=J2149,1,0)</f>
        <v>0</v>
      </c>
    </row>
    <row r="2150">
      <c r="A2150" s="19" t="inlineStr">
        <is>
          <t>QL-358-1</t>
        </is>
      </c>
      <c r="B2150" s="36" t="n">
        <v>46015</v>
      </c>
      <c r="C2150" s="37" t="inlineStr">
        <is>
          <t>出港</t>
        </is>
      </c>
      <c r="D2150" s="19" t="inlineStr">
        <is>
          <t>集装箱货物</t>
        </is>
      </c>
      <c r="E2150" s="19" t="inlineStr">
        <is>
          <t>北美</t>
        </is>
      </c>
      <c r="F2150" s="19" t="inlineStr">
        <is>
          <t>01号泊位</t>
        </is>
      </c>
      <c r="G2150" s="20" t="n">
        <v>9593</v>
      </c>
      <c r="H2150" s="38" t="n">
        <v>12.16</v>
      </c>
      <c r="I2150" s="38" t="n">
        <v>1.49</v>
      </c>
      <c r="J2150" s="38" t="n">
        <v>10.66</v>
      </c>
      <c r="K2150" s="20" t="n">
        <v>579</v>
      </c>
      <c r="L2150" s="26">
        <f>IF(H2150&lt;=J2150,1,0)</f>
        <v>0</v>
      </c>
    </row>
    <row r="2151">
      <c r="A2151" s="24" t="inlineStr">
        <is>
          <t>QL-358-2</t>
        </is>
      </c>
      <c r="B2151" s="39" t="n">
        <v>46015</v>
      </c>
      <c r="C2151" s="40" t="inlineStr">
        <is>
          <t>进港</t>
        </is>
      </c>
      <c r="D2151" s="24" t="inlineStr">
        <is>
          <t>金属矿石</t>
        </is>
      </c>
      <c r="E2151" s="24" t="inlineStr">
        <is>
          <t>国内沿海</t>
        </is>
      </c>
      <c r="F2151" s="24" t="inlineStr">
        <is>
          <t>02号泊位</t>
        </is>
      </c>
      <c r="G2151" s="25" t="n">
        <v>15944</v>
      </c>
      <c r="H2151" s="41" t="n">
        <v>10.2</v>
      </c>
      <c r="I2151" s="41" t="n">
        <v>2.31</v>
      </c>
      <c r="J2151" s="41" t="n">
        <v>10.29</v>
      </c>
      <c r="K2151" s="25" t="n">
        <v>0</v>
      </c>
      <c r="L2151" s="26">
        <f>IF(H2151&lt;=J2151,1,0)</f>
        <v>1</v>
      </c>
    </row>
    <row r="2152">
      <c r="A2152" s="19" t="inlineStr">
        <is>
          <t>QL-358-3</t>
        </is>
      </c>
      <c r="B2152" s="36" t="n">
        <v>46015</v>
      </c>
      <c r="C2152" s="37" t="inlineStr">
        <is>
          <t>出港</t>
        </is>
      </c>
      <c r="D2152" s="19" t="inlineStr">
        <is>
          <t>煤炭</t>
        </is>
      </c>
      <c r="E2152" s="19" t="inlineStr">
        <is>
          <t>北美</t>
        </is>
      </c>
      <c r="F2152" s="19" t="inlineStr">
        <is>
          <t>03号泊位</t>
        </is>
      </c>
      <c r="G2152" s="20" t="n">
        <v>15284</v>
      </c>
      <c r="H2152" s="38" t="n">
        <v>10.42</v>
      </c>
      <c r="I2152" s="38" t="n">
        <v>2.82</v>
      </c>
      <c r="J2152" s="38" t="n">
        <v>11.58</v>
      </c>
      <c r="K2152" s="20" t="n">
        <v>0</v>
      </c>
      <c r="L2152" s="26">
        <f>IF(H2152&lt;=J2152,1,0)</f>
        <v>1</v>
      </c>
    </row>
    <row r="2153">
      <c r="A2153" s="24" t="inlineStr">
        <is>
          <t>QL-358-4</t>
        </is>
      </c>
      <c r="B2153" s="39" t="n">
        <v>46015</v>
      </c>
      <c r="C2153" s="40" t="inlineStr">
        <is>
          <t>进港</t>
        </is>
      </c>
      <c r="D2153" s="24" t="inlineStr">
        <is>
          <t>粮食</t>
        </is>
      </c>
      <c r="E2153" s="24" t="inlineStr">
        <is>
          <t>欧洲</t>
        </is>
      </c>
      <c r="F2153" s="24" t="inlineStr">
        <is>
          <t>04号泊位</t>
        </is>
      </c>
      <c r="G2153" s="25" t="n">
        <v>10087</v>
      </c>
      <c r="H2153" s="41" t="n">
        <v>10.47</v>
      </c>
      <c r="I2153" s="41" t="n">
        <v>1.95</v>
      </c>
      <c r="J2153" s="41" t="n">
        <v>9.890000000000001</v>
      </c>
      <c r="K2153" s="25" t="n">
        <v>0</v>
      </c>
      <c r="L2153" s="26">
        <f>IF(H2153&lt;=J2153,1,0)</f>
        <v>0</v>
      </c>
    </row>
    <row r="2154">
      <c r="A2154" s="19" t="inlineStr">
        <is>
          <t>QL-358-5</t>
        </is>
      </c>
      <c r="B2154" s="36" t="n">
        <v>46015</v>
      </c>
      <c r="C2154" s="37" t="inlineStr">
        <is>
          <t>出港</t>
        </is>
      </c>
      <c r="D2154" s="19" t="inlineStr">
        <is>
          <t>液体散货</t>
        </is>
      </c>
      <c r="E2154" s="19" t="inlineStr">
        <is>
          <t>东亚</t>
        </is>
      </c>
      <c r="F2154" s="19" t="inlineStr">
        <is>
          <t>05号泊位</t>
        </is>
      </c>
      <c r="G2154" s="20" t="n">
        <v>11373</v>
      </c>
      <c r="H2154" s="38" t="n">
        <v>8.23</v>
      </c>
      <c r="I2154" s="38" t="n">
        <v>1.41</v>
      </c>
      <c r="J2154" s="38" t="n">
        <v>7.9</v>
      </c>
      <c r="K2154" s="20" t="n">
        <v>0</v>
      </c>
      <c r="L2154" s="26">
        <f>IF(H2154&lt;=J2154,1,0)</f>
        <v>0</v>
      </c>
    </row>
    <row r="2155">
      <c r="A2155" s="24" t="inlineStr">
        <is>
          <t>QL-358-6</t>
        </is>
      </c>
      <c r="B2155" s="39" t="n">
        <v>46015</v>
      </c>
      <c r="C2155" s="40" t="inlineStr">
        <is>
          <t>出港</t>
        </is>
      </c>
      <c r="D2155" s="24" t="inlineStr">
        <is>
          <t>件杂货</t>
        </is>
      </c>
      <c r="E2155" s="24" t="inlineStr">
        <is>
          <t>国内沿海</t>
        </is>
      </c>
      <c r="F2155" s="24" t="inlineStr">
        <is>
          <t>06号泊位</t>
        </is>
      </c>
      <c r="G2155" s="25" t="n">
        <v>5887</v>
      </c>
      <c r="H2155" s="41" t="n">
        <v>10.31</v>
      </c>
      <c r="I2155" s="41" t="n">
        <v>1.74</v>
      </c>
      <c r="J2155" s="41" t="n">
        <v>9.65</v>
      </c>
      <c r="K2155" s="25" t="n">
        <v>0</v>
      </c>
      <c r="L2155" s="26">
        <f>IF(H2155&lt;=J2155,1,0)</f>
        <v>0</v>
      </c>
    </row>
    <row r="2156">
      <c r="A2156" s="19" t="inlineStr">
        <is>
          <t>QL-359-1</t>
        </is>
      </c>
      <c r="B2156" s="36" t="n">
        <v>46016</v>
      </c>
      <c r="C2156" s="37" t="inlineStr">
        <is>
          <t>出港</t>
        </is>
      </c>
      <c r="D2156" s="19" t="inlineStr">
        <is>
          <t>集装箱货物</t>
        </is>
      </c>
      <c r="E2156" s="19" t="inlineStr">
        <is>
          <t>北美</t>
        </is>
      </c>
      <c r="F2156" s="19" t="inlineStr">
        <is>
          <t>01号泊位</t>
        </is>
      </c>
      <c r="G2156" s="20" t="n">
        <v>8499</v>
      </c>
      <c r="H2156" s="38" t="n">
        <v>11.12</v>
      </c>
      <c r="I2156" s="38" t="n">
        <v>2.68</v>
      </c>
      <c r="J2156" s="38" t="n">
        <v>9.44</v>
      </c>
      <c r="K2156" s="20" t="n">
        <v>637</v>
      </c>
      <c r="L2156" s="26">
        <f>IF(H2156&lt;=J2156,1,0)</f>
        <v>0</v>
      </c>
    </row>
    <row r="2157">
      <c r="A2157" s="24" t="inlineStr">
        <is>
          <t>QL-359-2</t>
        </is>
      </c>
      <c r="B2157" s="39" t="n">
        <v>46016</v>
      </c>
      <c r="C2157" s="40" t="inlineStr">
        <is>
          <t>进港</t>
        </is>
      </c>
      <c r="D2157" s="24" t="inlineStr">
        <is>
          <t>金属矿石</t>
        </is>
      </c>
      <c r="E2157" s="24" t="inlineStr">
        <is>
          <t>北美</t>
        </is>
      </c>
      <c r="F2157" s="24" t="inlineStr">
        <is>
          <t>02号泊位</t>
        </is>
      </c>
      <c r="G2157" s="25" t="n">
        <v>17976</v>
      </c>
      <c r="H2157" s="41" t="n">
        <v>11.03</v>
      </c>
      <c r="I2157" s="41" t="n">
        <v>5.09</v>
      </c>
      <c r="J2157" s="41" t="n">
        <v>11.6</v>
      </c>
      <c r="K2157" s="25" t="n">
        <v>0</v>
      </c>
      <c r="L2157" s="26">
        <f>IF(H2157&lt;=J2157,1,0)</f>
        <v>1</v>
      </c>
    </row>
    <row r="2158">
      <c r="A2158" s="19" t="inlineStr">
        <is>
          <t>QL-359-3</t>
        </is>
      </c>
      <c r="B2158" s="36" t="n">
        <v>46016</v>
      </c>
      <c r="C2158" s="37" t="inlineStr">
        <is>
          <t>进港</t>
        </is>
      </c>
      <c r="D2158" s="19" t="inlineStr">
        <is>
          <t>煤炭</t>
        </is>
      </c>
      <c r="E2158" s="19" t="inlineStr">
        <is>
          <t>国内沿海</t>
        </is>
      </c>
      <c r="F2158" s="19" t="inlineStr">
        <is>
          <t>03号泊位</t>
        </is>
      </c>
      <c r="G2158" s="20" t="n">
        <v>14081</v>
      </c>
      <c r="H2158" s="38" t="n">
        <v>8.93</v>
      </c>
      <c r="I2158" s="38" t="n">
        <v>4.86</v>
      </c>
      <c r="J2158" s="38" t="n">
        <v>10.67</v>
      </c>
      <c r="K2158" s="20" t="n">
        <v>0</v>
      </c>
      <c r="L2158" s="26">
        <f>IF(H2158&lt;=J2158,1,0)</f>
        <v>1</v>
      </c>
    </row>
    <row r="2159">
      <c r="A2159" s="24" t="inlineStr">
        <is>
          <t>QL-359-4</t>
        </is>
      </c>
      <c r="B2159" s="39" t="n">
        <v>46016</v>
      </c>
      <c r="C2159" s="40" t="inlineStr">
        <is>
          <t>进港</t>
        </is>
      </c>
      <c r="D2159" s="24" t="inlineStr">
        <is>
          <t>粮食</t>
        </is>
      </c>
      <c r="E2159" s="24" t="inlineStr">
        <is>
          <t>国内沿海</t>
        </is>
      </c>
      <c r="F2159" s="24" t="inlineStr">
        <is>
          <t>04号泊位</t>
        </is>
      </c>
      <c r="G2159" s="25" t="n">
        <v>9310</v>
      </c>
      <c r="H2159" s="41" t="n">
        <v>10.48</v>
      </c>
      <c r="I2159" s="41" t="n">
        <v>0.82</v>
      </c>
      <c r="J2159" s="41" t="n">
        <v>9.130000000000001</v>
      </c>
      <c r="K2159" s="25" t="n">
        <v>0</v>
      </c>
      <c r="L2159" s="26">
        <f>IF(H2159&lt;=J2159,1,0)</f>
        <v>0</v>
      </c>
    </row>
    <row r="2160">
      <c r="A2160" s="19" t="inlineStr">
        <is>
          <t>QL-359-5</t>
        </is>
      </c>
      <c r="B2160" s="36" t="n">
        <v>46016</v>
      </c>
      <c r="C2160" s="37" t="inlineStr">
        <is>
          <t>进港</t>
        </is>
      </c>
      <c r="D2160" s="19" t="inlineStr">
        <is>
          <t>液体散货</t>
        </is>
      </c>
      <c r="E2160" s="19" t="inlineStr">
        <is>
          <t>北美</t>
        </is>
      </c>
      <c r="F2160" s="19" t="inlineStr">
        <is>
          <t>05号泊位</t>
        </is>
      </c>
      <c r="G2160" s="20" t="n">
        <v>11761</v>
      </c>
      <c r="H2160" s="38" t="n">
        <v>7.13</v>
      </c>
      <c r="I2160" s="38" t="n">
        <v>1.33</v>
      </c>
      <c r="J2160" s="38" t="n">
        <v>8.17</v>
      </c>
      <c r="K2160" s="20" t="n">
        <v>0</v>
      </c>
      <c r="L2160" s="26">
        <f>IF(H2160&lt;=J2160,1,0)</f>
        <v>1</v>
      </c>
    </row>
    <row r="2161">
      <c r="A2161" s="24" t="inlineStr">
        <is>
          <t>QL-359-6</t>
        </is>
      </c>
      <c r="B2161" s="39" t="n">
        <v>46016</v>
      </c>
      <c r="C2161" s="40" t="inlineStr">
        <is>
          <t>出港</t>
        </is>
      </c>
      <c r="D2161" s="24" t="inlineStr">
        <is>
          <t>件杂货</t>
        </is>
      </c>
      <c r="E2161" s="24" t="inlineStr">
        <is>
          <t>国内沿海</t>
        </is>
      </c>
      <c r="F2161" s="24" t="inlineStr">
        <is>
          <t>06号泊位</t>
        </is>
      </c>
      <c r="G2161" s="25" t="n">
        <v>4925</v>
      </c>
      <c r="H2161" s="41" t="n">
        <v>7.66</v>
      </c>
      <c r="I2161" s="41" t="n">
        <v>4.53</v>
      </c>
      <c r="J2161" s="41" t="n">
        <v>8.07</v>
      </c>
      <c r="K2161" s="25" t="n">
        <v>0</v>
      </c>
      <c r="L2161" s="26">
        <f>IF(H2161&lt;=J2161,1,0)</f>
        <v>1</v>
      </c>
    </row>
    <row r="2162">
      <c r="A2162" s="19" t="inlineStr">
        <is>
          <t>QL-360-1</t>
        </is>
      </c>
      <c r="B2162" s="36" t="n">
        <v>46017</v>
      </c>
      <c r="C2162" s="37" t="inlineStr">
        <is>
          <t>出港</t>
        </is>
      </c>
      <c r="D2162" s="19" t="inlineStr">
        <is>
          <t>集装箱货物</t>
        </is>
      </c>
      <c r="E2162" s="19" t="inlineStr">
        <is>
          <t>北美</t>
        </is>
      </c>
      <c r="F2162" s="19" t="inlineStr">
        <is>
          <t>01号泊位</t>
        </is>
      </c>
      <c r="G2162" s="20" t="n">
        <v>9110</v>
      </c>
      <c r="H2162" s="38" t="n">
        <v>11.45</v>
      </c>
      <c r="I2162" s="38" t="n">
        <v>0.63</v>
      </c>
      <c r="J2162" s="38" t="n">
        <v>10.12</v>
      </c>
      <c r="K2162" s="20" t="n">
        <v>565</v>
      </c>
      <c r="L2162" s="26">
        <f>IF(H2162&lt;=J2162,1,0)</f>
        <v>0</v>
      </c>
    </row>
    <row r="2163">
      <c r="A2163" s="24" t="inlineStr">
        <is>
          <t>QL-360-2</t>
        </is>
      </c>
      <c r="B2163" s="39" t="n">
        <v>46017</v>
      </c>
      <c r="C2163" s="40" t="inlineStr">
        <is>
          <t>进港</t>
        </is>
      </c>
      <c r="D2163" s="24" t="inlineStr">
        <is>
          <t>金属矿石</t>
        </is>
      </c>
      <c r="E2163" s="24" t="inlineStr">
        <is>
          <t>欧洲</t>
        </is>
      </c>
      <c r="F2163" s="24" t="inlineStr">
        <is>
          <t>02号泊位</t>
        </is>
      </c>
      <c r="G2163" s="25" t="n">
        <v>16081</v>
      </c>
      <c r="H2163" s="41" t="n">
        <v>9.19</v>
      </c>
      <c r="I2163" s="41" t="n">
        <v>2.21</v>
      </c>
      <c r="J2163" s="41" t="n">
        <v>10.37</v>
      </c>
      <c r="K2163" s="25" t="n">
        <v>0</v>
      </c>
      <c r="L2163" s="26">
        <f>IF(H2163&lt;=J2163,1,0)</f>
        <v>1</v>
      </c>
    </row>
    <row r="2164">
      <c r="A2164" s="19" t="inlineStr">
        <is>
          <t>QL-360-3</t>
        </is>
      </c>
      <c r="B2164" s="36" t="n">
        <v>46017</v>
      </c>
      <c r="C2164" s="37" t="inlineStr">
        <is>
          <t>进港</t>
        </is>
      </c>
      <c r="D2164" s="19" t="inlineStr">
        <is>
          <t>煤炭</t>
        </is>
      </c>
      <c r="E2164" s="19" t="inlineStr">
        <is>
          <t>东亚</t>
        </is>
      </c>
      <c r="F2164" s="19" t="inlineStr">
        <is>
          <t>03号泊位</t>
        </is>
      </c>
      <c r="G2164" s="20" t="n">
        <v>14737</v>
      </c>
      <c r="H2164" s="38" t="n">
        <v>12</v>
      </c>
      <c r="I2164" s="38" t="n">
        <v>2.33</v>
      </c>
      <c r="J2164" s="38" t="n">
        <v>11.16</v>
      </c>
      <c r="K2164" s="20" t="n">
        <v>0</v>
      </c>
      <c r="L2164" s="26">
        <f>IF(H2164&lt;=J2164,1,0)</f>
        <v>0</v>
      </c>
    </row>
    <row r="2165">
      <c r="A2165" s="24" t="inlineStr">
        <is>
          <t>QL-360-4</t>
        </is>
      </c>
      <c r="B2165" s="39" t="n">
        <v>46017</v>
      </c>
      <c r="C2165" s="40" t="inlineStr">
        <is>
          <t>进港</t>
        </is>
      </c>
      <c r="D2165" s="24" t="inlineStr">
        <is>
          <t>粮食</t>
        </is>
      </c>
      <c r="E2165" s="24" t="inlineStr">
        <is>
          <t>东亚</t>
        </is>
      </c>
      <c r="F2165" s="24" t="inlineStr">
        <is>
          <t>04号泊位</t>
        </is>
      </c>
      <c r="G2165" s="25" t="n">
        <v>8375</v>
      </c>
      <c r="H2165" s="41" t="n">
        <v>8.6</v>
      </c>
      <c r="I2165" s="41" t="n">
        <v>1.18</v>
      </c>
      <c r="J2165" s="41" t="n">
        <v>8.210000000000001</v>
      </c>
      <c r="K2165" s="25" t="n">
        <v>0</v>
      </c>
      <c r="L2165" s="26">
        <f>IF(H2165&lt;=J2165,1,0)</f>
        <v>0</v>
      </c>
    </row>
    <row r="2166">
      <c r="A2166" s="19" t="inlineStr">
        <is>
          <t>QL-360-5</t>
        </is>
      </c>
      <c r="B2166" s="36" t="n">
        <v>46017</v>
      </c>
      <c r="C2166" s="37" t="inlineStr">
        <is>
          <t>出港</t>
        </is>
      </c>
      <c r="D2166" s="19" t="inlineStr">
        <is>
          <t>液体散货</t>
        </is>
      </c>
      <c r="E2166" s="19" t="inlineStr">
        <is>
          <t>欧洲</t>
        </is>
      </c>
      <c r="F2166" s="19" t="inlineStr">
        <is>
          <t>05号泊位</t>
        </is>
      </c>
      <c r="G2166" s="20" t="n">
        <v>11406</v>
      </c>
      <c r="H2166" s="38" t="n">
        <v>8.609999999999999</v>
      </c>
      <c r="I2166" s="38" t="n">
        <v>1.66</v>
      </c>
      <c r="J2166" s="38" t="n">
        <v>7.92</v>
      </c>
      <c r="K2166" s="20" t="n">
        <v>0</v>
      </c>
      <c r="L2166" s="26">
        <f>IF(H2166&lt;=J2166,1,0)</f>
        <v>0</v>
      </c>
    </row>
    <row r="2167">
      <c r="A2167" s="24" t="inlineStr">
        <is>
          <t>QL-360-6</t>
        </is>
      </c>
      <c r="B2167" s="39" t="n">
        <v>46017</v>
      </c>
      <c r="C2167" s="40" t="inlineStr">
        <is>
          <t>进港</t>
        </is>
      </c>
      <c r="D2167" s="24" t="inlineStr">
        <is>
          <t>件杂货</t>
        </is>
      </c>
      <c r="E2167" s="24" t="inlineStr">
        <is>
          <t>东亚</t>
        </is>
      </c>
      <c r="F2167" s="24" t="inlineStr">
        <is>
          <t>06号泊位</t>
        </is>
      </c>
      <c r="G2167" s="25" t="n">
        <v>4327</v>
      </c>
      <c r="H2167" s="41" t="n">
        <v>6.99</v>
      </c>
      <c r="I2167" s="41" t="n">
        <v>0.64</v>
      </c>
      <c r="J2167" s="41" t="n">
        <v>7.09</v>
      </c>
      <c r="K2167" s="25" t="n">
        <v>0</v>
      </c>
      <c r="L2167" s="26">
        <f>IF(H2167&lt;=J2167,1,0)</f>
        <v>1</v>
      </c>
    </row>
    <row r="2168">
      <c r="A2168" s="19" t="inlineStr">
        <is>
          <t>QL-361-1</t>
        </is>
      </c>
      <c r="B2168" s="36" t="n">
        <v>46018</v>
      </c>
      <c r="C2168" s="37" t="inlineStr">
        <is>
          <t>出港</t>
        </is>
      </c>
      <c r="D2168" s="19" t="inlineStr">
        <is>
          <t>集装箱货物</t>
        </is>
      </c>
      <c r="E2168" s="19" t="inlineStr">
        <is>
          <t>东亚</t>
        </is>
      </c>
      <c r="F2168" s="19" t="inlineStr">
        <is>
          <t>01号泊位</t>
        </is>
      </c>
      <c r="G2168" s="20" t="n">
        <v>4014</v>
      </c>
      <c r="H2168" s="38" t="n">
        <v>4.21</v>
      </c>
      <c r="I2168" s="38" t="n">
        <v>6.87</v>
      </c>
      <c r="J2168" s="38" t="n">
        <v>4.46</v>
      </c>
      <c r="K2168" s="20" t="n">
        <v>296</v>
      </c>
      <c r="L2168" s="26">
        <f>IF(H2168&lt;=J2168,1,0)</f>
        <v>1</v>
      </c>
    </row>
    <row r="2169">
      <c r="A2169" s="24" t="inlineStr">
        <is>
          <t>QL-361-2</t>
        </is>
      </c>
      <c r="B2169" s="39" t="n">
        <v>46018</v>
      </c>
      <c r="C2169" s="40" t="inlineStr">
        <is>
          <t>进港</t>
        </is>
      </c>
      <c r="D2169" s="24" t="inlineStr">
        <is>
          <t>金属矿石</t>
        </is>
      </c>
      <c r="E2169" s="24" t="inlineStr">
        <is>
          <t>东亚</t>
        </is>
      </c>
      <c r="F2169" s="24" t="inlineStr">
        <is>
          <t>02号泊位</t>
        </is>
      </c>
      <c r="G2169" s="25" t="n">
        <v>18343</v>
      </c>
      <c r="H2169" s="41" t="n">
        <v>10.38</v>
      </c>
      <c r="I2169" s="41" t="n">
        <v>0.98</v>
      </c>
      <c r="J2169" s="41" t="n">
        <v>11.83</v>
      </c>
      <c r="K2169" s="25" t="n">
        <v>0</v>
      </c>
      <c r="L2169" s="26">
        <f>IF(H2169&lt;=J2169,1,0)</f>
        <v>1</v>
      </c>
    </row>
    <row r="2170">
      <c r="A2170" s="19" t="inlineStr">
        <is>
          <t>QL-361-3</t>
        </is>
      </c>
      <c r="B2170" s="36" t="n">
        <v>46018</v>
      </c>
      <c r="C2170" s="37" t="inlineStr">
        <is>
          <t>进港</t>
        </is>
      </c>
      <c r="D2170" s="19" t="inlineStr">
        <is>
          <t>煤炭</t>
        </is>
      </c>
      <c r="E2170" s="19" t="inlineStr">
        <is>
          <t>东南亚</t>
        </is>
      </c>
      <c r="F2170" s="19" t="inlineStr">
        <is>
          <t>03号泊位</t>
        </is>
      </c>
      <c r="G2170" s="20" t="n">
        <v>13309</v>
      </c>
      <c r="H2170" s="38" t="n">
        <v>10.26</v>
      </c>
      <c r="I2170" s="38" t="n">
        <v>7.08</v>
      </c>
      <c r="J2170" s="38" t="n">
        <v>10.08</v>
      </c>
      <c r="K2170" s="20" t="n">
        <v>0</v>
      </c>
      <c r="L2170" s="26">
        <f>IF(H2170&lt;=J2170,1,0)</f>
        <v>0</v>
      </c>
    </row>
    <row r="2171">
      <c r="A2171" s="24" t="inlineStr">
        <is>
          <t>QL-361-4</t>
        </is>
      </c>
      <c r="B2171" s="39" t="n">
        <v>46018</v>
      </c>
      <c r="C2171" s="40" t="inlineStr">
        <is>
          <t>进港</t>
        </is>
      </c>
      <c r="D2171" s="24" t="inlineStr">
        <is>
          <t>粮食</t>
        </is>
      </c>
      <c r="E2171" s="24" t="inlineStr">
        <is>
          <t>国内沿海</t>
        </is>
      </c>
      <c r="F2171" s="24" t="inlineStr">
        <is>
          <t>04号泊位</t>
        </is>
      </c>
      <c r="G2171" s="25" t="n">
        <v>9236</v>
      </c>
      <c r="H2171" s="41" t="n">
        <v>10.37</v>
      </c>
      <c r="I2171" s="41" t="n">
        <v>1.37</v>
      </c>
      <c r="J2171" s="41" t="n">
        <v>9.050000000000001</v>
      </c>
      <c r="K2171" s="25" t="n">
        <v>0</v>
      </c>
      <c r="L2171" s="26">
        <f>IF(H2171&lt;=J2171,1,0)</f>
        <v>0</v>
      </c>
    </row>
    <row r="2172">
      <c r="A2172" s="19" t="inlineStr">
        <is>
          <t>QL-361-5</t>
        </is>
      </c>
      <c r="B2172" s="36" t="n">
        <v>46018</v>
      </c>
      <c r="C2172" s="37" t="inlineStr">
        <is>
          <t>进港</t>
        </is>
      </c>
      <c r="D2172" s="19" t="inlineStr">
        <is>
          <t>液体散货</t>
        </is>
      </c>
      <c r="E2172" s="19" t="inlineStr">
        <is>
          <t>北美</t>
        </is>
      </c>
      <c r="F2172" s="19" t="inlineStr">
        <is>
          <t>05号泊位</t>
        </is>
      </c>
      <c r="G2172" s="20" t="n">
        <v>6527</v>
      </c>
      <c r="H2172" s="38" t="n">
        <v>3.84</v>
      </c>
      <c r="I2172" s="38" t="n">
        <v>3.58</v>
      </c>
      <c r="J2172" s="38" t="n">
        <v>4.53</v>
      </c>
      <c r="K2172" s="20" t="n">
        <v>0</v>
      </c>
      <c r="L2172" s="26">
        <f>IF(H2172&lt;=J2172,1,0)</f>
        <v>1</v>
      </c>
    </row>
    <row r="2173">
      <c r="A2173" s="24" t="inlineStr">
        <is>
          <t>QL-361-6</t>
        </is>
      </c>
      <c r="B2173" s="39" t="n">
        <v>46018</v>
      </c>
      <c r="C2173" s="40" t="inlineStr">
        <is>
          <t>出港</t>
        </is>
      </c>
      <c r="D2173" s="24" t="inlineStr">
        <is>
          <t>件杂货</t>
        </is>
      </c>
      <c r="E2173" s="24" t="inlineStr">
        <is>
          <t>东亚</t>
        </is>
      </c>
      <c r="F2173" s="24" t="inlineStr">
        <is>
          <t>06号泊位</t>
        </is>
      </c>
      <c r="G2173" s="25" t="n">
        <v>4263</v>
      </c>
      <c r="H2173" s="41" t="n">
        <v>6.6</v>
      </c>
      <c r="I2173" s="41" t="n">
        <v>3.21</v>
      </c>
      <c r="J2173" s="41" t="n">
        <v>6.99</v>
      </c>
      <c r="K2173" s="25" t="n">
        <v>0</v>
      </c>
      <c r="L2173" s="26">
        <f>IF(H2173&lt;=J2173,1,0)</f>
        <v>1</v>
      </c>
    </row>
    <row r="2174">
      <c r="A2174" s="19" t="inlineStr">
        <is>
          <t>QL-362-1</t>
        </is>
      </c>
      <c r="B2174" s="36" t="n">
        <v>46019</v>
      </c>
      <c r="C2174" s="37" t="inlineStr">
        <is>
          <t>出港</t>
        </is>
      </c>
      <c r="D2174" s="19" t="inlineStr">
        <is>
          <t>集装箱货物</t>
        </is>
      </c>
      <c r="E2174" s="19" t="inlineStr">
        <is>
          <t>国内沿海</t>
        </is>
      </c>
      <c r="F2174" s="19" t="inlineStr">
        <is>
          <t>01号泊位</t>
        </is>
      </c>
      <c r="G2174" s="20" t="n">
        <v>9044</v>
      </c>
      <c r="H2174" s="38" t="n">
        <v>9.1</v>
      </c>
      <c r="I2174" s="38" t="n">
        <v>1.37</v>
      </c>
      <c r="J2174" s="38" t="n">
        <v>10.05</v>
      </c>
      <c r="K2174" s="20" t="n">
        <v>699</v>
      </c>
      <c r="L2174" s="26">
        <f>IF(H2174&lt;=J2174,1,0)</f>
        <v>1</v>
      </c>
    </row>
    <row r="2175">
      <c r="A2175" s="24" t="inlineStr">
        <is>
          <t>QL-362-2</t>
        </is>
      </c>
      <c r="B2175" s="39" t="n">
        <v>46019</v>
      </c>
      <c r="C2175" s="40" t="inlineStr">
        <is>
          <t>进港</t>
        </is>
      </c>
      <c r="D2175" s="24" t="inlineStr">
        <is>
          <t>金属矿石</t>
        </is>
      </c>
      <c r="E2175" s="24" t="inlineStr">
        <is>
          <t>国内沿海</t>
        </is>
      </c>
      <c r="F2175" s="24" t="inlineStr">
        <is>
          <t>02号泊位</t>
        </is>
      </c>
      <c r="G2175" s="25" t="n">
        <v>12246</v>
      </c>
      <c r="H2175" s="41" t="n">
        <v>6.65</v>
      </c>
      <c r="I2175" s="41" t="n">
        <v>3.48</v>
      </c>
      <c r="J2175" s="41" t="n">
        <v>7.9</v>
      </c>
      <c r="K2175" s="25" t="n">
        <v>0</v>
      </c>
      <c r="L2175" s="26">
        <f>IF(H2175&lt;=J2175,1,0)</f>
        <v>1</v>
      </c>
    </row>
    <row r="2176">
      <c r="A2176" s="19" t="inlineStr">
        <is>
          <t>QL-362-3</t>
        </is>
      </c>
      <c r="B2176" s="36" t="n">
        <v>46019</v>
      </c>
      <c r="C2176" s="37" t="inlineStr">
        <is>
          <t>进港</t>
        </is>
      </c>
      <c r="D2176" s="19" t="inlineStr">
        <is>
          <t>煤炭</t>
        </is>
      </c>
      <c r="E2176" s="19" t="inlineStr">
        <is>
          <t>国内沿海</t>
        </is>
      </c>
      <c r="F2176" s="19" t="inlineStr">
        <is>
          <t>03号泊位</t>
        </is>
      </c>
      <c r="G2176" s="20" t="n">
        <v>6692</v>
      </c>
      <c r="H2176" s="38" t="n">
        <v>5.21</v>
      </c>
      <c r="I2176" s="38" t="n">
        <v>5.9</v>
      </c>
      <c r="J2176" s="38" t="n">
        <v>5.07</v>
      </c>
      <c r="K2176" s="20" t="n">
        <v>0</v>
      </c>
      <c r="L2176" s="26">
        <f>IF(H2176&lt;=J2176,1,0)</f>
        <v>0</v>
      </c>
    </row>
    <row r="2177">
      <c r="A2177" s="24" t="inlineStr">
        <is>
          <t>QL-362-4</t>
        </is>
      </c>
      <c r="B2177" s="39" t="n">
        <v>46019</v>
      </c>
      <c r="C2177" s="40" t="inlineStr">
        <is>
          <t>进港</t>
        </is>
      </c>
      <c r="D2177" s="24" t="inlineStr">
        <is>
          <t>粮食</t>
        </is>
      </c>
      <c r="E2177" s="24" t="inlineStr">
        <is>
          <t>东南亚</t>
        </is>
      </c>
      <c r="F2177" s="24" t="inlineStr">
        <is>
          <t>04号泊位</t>
        </is>
      </c>
      <c r="G2177" s="25" t="n">
        <v>4549</v>
      </c>
      <c r="H2177" s="41" t="n">
        <v>4.8</v>
      </c>
      <c r="I2177" s="41" t="n">
        <v>0.97</v>
      </c>
      <c r="J2177" s="41" t="n">
        <v>4.46</v>
      </c>
      <c r="K2177" s="25" t="n">
        <v>0</v>
      </c>
      <c r="L2177" s="26">
        <f>IF(H2177&lt;=J2177,1,0)</f>
        <v>0</v>
      </c>
    </row>
    <row r="2178">
      <c r="A2178" s="19" t="inlineStr">
        <is>
          <t>QL-362-5</t>
        </is>
      </c>
      <c r="B2178" s="36" t="n">
        <v>46019</v>
      </c>
      <c r="C2178" s="37" t="inlineStr">
        <is>
          <t>进港</t>
        </is>
      </c>
      <c r="D2178" s="19" t="inlineStr">
        <is>
          <t>液体散货</t>
        </is>
      </c>
      <c r="E2178" s="19" t="inlineStr">
        <is>
          <t>东亚</t>
        </is>
      </c>
      <c r="F2178" s="19" t="inlineStr">
        <is>
          <t>05号泊位</t>
        </is>
      </c>
      <c r="G2178" s="20" t="n">
        <v>13824</v>
      </c>
      <c r="H2178" s="38" t="n">
        <v>9.59</v>
      </c>
      <c r="I2178" s="38" t="n">
        <v>3.15</v>
      </c>
      <c r="J2178" s="38" t="n">
        <v>9.6</v>
      </c>
      <c r="K2178" s="20" t="n">
        <v>0</v>
      </c>
      <c r="L2178" s="26">
        <f>IF(H2178&lt;=J2178,1,0)</f>
        <v>1</v>
      </c>
    </row>
    <row r="2179">
      <c r="A2179" s="24" t="inlineStr">
        <is>
          <t>QL-362-6</t>
        </is>
      </c>
      <c r="B2179" s="39" t="n">
        <v>46019</v>
      </c>
      <c r="C2179" s="40" t="inlineStr">
        <is>
          <t>进港</t>
        </is>
      </c>
      <c r="D2179" s="24" t="inlineStr">
        <is>
          <t>件杂货</t>
        </is>
      </c>
      <c r="E2179" s="24" t="inlineStr">
        <is>
          <t>东亚</t>
        </is>
      </c>
      <c r="F2179" s="24" t="inlineStr">
        <is>
          <t>06号泊位</t>
        </is>
      </c>
      <c r="G2179" s="25" t="n">
        <v>6376</v>
      </c>
      <c r="H2179" s="41" t="n">
        <v>12.28</v>
      </c>
      <c r="I2179" s="41" t="n">
        <v>1.79</v>
      </c>
      <c r="J2179" s="41" t="n">
        <v>10.45</v>
      </c>
      <c r="K2179" s="25" t="n">
        <v>0</v>
      </c>
      <c r="L2179" s="26">
        <f>IF(H2179&lt;=J2179,1,0)</f>
        <v>0</v>
      </c>
    </row>
    <row r="2180">
      <c r="A2180" s="19" t="inlineStr">
        <is>
          <t>QL-363-1</t>
        </is>
      </c>
      <c r="B2180" s="36" t="n">
        <v>46020</v>
      </c>
      <c r="C2180" s="37" t="inlineStr">
        <is>
          <t>出港</t>
        </is>
      </c>
      <c r="D2180" s="19" t="inlineStr">
        <is>
          <t>集装箱货物</t>
        </is>
      </c>
      <c r="E2180" s="19" t="inlineStr">
        <is>
          <t>东亚</t>
        </is>
      </c>
      <c r="F2180" s="19" t="inlineStr">
        <is>
          <t>01号泊位</t>
        </is>
      </c>
      <c r="G2180" s="20" t="n">
        <v>9583</v>
      </c>
      <c r="H2180" s="38" t="n">
        <v>10.95</v>
      </c>
      <c r="I2180" s="38" t="n">
        <v>3.55</v>
      </c>
      <c r="J2180" s="38" t="n">
        <v>10.65</v>
      </c>
      <c r="K2180" s="20" t="n">
        <v>774</v>
      </c>
      <c r="L2180" s="26">
        <f>IF(H2180&lt;=J2180,1,0)</f>
        <v>0</v>
      </c>
    </row>
    <row r="2181">
      <c r="A2181" s="24" t="inlineStr">
        <is>
          <t>QL-363-2</t>
        </is>
      </c>
      <c r="B2181" s="39" t="n">
        <v>46020</v>
      </c>
      <c r="C2181" s="40" t="inlineStr">
        <is>
          <t>进港</t>
        </is>
      </c>
      <c r="D2181" s="24" t="inlineStr">
        <is>
          <t>金属矿石</t>
        </is>
      </c>
      <c r="E2181" s="24" t="inlineStr">
        <is>
          <t>国内沿海</t>
        </is>
      </c>
      <c r="F2181" s="24" t="inlineStr">
        <is>
          <t>02号泊位</t>
        </is>
      </c>
      <c r="G2181" s="25" t="n">
        <v>13307</v>
      </c>
      <c r="H2181" s="41" t="n">
        <v>8.640000000000001</v>
      </c>
      <c r="I2181" s="41" t="n">
        <v>1.35</v>
      </c>
      <c r="J2181" s="41" t="n">
        <v>8.59</v>
      </c>
      <c r="K2181" s="25" t="n">
        <v>0</v>
      </c>
      <c r="L2181" s="26">
        <f>IF(H2181&lt;=J2181,1,0)</f>
        <v>0</v>
      </c>
    </row>
    <row r="2182">
      <c r="A2182" s="19" t="inlineStr">
        <is>
          <t>QL-363-3</t>
        </is>
      </c>
      <c r="B2182" s="36" t="n">
        <v>46020</v>
      </c>
      <c r="C2182" s="37" t="inlineStr">
        <is>
          <t>进港</t>
        </is>
      </c>
      <c r="D2182" s="19" t="inlineStr">
        <is>
          <t>煤炭</t>
        </is>
      </c>
      <c r="E2182" s="19" t="inlineStr">
        <is>
          <t>东亚</t>
        </is>
      </c>
      <c r="F2182" s="19" t="inlineStr">
        <is>
          <t>03号泊位</t>
        </is>
      </c>
      <c r="G2182" s="20" t="n">
        <v>12305</v>
      </c>
      <c r="H2182" s="38" t="n">
        <v>9.56</v>
      </c>
      <c r="I2182" s="38" t="n">
        <v>2.61</v>
      </c>
      <c r="J2182" s="38" t="n">
        <v>9.32</v>
      </c>
      <c r="K2182" s="20" t="n">
        <v>0</v>
      </c>
      <c r="L2182" s="26">
        <f>IF(H2182&lt;=J2182,1,0)</f>
        <v>0</v>
      </c>
    </row>
    <row r="2183">
      <c r="A2183" s="24" t="inlineStr">
        <is>
          <t>QL-363-4</t>
        </is>
      </c>
      <c r="B2183" s="39" t="n">
        <v>46020</v>
      </c>
      <c r="C2183" s="40" t="inlineStr">
        <is>
          <t>进港</t>
        </is>
      </c>
      <c r="D2183" s="24" t="inlineStr">
        <is>
          <t>粮食</t>
        </is>
      </c>
      <c r="E2183" s="24" t="inlineStr">
        <is>
          <t>北美</t>
        </is>
      </c>
      <c r="F2183" s="24" t="inlineStr">
        <is>
          <t>04号泊位</t>
        </is>
      </c>
      <c r="G2183" s="25" t="n">
        <v>8048</v>
      </c>
      <c r="H2183" s="41" t="n">
        <v>6.39</v>
      </c>
      <c r="I2183" s="41" t="n">
        <v>5.54</v>
      </c>
      <c r="J2183" s="41" t="n">
        <v>7.89</v>
      </c>
      <c r="K2183" s="25" t="n">
        <v>0</v>
      </c>
      <c r="L2183" s="26">
        <f>IF(H2183&lt;=J2183,1,0)</f>
        <v>1</v>
      </c>
    </row>
    <row r="2184">
      <c r="A2184" s="19" t="inlineStr">
        <is>
          <t>QL-363-5</t>
        </is>
      </c>
      <c r="B2184" s="36" t="n">
        <v>46020</v>
      </c>
      <c r="C2184" s="37" t="inlineStr">
        <is>
          <t>出港</t>
        </is>
      </c>
      <c r="D2184" s="19" t="inlineStr">
        <is>
          <t>液体散货</t>
        </is>
      </c>
      <c r="E2184" s="19" t="inlineStr">
        <is>
          <t>东南亚</t>
        </is>
      </c>
      <c r="F2184" s="19" t="inlineStr">
        <is>
          <t>05号泊位</t>
        </is>
      </c>
      <c r="G2184" s="20" t="n">
        <v>6498</v>
      </c>
      <c r="H2184" s="38" t="n">
        <v>4.72</v>
      </c>
      <c r="I2184" s="38" t="n">
        <v>3.66</v>
      </c>
      <c r="J2184" s="38" t="n">
        <v>4.51</v>
      </c>
      <c r="K2184" s="20" t="n">
        <v>0</v>
      </c>
      <c r="L2184" s="26">
        <f>IF(H2184&lt;=J2184,1,0)</f>
        <v>0</v>
      </c>
    </row>
    <row r="2185">
      <c r="A2185" s="24" t="inlineStr">
        <is>
          <t>QL-363-6</t>
        </is>
      </c>
      <c r="B2185" s="39" t="n">
        <v>46020</v>
      </c>
      <c r="C2185" s="40" t="inlineStr">
        <is>
          <t>进港</t>
        </is>
      </c>
      <c r="D2185" s="24" t="inlineStr">
        <is>
          <t>件杂货</t>
        </is>
      </c>
      <c r="E2185" s="24" t="inlineStr">
        <is>
          <t>欧洲</t>
        </is>
      </c>
      <c r="F2185" s="24" t="inlineStr">
        <is>
          <t>06号泊位</t>
        </is>
      </c>
      <c r="G2185" s="25" t="n">
        <v>4706</v>
      </c>
      <c r="H2185" s="41" t="n">
        <v>8.83</v>
      </c>
      <c r="I2185" s="41" t="n">
        <v>4.63</v>
      </c>
      <c r="J2185" s="41" t="n">
        <v>7.71</v>
      </c>
      <c r="K2185" s="25" t="n">
        <v>0</v>
      </c>
      <c r="L2185" s="26">
        <f>IF(H2185&lt;=J2185,1,0)</f>
        <v>0</v>
      </c>
    </row>
    <row r="2186">
      <c r="A2186" s="19" t="inlineStr">
        <is>
          <t>QL-364-1</t>
        </is>
      </c>
      <c r="B2186" s="36" t="n">
        <v>46021</v>
      </c>
      <c r="C2186" s="37" t="inlineStr">
        <is>
          <t>出港</t>
        </is>
      </c>
      <c r="D2186" s="19" t="inlineStr">
        <is>
          <t>集装箱货物</t>
        </is>
      </c>
      <c r="E2186" s="19" t="inlineStr">
        <is>
          <t>东南亚</t>
        </is>
      </c>
      <c r="F2186" s="19" t="inlineStr">
        <is>
          <t>01号泊位</t>
        </is>
      </c>
      <c r="G2186" s="20" t="n">
        <v>10086</v>
      </c>
      <c r="H2186" s="38" t="n">
        <v>12.9</v>
      </c>
      <c r="I2186" s="38" t="n">
        <v>3.9</v>
      </c>
      <c r="J2186" s="38" t="n">
        <v>11.21</v>
      </c>
      <c r="K2186" s="20" t="n">
        <v>607</v>
      </c>
      <c r="L2186" s="26">
        <f>IF(H2186&lt;=J2186,1,0)</f>
        <v>0</v>
      </c>
    </row>
    <row r="2187">
      <c r="A2187" s="24" t="inlineStr">
        <is>
          <t>QL-364-2</t>
        </is>
      </c>
      <c r="B2187" s="39" t="n">
        <v>46021</v>
      </c>
      <c r="C2187" s="40" t="inlineStr">
        <is>
          <t>进港</t>
        </is>
      </c>
      <c r="D2187" s="24" t="inlineStr">
        <is>
          <t>金属矿石</t>
        </is>
      </c>
      <c r="E2187" s="24" t="inlineStr">
        <is>
          <t>欧洲</t>
        </is>
      </c>
      <c r="F2187" s="24" t="inlineStr">
        <is>
          <t>02号泊位</t>
        </is>
      </c>
      <c r="G2187" s="25" t="n">
        <v>17105</v>
      </c>
      <c r="H2187" s="41" t="n">
        <v>9.140000000000001</v>
      </c>
      <c r="I2187" s="41" t="n">
        <v>1.25</v>
      </c>
      <c r="J2187" s="41" t="n">
        <v>11.04</v>
      </c>
      <c r="K2187" s="25" t="n">
        <v>0</v>
      </c>
      <c r="L2187" s="26">
        <f>IF(H2187&lt;=J2187,1,0)</f>
        <v>1</v>
      </c>
    </row>
    <row r="2188">
      <c r="A2188" s="19" t="inlineStr">
        <is>
          <t>QL-364-3</t>
        </is>
      </c>
      <c r="B2188" s="36" t="n">
        <v>46021</v>
      </c>
      <c r="C2188" s="37" t="inlineStr">
        <is>
          <t>进港</t>
        </is>
      </c>
      <c r="D2188" s="19" t="inlineStr">
        <is>
          <t>煤炭</t>
        </is>
      </c>
      <c r="E2188" s="19" t="inlineStr">
        <is>
          <t>东南亚</t>
        </is>
      </c>
      <c r="F2188" s="19" t="inlineStr">
        <is>
          <t>03号泊位</t>
        </is>
      </c>
      <c r="G2188" s="20" t="n">
        <v>15114</v>
      </c>
      <c r="H2188" s="38" t="n">
        <v>13.11</v>
      </c>
      <c r="I2188" s="38" t="n">
        <v>6.04</v>
      </c>
      <c r="J2188" s="38" t="n">
        <v>11.45</v>
      </c>
      <c r="K2188" s="20" t="n">
        <v>0</v>
      </c>
      <c r="L2188" s="26">
        <f>IF(H2188&lt;=J2188,1,0)</f>
        <v>0</v>
      </c>
    </row>
    <row r="2189">
      <c r="A2189" s="24" t="inlineStr">
        <is>
          <t>QL-364-4</t>
        </is>
      </c>
      <c r="B2189" s="39" t="n">
        <v>46021</v>
      </c>
      <c r="C2189" s="40" t="inlineStr">
        <is>
          <t>出港</t>
        </is>
      </c>
      <c r="D2189" s="24" t="inlineStr">
        <is>
          <t>粮食</t>
        </is>
      </c>
      <c r="E2189" s="24" t="inlineStr">
        <is>
          <t>东亚</t>
        </is>
      </c>
      <c r="F2189" s="24" t="inlineStr">
        <is>
          <t>04号泊位</t>
        </is>
      </c>
      <c r="G2189" s="25" t="n">
        <v>6642</v>
      </c>
      <c r="H2189" s="41" t="n">
        <v>7.49</v>
      </c>
      <c r="I2189" s="41" t="n">
        <v>1.93</v>
      </c>
      <c r="J2189" s="41" t="n">
        <v>6.51</v>
      </c>
      <c r="K2189" s="25" t="n">
        <v>0</v>
      </c>
      <c r="L2189" s="26">
        <f>IF(H2189&lt;=J2189,1,0)</f>
        <v>0</v>
      </c>
    </row>
    <row r="2190">
      <c r="A2190" s="19" t="inlineStr">
        <is>
          <t>QL-364-5</t>
        </is>
      </c>
      <c r="B2190" s="36" t="n">
        <v>46021</v>
      </c>
      <c r="C2190" s="37" t="inlineStr">
        <is>
          <t>出港</t>
        </is>
      </c>
      <c r="D2190" s="19" t="inlineStr">
        <is>
          <t>液体散货</t>
        </is>
      </c>
      <c r="E2190" s="19" t="inlineStr">
        <is>
          <t>国内沿海</t>
        </is>
      </c>
      <c r="F2190" s="19" t="inlineStr">
        <is>
          <t>05号泊位</t>
        </is>
      </c>
      <c r="G2190" s="20" t="n">
        <v>12267</v>
      </c>
      <c r="H2190" s="38" t="n">
        <v>8.99</v>
      </c>
      <c r="I2190" s="38" t="n">
        <v>1.44</v>
      </c>
      <c r="J2190" s="38" t="n">
        <v>8.52</v>
      </c>
      <c r="K2190" s="20" t="n">
        <v>0</v>
      </c>
      <c r="L2190" s="26">
        <f>IF(H2190&lt;=J2190,1,0)</f>
        <v>0</v>
      </c>
    </row>
    <row r="2191">
      <c r="A2191" s="24" t="inlineStr">
        <is>
          <t>QL-364-6</t>
        </is>
      </c>
      <c r="B2191" s="39" t="n">
        <v>46021</v>
      </c>
      <c r="C2191" s="40" t="inlineStr">
        <is>
          <t>进港</t>
        </is>
      </c>
      <c r="D2191" s="24" t="inlineStr">
        <is>
          <t>件杂货</t>
        </is>
      </c>
      <c r="E2191" s="24" t="inlineStr">
        <is>
          <t>国内沿海</t>
        </is>
      </c>
      <c r="F2191" s="24" t="inlineStr">
        <is>
          <t>06号泊位</t>
        </is>
      </c>
      <c r="G2191" s="25" t="n">
        <v>5717</v>
      </c>
      <c r="H2191" s="41" t="n">
        <v>8.76</v>
      </c>
      <c r="I2191" s="41" t="n">
        <v>6.32</v>
      </c>
      <c r="J2191" s="41" t="n">
        <v>9.369999999999999</v>
      </c>
      <c r="K2191" s="25" t="n">
        <v>0</v>
      </c>
      <c r="L2191" s="26">
        <f>IF(H2191&lt;=J2191,1,0)</f>
        <v>1</v>
      </c>
    </row>
    <row r="2192">
      <c r="A2192" s="19" t="inlineStr">
        <is>
          <t>QL-365-1</t>
        </is>
      </c>
      <c r="B2192" s="36" t="n">
        <v>46022</v>
      </c>
      <c r="C2192" s="37" t="inlineStr">
        <is>
          <t>进港</t>
        </is>
      </c>
      <c r="D2192" s="19" t="inlineStr">
        <is>
          <t>集装箱货物</t>
        </is>
      </c>
      <c r="E2192" s="19" t="inlineStr">
        <is>
          <t>欧洲</t>
        </is>
      </c>
      <c r="F2192" s="19" t="inlineStr">
        <is>
          <t>01号泊位</t>
        </is>
      </c>
      <c r="G2192" s="20" t="n">
        <v>4693</v>
      </c>
      <c r="H2192" s="38" t="n">
        <v>5.21</v>
      </c>
      <c r="I2192" s="38" t="n">
        <v>5.33</v>
      </c>
      <c r="J2192" s="38" t="n">
        <v>5.21</v>
      </c>
      <c r="K2192" s="20" t="n">
        <v>287</v>
      </c>
      <c r="L2192" s="26">
        <f>IF(H2192&lt;=J2192,1,0)</f>
        <v>1</v>
      </c>
    </row>
    <row r="2193">
      <c r="A2193" s="24" t="inlineStr">
        <is>
          <t>QL-365-2</t>
        </is>
      </c>
      <c r="B2193" s="39" t="n">
        <v>46022</v>
      </c>
      <c r="C2193" s="40" t="inlineStr">
        <is>
          <t>进港</t>
        </is>
      </c>
      <c r="D2193" s="24" t="inlineStr">
        <is>
          <t>金属矿石</t>
        </is>
      </c>
      <c r="E2193" s="24" t="inlineStr">
        <is>
          <t>国内沿海</t>
        </is>
      </c>
      <c r="F2193" s="24" t="inlineStr">
        <is>
          <t>02号泊位</t>
        </is>
      </c>
      <c r="G2193" s="25" t="n">
        <v>14203</v>
      </c>
      <c r="H2193" s="41" t="n">
        <v>9.609999999999999</v>
      </c>
      <c r="I2193" s="41" t="n">
        <v>2.25</v>
      </c>
      <c r="J2193" s="41" t="n">
        <v>9.16</v>
      </c>
      <c r="K2193" s="25" t="n">
        <v>0</v>
      </c>
      <c r="L2193" s="26">
        <f>IF(H2193&lt;=J2193,1,0)</f>
        <v>0</v>
      </c>
    </row>
    <row r="2194">
      <c r="A2194" s="19" t="inlineStr">
        <is>
          <t>QL-365-3</t>
        </is>
      </c>
      <c r="B2194" s="36" t="n">
        <v>46022</v>
      </c>
      <c r="C2194" s="37" t="inlineStr">
        <is>
          <t>出港</t>
        </is>
      </c>
      <c r="D2194" s="19" t="inlineStr">
        <is>
          <t>煤炭</t>
        </is>
      </c>
      <c r="E2194" s="19" t="inlineStr">
        <is>
          <t>东亚</t>
        </is>
      </c>
      <c r="F2194" s="19" t="inlineStr">
        <is>
          <t>03号泊位</t>
        </is>
      </c>
      <c r="G2194" s="20" t="n">
        <v>10684</v>
      </c>
      <c r="H2194" s="38" t="n">
        <v>7.06</v>
      </c>
      <c r="I2194" s="38" t="n">
        <v>2.01</v>
      </c>
      <c r="J2194" s="38" t="n">
        <v>8.09</v>
      </c>
      <c r="K2194" s="20" t="n">
        <v>0</v>
      </c>
      <c r="L2194" s="26">
        <f>IF(H2194&lt;=J2194,1,0)</f>
        <v>1</v>
      </c>
    </row>
    <row r="2195">
      <c r="A2195" s="24" t="inlineStr">
        <is>
          <t>QL-365-4</t>
        </is>
      </c>
      <c r="B2195" s="39" t="n">
        <v>46022</v>
      </c>
      <c r="C2195" s="40" t="inlineStr">
        <is>
          <t>出港</t>
        </is>
      </c>
      <c r="D2195" s="24" t="inlineStr">
        <is>
          <t>粮食</t>
        </is>
      </c>
      <c r="E2195" s="24" t="inlineStr">
        <is>
          <t>东亚</t>
        </is>
      </c>
      <c r="F2195" s="24" t="inlineStr">
        <is>
          <t>04号泊位</t>
        </is>
      </c>
      <c r="G2195" s="25" t="n">
        <v>7235</v>
      </c>
      <c r="H2195" s="41" t="n">
        <v>7.28</v>
      </c>
      <c r="I2195" s="41" t="n">
        <v>3.74</v>
      </c>
      <c r="J2195" s="41" t="n">
        <v>7.09</v>
      </c>
      <c r="K2195" s="25" t="n">
        <v>0</v>
      </c>
      <c r="L2195" s="26">
        <f>IF(H2195&lt;=J2195,1,0)</f>
        <v>0</v>
      </c>
    </row>
    <row r="2196">
      <c r="A2196" s="19" t="inlineStr">
        <is>
          <t>QL-365-5</t>
        </is>
      </c>
      <c r="B2196" s="36" t="n">
        <v>46022</v>
      </c>
      <c r="C2196" s="37" t="inlineStr">
        <is>
          <t>出港</t>
        </is>
      </c>
      <c r="D2196" s="19" t="inlineStr">
        <is>
          <t>液体散货</t>
        </is>
      </c>
      <c r="E2196" s="19" t="inlineStr">
        <is>
          <t>欧洲</t>
        </is>
      </c>
      <c r="F2196" s="19" t="inlineStr">
        <is>
          <t>05号泊位</t>
        </is>
      </c>
      <c r="G2196" s="20" t="n">
        <v>12137</v>
      </c>
      <c r="H2196" s="38" t="n">
        <v>8.17</v>
      </c>
      <c r="I2196" s="38" t="n">
        <v>0.5</v>
      </c>
      <c r="J2196" s="38" t="n">
        <v>8.43</v>
      </c>
      <c r="K2196" s="20" t="n">
        <v>0</v>
      </c>
      <c r="L2196" s="26">
        <f>IF(H2196&lt;=J2196,1,0)</f>
        <v>1</v>
      </c>
    </row>
    <row r="2197">
      <c r="A2197" s="24" t="inlineStr">
        <is>
          <t>QL-365-6</t>
        </is>
      </c>
      <c r="B2197" s="39" t="n">
        <v>46022</v>
      </c>
      <c r="C2197" s="40" t="inlineStr">
        <is>
          <t>进港</t>
        </is>
      </c>
      <c r="D2197" s="24" t="inlineStr">
        <is>
          <t>件杂货</t>
        </is>
      </c>
      <c r="E2197" s="24" t="inlineStr">
        <is>
          <t>国内沿海</t>
        </is>
      </c>
      <c r="F2197" s="24" t="inlineStr">
        <is>
          <t>06号泊位</t>
        </is>
      </c>
      <c r="G2197" s="25" t="n">
        <v>5470</v>
      </c>
      <c r="H2197" s="41" t="n">
        <v>9.49</v>
      </c>
      <c r="I2197" s="41" t="n">
        <v>4.63</v>
      </c>
      <c r="J2197" s="41" t="n">
        <v>8.970000000000001</v>
      </c>
      <c r="K2197" s="25" t="n">
        <v>0</v>
      </c>
      <c r="L2197" s="26">
        <f>IF(H2197&lt;=J2197,1,0)</f>
        <v>0</v>
      </c>
    </row>
  </sheetData>
  <autoFilter ref="A7:L2197"/>
  <mergeCells count="2">
    <mergeCell ref="A2:K2"/>
    <mergeCell ref="A3:K3"/>
  </mergeCells>
  <printOptions horizontalCentered="1"/>
  <pageMargins left="0.28" right="0.28" top="0.25" bottom="0.25" header="0" footer="0.1"/>
  <pageSetup orientation="portrait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2026-09-11T03:04:47Z</dcterms:created>
  <dcterms:modified xsi:type="dcterms:W3CDTF">2026-09-11T03:04:48Z</dcterms:modified>
</cp:coreProperties>
</file>